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clayton/Documents/burial_tool_paper/"/>
    </mc:Choice>
  </mc:AlternateContent>
  <xr:revisionPtr revIDLastSave="0" documentId="13_ncr:1_{619AEA3E-C4E2-8346-A6A5-336E2F49F46A}" xr6:coauthVersionLast="47" xr6:coauthVersionMax="47" xr10:uidLastSave="{00000000-0000-0000-0000-000000000000}"/>
  <bookViews>
    <workbookView xWindow="0" yWindow="760" windowWidth="30240" windowHeight="17860" xr2:uid="{A76BBB10-62E5-A347-9B3A-97AA4AE0CD95}"/>
  </bookViews>
  <sheets>
    <sheet name="summary" sheetId="1" r:id="rId1"/>
    <sheet name="transport" sheetId="6" r:id="rId2"/>
    <sheet name="forestry+pile_burn" sheetId="2" r:id="rId3"/>
    <sheet name="burial" sheetId="4" r:id="rId4"/>
    <sheet name="biochar" sheetId="3" r:id="rId5"/>
    <sheet name="becc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I17" i="1"/>
  <c r="B7" i="6" l="1"/>
  <c r="B8" i="6" s="1"/>
  <c r="I4" i="1"/>
  <c r="I5" i="1"/>
  <c r="I6" i="1"/>
  <c r="I7" i="1"/>
  <c r="I8" i="1"/>
  <c r="I9" i="1"/>
  <c r="I10" i="1"/>
  <c r="I11" i="1"/>
  <c r="I12" i="1"/>
  <c r="I13" i="1"/>
  <c r="I19" i="1"/>
  <c r="I21" i="1"/>
  <c r="I22" i="1"/>
  <c r="I23" i="1"/>
  <c r="H3" i="1"/>
  <c r="I3" i="1" s="1"/>
  <c r="H14" i="1"/>
  <c r="I14" i="1" s="1"/>
  <c r="H15" i="1"/>
  <c r="I15" i="1" s="1"/>
  <c r="H16" i="1"/>
  <c r="I16" i="1" s="1"/>
  <c r="H18" i="1"/>
  <c r="I18" i="1" s="1"/>
  <c r="H20" i="1"/>
  <c r="I20" i="1" s="1"/>
  <c r="H22" i="1"/>
  <c r="H23" i="1"/>
  <c r="H24" i="1"/>
  <c r="I24" i="1" s="1"/>
  <c r="H25" i="1"/>
  <c r="I25" i="1" s="1"/>
  <c r="H26" i="1"/>
  <c r="I26" i="1" s="1"/>
  <c r="H27" i="1"/>
  <c r="I27" i="1" s="1"/>
  <c r="H29" i="1"/>
  <c r="I29" i="1" s="1"/>
  <c r="H31" i="1"/>
  <c r="H32" i="1"/>
  <c r="H33" i="1"/>
  <c r="H35" i="1"/>
  <c r="H40" i="1"/>
  <c r="H41" i="1"/>
  <c r="H42" i="1"/>
  <c r="H2" i="1"/>
  <c r="I2" i="1" s="1"/>
  <c r="C40" i="5"/>
  <c r="C39" i="5"/>
  <c r="C37" i="5"/>
  <c r="B18" i="3"/>
  <c r="B17" i="3"/>
  <c r="B9" i="3"/>
  <c r="B11" i="3" s="1"/>
  <c r="E49" i="2"/>
  <c r="F49" i="2" s="1"/>
  <c r="G49" i="2" s="1"/>
  <c r="B49" i="2" s="1"/>
  <c r="E48" i="2"/>
  <c r="F48" i="2" s="1"/>
  <c r="G48" i="2" s="1"/>
  <c r="B48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5" i="2"/>
  <c r="G5" i="2" s="1"/>
  <c r="H5" i="2" s="1"/>
  <c r="E4" i="2"/>
  <c r="G4" i="2" s="1"/>
  <c r="H4" i="2" s="1"/>
  <c r="E3" i="2"/>
  <c r="G3" i="2" s="1"/>
  <c r="H3" i="2" s="1"/>
  <c r="G18" i="2" l="1"/>
  <c r="G43" i="2"/>
  <c r="G35" i="2"/>
  <c r="G32" i="2"/>
  <c r="G27" i="2"/>
  <c r="G21" i="2"/>
  <c r="G40" i="2"/>
  <c r="G29" i="2"/>
  <c r="G23" i="2"/>
  <c r="B19" i="2" s="1"/>
  <c r="G34" i="2"/>
  <c r="G26" i="2"/>
  <c r="G45" i="2"/>
  <c r="G42" i="2"/>
  <c r="G37" i="2"/>
  <c r="G31" i="2"/>
  <c r="G20" i="2"/>
  <c r="G39" i="2"/>
  <c r="G33" i="2"/>
  <c r="G28" i="2"/>
  <c r="B20" i="2" s="1"/>
  <c r="G25" i="2"/>
  <c r="G22" i="2"/>
  <c r="G44" i="2"/>
  <c r="G36" i="2"/>
  <c r="G41" i="2"/>
  <c r="G30" i="2"/>
  <c r="G19" i="2"/>
  <c r="G24" i="2"/>
  <c r="G38" i="2"/>
  <c r="B29" i="2" l="1"/>
  <c r="B39" i="2" s="1"/>
  <c r="B55" i="2" s="1"/>
  <c r="B22" i="2"/>
  <c r="B32" i="2" s="1"/>
  <c r="B42" i="2" s="1"/>
  <c r="B58" i="2" s="1"/>
  <c r="B30" i="2"/>
  <c r="B40" i="2" s="1"/>
  <c r="B56" i="2" s="1"/>
  <c r="B23" i="2"/>
  <c r="B33" i="2" s="1"/>
  <c r="B43" i="2" s="1"/>
  <c r="B59" i="2" s="1"/>
  <c r="B18" i="2"/>
  <c r="B21" i="2" l="1"/>
  <c r="B31" i="2" s="1"/>
  <c r="B41" i="2" s="1"/>
  <c r="B57" i="2" s="1"/>
  <c r="B28" i="2"/>
  <c r="B38" i="2" s="1"/>
  <c r="B54" i="2" s="1"/>
</calcChain>
</file>

<file path=xl/sharedStrings.xml><?xml version="1.0" encoding="utf-8"?>
<sst xmlns="http://schemas.openxmlformats.org/spreadsheetml/2006/main" count="633" uniqueCount="275">
  <si>
    <t>Process</t>
  </si>
  <si>
    <t>Description</t>
  </si>
  <si>
    <t>Translates to</t>
  </si>
  <si>
    <t>Type</t>
  </si>
  <si>
    <t>Value Year</t>
  </si>
  <si>
    <t>Cumulative Inflation</t>
  </si>
  <si>
    <t>Value_initial</t>
  </si>
  <si>
    <t>Value 2026 USD</t>
  </si>
  <si>
    <t>Final Value</t>
  </si>
  <si>
    <t>Unit</t>
  </si>
  <si>
    <t>Source</t>
  </si>
  <si>
    <t>all</t>
  </si>
  <si>
    <t>transportation cost</t>
  </si>
  <si>
    <t>alpha</t>
  </si>
  <si>
    <t>high bound</t>
  </si>
  <si>
    <t>burial</t>
  </si>
  <si>
    <t>carbon efficiency</t>
  </si>
  <si>
    <t>eta</t>
  </si>
  <si>
    <t>low bound</t>
  </si>
  <si>
    <t>MTCO2e_stored MTCO2e_i-1</t>
  </si>
  <si>
    <t>This paper, lowCH4ox scenario average minus 0.01 for transportation</t>
  </si>
  <si>
    <t>base</t>
  </si>
  <si>
    <t>This paper, base scenario average</t>
  </si>
  <si>
    <t>This paper, lowDOCf scenario average minus 0.01 for transportation</t>
  </si>
  <si>
    <t>beccs</t>
  </si>
  <si>
    <t>This paper, lowest BECCS outcome carbon efficiency</t>
  </si>
  <si>
    <t>This paper, average BECCS carbon efficiency</t>
  </si>
  <si>
    <t>This paper, highest BECCS outcome carbon efficiency</t>
  </si>
  <si>
    <t>Sanchez et al. 2025</t>
  </si>
  <si>
    <t>biochar</t>
  </si>
  <si>
    <t>This paper, average biochar scenario</t>
  </si>
  <si>
    <t>Chiquier et al. 2022</t>
  </si>
  <si>
    <t>product price</t>
  </si>
  <si>
    <t>xi</t>
  </si>
  <si>
    <t>$ MTCO2e_stored^-1</t>
  </si>
  <si>
    <t>No product market</t>
  </si>
  <si>
    <t>Elias et al. 2024</t>
  </si>
  <si>
    <t>capex</t>
  </si>
  <si>
    <t>kappa</t>
  </si>
  <si>
    <t>Yablonovitch and Deckman 2023, Zeng and Hausmann 2022</t>
  </si>
  <si>
    <t>opex</t>
  </si>
  <si>
    <t>omega</t>
  </si>
  <si>
    <t>Zeng and Hausmann 2022</t>
  </si>
  <si>
    <t>Yablonovitch and Deckman 2023</t>
  </si>
  <si>
    <t>Elias et al. 2024 - $20</t>
  </si>
  <si>
    <t>Elias et al. 2024 + $20</t>
  </si>
  <si>
    <t>pile burn</t>
  </si>
  <si>
    <t>$ MTCO2e_i^-1</t>
  </si>
  <si>
    <t>Campbell and Anderson 2019</t>
  </si>
  <si>
    <t>Barker et al. 2025, burning machine piles</t>
  </si>
  <si>
    <t>Barker et al. 2025, burning hand piles</t>
  </si>
  <si>
    <t>forestry costs</t>
  </si>
  <si>
    <t>phi</t>
  </si>
  <si>
    <t>NA</t>
  </si>
  <si>
    <t>Trapero et al. 2025, modeled $1400/t for all of 2020s</t>
  </si>
  <si>
    <t>MTCO2e_s MTCO2e_i-1</t>
  </si>
  <si>
    <t>Forestry Process</t>
  </si>
  <si>
    <t>Cost</t>
  </si>
  <si>
    <t>Inflation</t>
  </si>
  <si>
    <t>2026 Cost</t>
  </si>
  <si>
    <t>2026 cost/BDMT</t>
  </si>
  <si>
    <t>2026 cost/MTCO2ei</t>
  </si>
  <si>
    <t>Feller-buncher</t>
  </si>
  <si>
    <t>$/BDT, 2007</t>
  </si>
  <si>
    <t>$/BDT, 2026</t>
  </si>
  <si>
    <t>Skidder</t>
  </si>
  <si>
    <t>Loader (piling)</t>
  </si>
  <si>
    <t>Assumptions</t>
  </si>
  <si>
    <t>Step 1 - convert 2007$ per BDT to 2026 (multiply by 1.59) - see E3-E5</t>
  </si>
  <si>
    <t>Step 2 - calculate cost increase per 100 ft (0.58 per 100 ft) for each distance - see E17-E44; and convert to 2026 USD - see F17-F44</t>
  </si>
  <si>
    <t>Step 3 - Add average distance multiplier to base costs - see G17-G44</t>
  </si>
  <si>
    <t>Step 4 - For each accessibility class with 0-20% slope, take average value for distance - see B18-B20</t>
  </si>
  <si>
    <t>Step 5 - For slopes 20-40%, multiply base costs by steepness multiplier - see B21-23</t>
  </si>
  <si>
    <t>Accessibility</t>
  </si>
  <si>
    <t>Cost ($/BDT)</t>
  </si>
  <si>
    <t>Distance to Road</t>
  </si>
  <si>
    <t>Cost Increase Resulting from Distance to Road</t>
  </si>
  <si>
    <t>2026 USD</t>
  </si>
  <si>
    <t>Total Cost</t>
  </si>
  <si>
    <t>Steepness multiplier</t>
  </si>
  <si>
    <t>0-500ft from roads, 0-20% slope</t>
  </si>
  <si>
    <t>500-1000ft from roads, 0-20%</t>
  </si>
  <si>
    <t>1000ft -0.5mi from roads, 0-20%</t>
  </si>
  <si>
    <t>0-500ft from roads, 20-40%</t>
  </si>
  <si>
    <t>500-1000ft from roads, 20-40%</t>
  </si>
  <si>
    <t>1000ft -0.5mi from roads, 20-40%</t>
  </si>
  <si>
    <t>Step 6 - Convert to BDMT</t>
  </si>
  <si>
    <t>Cost ($/BDMT)</t>
  </si>
  <si>
    <t>Short ton to metric ton</t>
  </si>
  <si>
    <t>Step 7 - Convert to MTCO2e in initial biomass</t>
  </si>
  <si>
    <t>Cost ($/MTCO2e)</t>
  </si>
  <si>
    <t>Step 8 - Costs of pile burning in MTCO2e initial</t>
  </si>
  <si>
    <t>Burning of piles - lower bound</t>
  </si>
  <si>
    <t>Burning of piles - base</t>
  </si>
  <si>
    <t>Burning Machine piles</t>
  </si>
  <si>
    <t>399 $ ha-1</t>
  </si>
  <si>
    <t>Burning of piles - upper</t>
  </si>
  <si>
    <t>Burning Hand piles</t>
  </si>
  <si>
    <t>726  $ ha-1</t>
  </si>
  <si>
    <t>Step 9 - Add costs of pile burning in MTCO2e initial to forestry process costs by accessibility</t>
  </si>
  <si>
    <t>All -in costs for forestry processes plus burning piles</t>
  </si>
  <si>
    <t>from Campbell &amp; Anderson 2019 (https://doi.org/10.1016/j.jenvman.2019.109422)</t>
  </si>
  <si>
    <t>Barker et al. 2025 (https://doi.org/10.3389/ffgc.2024.1496190)</t>
  </si>
  <si>
    <t>Steepness mulltiplier of 1.47 (Petitmermet et al 2019; https://doi.org/10.1093/forsci/fxz010)</t>
  </si>
  <si>
    <t>Add $0.58/BDT for every 100 ft of skidding distance (Pan et al. 2008; https://research.fs.usda.gov/treesearch/30845)</t>
  </si>
  <si>
    <t>From Pan et al. 2008 (https://research.fs.usda.gov/treesearch/30845)</t>
  </si>
  <si>
    <t>TEA var:</t>
  </si>
  <si>
    <t>Stolaroff et al. 2021</t>
  </si>
  <si>
    <t>Theoretical, informed by field experience</t>
  </si>
  <si>
    <t>Pett-Ridge et al. 2023</t>
  </si>
  <si>
    <t>Pett-Ridge et al. 2023 gasification high bound + 45V Hydrogen incentive approximation ($3/kg)</t>
  </si>
  <si>
    <t>Elias et al. 2024 + $10</t>
  </si>
  <si>
    <t>Elias et al. 2024 - $10</t>
  </si>
  <si>
    <t>see sheet: forestry+pile_burn</t>
  </si>
  <si>
    <t>0-500 ft from road, 0-20% slope, Pan et al. 2008, Petitmermet et al. 2019</t>
  </si>
  <si>
    <t>1000 ft - 0.5 mi from road, 20-40% slope, Pan et al. 2008, Petitmermet et al. 2019</t>
  </si>
  <si>
    <t>Average across 6 accessibility classes from Pett-Ridge et al. 2023; data from Pan et al. 2008, Petitmeremet et al. 2019</t>
  </si>
  <si>
    <t>mobile biochar, capital expenditures</t>
  </si>
  <si>
    <t>one time cost</t>
  </si>
  <si>
    <t>Mobile biochar unit</t>
  </si>
  <si>
    <t>mobile biochar, operational costs</t>
  </si>
  <si>
    <t>cost ($) per ton biochar</t>
  </si>
  <si>
    <t>mobile biochar, tonnes produced per year</t>
  </si>
  <si>
    <t>tonnes of biochar</t>
  </si>
  <si>
    <t>mobile biochar, project lifetime</t>
  </si>
  <si>
    <t>years</t>
  </si>
  <si>
    <t>carbon credit per ton biochar</t>
  </si>
  <si>
    <t>credits, MTCO2e</t>
  </si>
  <si>
    <t>Number of carbon credits</t>
  </si>
  <si>
    <t>MTCO2e credit</t>
  </si>
  <si>
    <t>tonnes biochar</t>
  </si>
  <si>
    <t>$ per tonne biochar</t>
  </si>
  <si>
    <t>$ received for products</t>
  </si>
  <si>
    <t>Assumes 10% discount factor</t>
  </si>
  <si>
    <t>CRF = .117 (assuming r=0.10 and n=20; i.e., 20 years of production and 10% discount)</t>
  </si>
  <si>
    <t>($750,000*0.117)/1350 tonnes per year = $65; if capacity is 0.75, then cost goes up to $87/tonne biochar</t>
  </si>
  <si>
    <r>
      <t>base</t>
    </r>
    <r>
      <rPr>
        <sz val="12"/>
        <color theme="1"/>
        <rFont val="Aptos Narrow"/>
        <scheme val="minor"/>
      </rPr>
      <t xml:space="preserve">, </t>
    </r>
    <r>
      <rPr>
        <sz val="12"/>
        <color rgb="FF5A3286"/>
        <rFont val="Aptos Narrow"/>
        <scheme val="minor"/>
      </rPr>
      <t>low bound</t>
    </r>
  </si>
  <si>
    <t>CapEx Notes:</t>
  </si>
  <si>
    <t>Salable biochar product per carbon credit</t>
  </si>
  <si>
    <t>$ per MTCO2e_stored</t>
  </si>
  <si>
    <t xml:space="preserve">TEA var: </t>
  </si>
  <si>
    <t>CapEx</t>
  </si>
  <si>
    <t>OpEx</t>
  </si>
  <si>
    <t>CapEx (per carbon credit)</t>
  </si>
  <si>
    <t>OpEx (per carbon credit)</t>
  </si>
  <si>
    <t>Amount of biochar produced per credit</t>
  </si>
  <si>
    <t>Biochar price (per tonne)</t>
  </si>
  <si>
    <t>----------------------------&gt;</t>
  </si>
  <si>
    <t>Data from Elias et al (2024), https://doi.org/10.1002/bbb.2614; all costs 2024$</t>
  </si>
  <si>
    <t>Table 3: Recurrent cost each year for a wood vault unit</t>
  </si>
  <si>
    <t>Value</t>
  </si>
  <si>
    <t>Units</t>
  </si>
  <si>
    <t>Carbon stored per year</t>
  </si>
  <si>
    <t>tCO2</t>
  </si>
  <si>
    <t>Total cost per unit cell per year, low bound</t>
  </si>
  <si>
    <t>$</t>
  </si>
  <si>
    <t>Total cost per unit cell per year, high bound</t>
  </si>
  <si>
    <t>Land purchase, low bound</t>
  </si>
  <si>
    <t>Land purchase, high bound</t>
  </si>
  <si>
    <t>Excavation</t>
  </si>
  <si>
    <t>Material/clay</t>
  </si>
  <si>
    <t>Work/QC</t>
  </si>
  <si>
    <t>Operation (staff, management, monitoring)</t>
  </si>
  <si>
    <t>Transportation</t>
  </si>
  <si>
    <t>$/ton-25mi</t>
  </si>
  <si>
    <t>Size of a unit cell</t>
  </si>
  <si>
    <t>1 ha x 20 m high x 5 m deep</t>
  </si>
  <si>
    <t>Total carbon sequestered</t>
  </si>
  <si>
    <t>MtCO2</t>
  </si>
  <si>
    <t>Market value at an assumed price $50/tCO2</t>
  </si>
  <si>
    <t>Total cost, low bound</t>
  </si>
  <si>
    <t>$13-22/ton cost w/o transportation</t>
  </si>
  <si>
    <t>Total cost, high bound</t>
  </si>
  <si>
    <t>Recurrent cost, low bound</t>
  </si>
  <si>
    <t>Recurrent cost, high bound</t>
  </si>
  <si>
    <t>One-time cost (equipment, building)</t>
  </si>
  <si>
    <t>$/ton</t>
  </si>
  <si>
    <t>SI 5. Analysis of Agro-Sequestration Costs for Pine Trees</t>
  </si>
  <si>
    <t>Price of chopped pine green tree pulpwood delivered to landfill</t>
  </si>
  <si>
    <t>Includes charges for stumpage, forest harvesting, and transportation</t>
  </si>
  <si>
    <t>Base case delivered price</t>
  </si>
  <si>
    <t>"in a range given in many marketing reports, as well as inflation adjusted analyses of the cost structure of forestry harvesting"</t>
  </si>
  <si>
    <t>Base case delivered price in CO2e</t>
  </si>
  <si>
    <t>$/tCO2e</t>
  </si>
  <si>
    <t>Landfill OPEX, sequestered pine cost</t>
  </si>
  <si>
    <t>$/BDT wood</t>
  </si>
  <si>
    <t>Landfill OPEX, CO2 capture cost equivalent</t>
  </si>
  <si>
    <t>Landfill CAPEX, sequestered pine cost</t>
  </si>
  <si>
    <t>Landfill CAPEX, CO2 capture cost equivalent</t>
  </si>
  <si>
    <t>Table 4: Economics of the facility after filling 10 wood vault units</t>
  </si>
  <si>
    <t>OpEx: $5/MTCO2e</t>
  </si>
  <si>
    <t>Sum for CapEx</t>
  </si>
  <si>
    <t>$8/MTCO2e</t>
  </si>
  <si>
    <t>Zeng and Hausmann 2022 (https://doi.org/10.1186/s13021-022-00202-0)</t>
  </si>
  <si>
    <t>Yablonovitch and Deckman 2023 (https://www.pnas.org/doi/10.1073/pnas.2217695120)</t>
  </si>
  <si>
    <t>Average Zeng and Hausmann 2022 and Yablonovitch and Deckman 2023</t>
  </si>
  <si>
    <t>Final Variables</t>
  </si>
  <si>
    <t>Zeng and Hausmann 2022, Yablonovitch and Deckman 2023</t>
  </si>
  <si>
    <t>Zeng and Hausmann 2022 without Material/clay costs</t>
  </si>
  <si>
    <t>Plant Type</t>
  </si>
  <si>
    <t>Removal Scenario</t>
  </si>
  <si>
    <t>All Data</t>
  </si>
  <si>
    <t>Electricity</t>
  </si>
  <si>
    <t>Asphalt Char</t>
  </si>
  <si>
    <t>Gasification</t>
  </si>
  <si>
    <t>Sawmill</t>
  </si>
  <si>
    <t>Count:</t>
  </si>
  <si>
    <t>capex/tCO2 (capital cost per ton stored) = kappa</t>
  </si>
  <si>
    <t>Min</t>
  </si>
  <si>
    <t>Max</t>
  </si>
  <si>
    <t>Average</t>
  </si>
  <si>
    <t>Stdev</t>
  </si>
  <si>
    <t>opex/tCO2 (operating cost + production cost + CO2 transport cost + CO2 injection cost per ton stored) = omega</t>
  </si>
  <si>
    <t>rev$/tCO2 (revenue per ton stored) = xi</t>
  </si>
  <si>
    <t>net_cost_F:K/tCO2 (net cost per ton stored, excluding feedstock acquisition and transportation)</t>
  </si>
  <si>
    <t>Gasification with Hydrogen Incentive</t>
  </si>
  <si>
    <t>Name</t>
  </si>
  <si>
    <t>Hydrogen Yield</t>
  </si>
  <si>
    <t>kgH2 BDT_i^-1</t>
  </si>
  <si>
    <t>Carbon content of wood</t>
  </si>
  <si>
    <t>MTC_i BDT_i^-1</t>
  </si>
  <si>
    <t>C : CO2 conversion</t>
  </si>
  <si>
    <t>MTCO2e_i MTC^-1</t>
  </si>
  <si>
    <t>Hydrogen Incentive</t>
  </si>
  <si>
    <t>$ kgH2^-1</t>
  </si>
  <si>
    <t>Data: Roads to Removal (Pett-Ridge et al. 2023, see beccs_end_nodes.csv)</t>
  </si>
  <si>
    <t xml:space="preserve">costF:K/tCO2 (cost per ton stored, excluding feedstock acquisition and transportation, = capex+opex/tCO2) </t>
  </si>
  <si>
    <t>$ MTCO2e_s^-1</t>
  </si>
  <si>
    <t>Hydrogen incentive/initial MTCO2e</t>
  </si>
  <si>
    <t>Final hydrogen incentive</t>
  </si>
  <si>
    <t>Lundgren et al. 2025 (https://www.ieabioenergy.com/wp-content/uploads/2025/03/IEA-Bioenergy_T33_Bio-H2_Final_v2.pdf)</t>
  </si>
  <si>
    <t>33.3 BDMT ha-1</t>
  </si>
  <si>
    <t>Cost per ha</t>
  </si>
  <si>
    <t>Cost per MTCO2ei</t>
  </si>
  <si>
    <t>$2026 Conversion</t>
  </si>
  <si>
    <t>Steps for above 2 rows:</t>
  </si>
  <si>
    <t>Hydrogen Production Tax Credit, 45V (https://www.energy.gov/sites/default/files/2025-12/45vh2-greet-manual_december-2025.pdf)</t>
  </si>
  <si>
    <t>Truck transport limit</t>
  </si>
  <si>
    <t>MT</t>
  </si>
  <si>
    <t>Baker et al. 2019 (https://doi.org/10.2172/1597217)</t>
  </si>
  <si>
    <t>$ MT-1 km-1</t>
  </si>
  <si>
    <t>Stolaroff et al. 2021 (https://doi.org/10.3389/fenrg.2021.639943)</t>
  </si>
  <si>
    <t>Moisture content (green wood)</t>
  </si>
  <si>
    <t>-</t>
  </si>
  <si>
    <t>Within ranges in Teodorescu et al. 2021 (https://doi.org/10.1088/1755-1315/664/1/012017)</t>
  </si>
  <si>
    <t>Matthews 1993 (ISBN: 978-0-85538-317-6)</t>
  </si>
  <si>
    <t>$ km-1</t>
  </si>
  <si>
    <t>CO2:C mass ratio</t>
  </si>
  <si>
    <t>Quantity</t>
  </si>
  <si>
    <t>Variable</t>
  </si>
  <si>
    <t>$ km-1 MTCO2e_i-1</t>
  </si>
  <si>
    <t>TEA Variable:</t>
  </si>
  <si>
    <t>Trucking cost (round trip per 1-way distance)</t>
  </si>
  <si>
    <t>Full trucking cost per 1-way distance</t>
  </si>
  <si>
    <t>Full trucking cost per MTCO2e_i per 1-way distance</t>
  </si>
  <si>
    <t>MTCO2e_s MTCO2e_i^-1</t>
  </si>
  <si>
    <t>BECCS Carbon efficiency</t>
  </si>
  <si>
    <t>This study</t>
  </si>
  <si>
    <t>Final xi_B high bound</t>
  </si>
  <si>
    <t>TEA var: kappa_b_b</t>
  </si>
  <si>
    <t>TEA var: kappa_b_l</t>
  </si>
  <si>
    <t>TEA var: kappa_b_h</t>
  </si>
  <si>
    <t>TEA var: omega_b_b</t>
  </si>
  <si>
    <t>TEA var: omega_b_l</t>
  </si>
  <si>
    <t>TEA var: omega_b_h</t>
  </si>
  <si>
    <t>Zeng and Hausmann 2022 without Material/clay budget</t>
  </si>
  <si>
    <t>Average Yablonovitch and Deckman 2023 and Zeng and Hausmann 2022</t>
  </si>
  <si>
    <t>Sources/Notes</t>
  </si>
  <si>
    <t>$ km^-1 MTCO2e_i^-1</t>
  </si>
  <si>
    <t>Calculated</t>
  </si>
  <si>
    <t>Mass ratios</t>
  </si>
  <si>
    <t>Rodrigues et al. 2023</t>
  </si>
  <si>
    <t>Unit (if $ =&gt; $2026)</t>
  </si>
  <si>
    <t>Mass ratio</t>
  </si>
  <si>
    <t>Pett-Ridge et al. 2023 base xi + 45V Hydrogen incentive approximation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</si>
</sst>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_);[Red]\(&quot;$&quot;#,##0.000\)"/>
    <numFmt numFmtId="165" formatCode="0.000"/>
    <numFmt numFmtId="166" formatCode="&quot;$&quot;#,##0.00"/>
    <numFmt numFmtId="167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0A53A8"/>
      <name val="Aptos Narrow"/>
      <scheme val="minor"/>
    </font>
    <font>
      <sz val="12"/>
      <color rgb="FF5A3286"/>
      <name val="Aptos Narrow"/>
      <scheme val="minor"/>
    </font>
    <font>
      <sz val="12"/>
      <color rgb="FF473821"/>
      <name val="Aptos Narrow"/>
      <scheme val="minor"/>
    </font>
    <font>
      <sz val="12"/>
      <color rgb="FF11734B"/>
      <name val="Aptos Narrow"/>
      <scheme val="minor"/>
    </font>
    <font>
      <sz val="12"/>
      <color rgb="FF215A6C"/>
      <name val="Aptos Narrow"/>
      <scheme val="minor"/>
    </font>
    <font>
      <sz val="12"/>
      <color rgb="FFB10202"/>
      <name val="Aptos Narrow"/>
      <scheme val="minor"/>
    </font>
    <font>
      <sz val="12"/>
      <color rgb="FF1F1F1F"/>
      <name val="Aptos Narrow"/>
      <scheme val="minor"/>
    </font>
    <font>
      <sz val="12"/>
      <color rgb="FF753800"/>
      <name val="Aptos Narrow"/>
      <scheme val="minor"/>
    </font>
    <font>
      <sz val="12"/>
      <color theme="0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0"/>
      <name val="Aptos Narrow"/>
      <scheme val="minor"/>
    </font>
    <font>
      <b/>
      <i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0" fillId="4" borderId="0" xfId="0" applyFill="1"/>
    <xf numFmtId="0" fontId="4" fillId="0" borderId="0" xfId="0" applyFont="1"/>
    <xf numFmtId="0" fontId="5" fillId="0" borderId="0" xfId="2" applyFont="1"/>
    <xf numFmtId="6" fontId="4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3" borderId="0" xfId="0" applyFont="1" applyFill="1"/>
    <xf numFmtId="0" fontId="3" fillId="6" borderId="0" xfId="0" applyFont="1" applyFill="1"/>
    <xf numFmtId="0" fontId="4" fillId="6" borderId="0" xfId="0" applyFont="1" applyFill="1"/>
    <xf numFmtId="6" fontId="4" fillId="4" borderId="0" xfId="0" applyNumberFormat="1" applyFont="1" applyFill="1"/>
    <xf numFmtId="0" fontId="14" fillId="2" borderId="0" xfId="0" applyFont="1" applyFill="1"/>
    <xf numFmtId="6" fontId="4" fillId="3" borderId="0" xfId="0" applyNumberFormat="1" applyFont="1" applyFill="1"/>
    <xf numFmtId="0" fontId="4" fillId="0" borderId="0" xfId="0" quotePrefix="1" applyFont="1"/>
    <xf numFmtId="6" fontId="3" fillId="0" borderId="0" xfId="0" applyNumberFormat="1" applyFont="1"/>
    <xf numFmtId="0" fontId="15" fillId="0" borderId="0" xfId="0" applyFont="1"/>
    <xf numFmtId="3" fontId="4" fillId="0" borderId="0" xfId="0" applyNumberFormat="1" applyFont="1"/>
    <xf numFmtId="0" fontId="4" fillId="4" borderId="0" xfId="0" applyFont="1" applyFill="1"/>
    <xf numFmtId="3" fontId="4" fillId="3" borderId="0" xfId="0" applyNumberFormat="1" applyFont="1" applyFill="1"/>
    <xf numFmtId="0" fontId="4" fillId="7" borderId="0" xfId="0" applyFont="1" applyFill="1"/>
    <xf numFmtId="3" fontId="4" fillId="7" borderId="0" xfId="0" applyNumberFormat="1" applyFont="1" applyFill="1"/>
    <xf numFmtId="0" fontId="4" fillId="0" borderId="1" xfId="0" applyFont="1" applyBorder="1"/>
    <xf numFmtId="2" fontId="4" fillId="0" borderId="0" xfId="0" applyNumberFormat="1" applyFont="1"/>
    <xf numFmtId="44" fontId="4" fillId="0" borderId="0" xfId="1" applyFont="1"/>
    <xf numFmtId="2" fontId="4" fillId="3" borderId="0" xfId="0" applyNumberFormat="1" applyFont="1" applyFill="1"/>
    <xf numFmtId="165" fontId="4" fillId="0" borderId="0" xfId="0" applyNumberFormat="1" applyFont="1"/>
    <xf numFmtId="44" fontId="4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6" fillId="5" borderId="0" xfId="0" applyFont="1" applyFill="1"/>
    <xf numFmtId="0" fontId="14" fillId="5" borderId="0" xfId="0" applyFont="1" applyFill="1"/>
    <xf numFmtId="0" fontId="3" fillId="4" borderId="0" xfId="0" applyFont="1" applyFill="1"/>
    <xf numFmtId="166" fontId="3" fillId="0" borderId="0" xfId="1" applyNumberFormat="1" applyFont="1" applyFill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3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7" borderId="12" xfId="0" applyFont="1" applyFill="1" applyBorder="1"/>
    <xf numFmtId="0" fontId="4" fillId="7" borderId="13" xfId="0" applyFont="1" applyFill="1" applyBorder="1"/>
    <xf numFmtId="0" fontId="3" fillId="0" borderId="14" xfId="0" applyFont="1" applyBorder="1"/>
    <xf numFmtId="0" fontId="4" fillId="0" borderId="11" xfId="0" applyFont="1" applyBorder="1"/>
    <xf numFmtId="0" fontId="4" fillId="0" borderId="15" xfId="0" applyFont="1" applyBorder="1"/>
    <xf numFmtId="0" fontId="3" fillId="3" borderId="2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8" borderId="12" xfId="0" applyFont="1" applyFill="1" applyBorder="1"/>
    <xf numFmtId="0" fontId="4" fillId="8" borderId="13" xfId="0" applyFont="1" applyFill="1" applyBorder="1"/>
    <xf numFmtId="164" fontId="4" fillId="0" borderId="0" xfId="0" applyNumberFormat="1" applyFont="1"/>
    <xf numFmtId="44" fontId="3" fillId="0" borderId="0" xfId="1" applyFont="1" applyFill="1"/>
    <xf numFmtId="44" fontId="3" fillId="0" borderId="0" xfId="0" applyNumberFormat="1" applyFont="1"/>
    <xf numFmtId="165" fontId="3" fillId="0" borderId="0" xfId="0" applyNumberFormat="1" applyFont="1"/>
    <xf numFmtId="165" fontId="3" fillId="3" borderId="0" xfId="0" applyNumberFormat="1" applyFont="1" applyFill="1"/>
    <xf numFmtId="0" fontId="4" fillId="7" borderId="1" xfId="0" applyFont="1" applyFill="1" applyBorder="1"/>
    <xf numFmtId="44" fontId="4" fillId="0" borderId="0" xfId="1" applyFont="1" applyBorder="1"/>
    <xf numFmtId="44" fontId="4" fillId="0" borderId="8" xfId="1" applyFont="1" applyBorder="1"/>
    <xf numFmtId="44" fontId="4" fillId="0" borderId="3" xfId="1" applyFont="1" applyBorder="1"/>
    <xf numFmtId="44" fontId="4" fillId="0" borderId="10" xfId="1" applyFont="1" applyBorder="1"/>
    <xf numFmtId="0" fontId="4" fillId="0" borderId="14" xfId="0" applyFont="1" applyBorder="1" applyAlignment="1">
      <alignment wrapText="1"/>
    </xf>
    <xf numFmtId="44" fontId="15" fillId="0" borderId="0" xfId="1" applyFont="1" applyBorder="1"/>
    <xf numFmtId="0" fontId="3" fillId="4" borderId="5" xfId="0" applyFont="1" applyFill="1" applyBorder="1"/>
    <xf numFmtId="0" fontId="3" fillId="0" borderId="15" xfId="0" applyFont="1" applyBorder="1"/>
    <xf numFmtId="0" fontId="4" fillId="8" borderId="11" xfId="0" applyFont="1" applyFill="1" applyBorder="1"/>
    <xf numFmtId="0" fontId="4" fillId="7" borderId="11" xfId="0" applyFont="1" applyFill="1" applyBorder="1"/>
    <xf numFmtId="0" fontId="3" fillId="9" borderId="0" xfId="0" applyFont="1" applyFill="1"/>
    <xf numFmtId="0" fontId="4" fillId="9" borderId="0" xfId="0" applyFont="1" applyFill="1"/>
    <xf numFmtId="167" fontId="4" fillId="0" borderId="0" xfId="0" applyNumberFormat="1" applyFont="1"/>
    <xf numFmtId="43" fontId="0" fillId="0" borderId="0" xfId="3" applyFont="1"/>
    <xf numFmtId="0" fontId="17" fillId="0" borderId="0" xfId="0" applyFont="1"/>
    <xf numFmtId="0" fontId="5" fillId="0" borderId="0" xfId="2" applyFont="1" applyFill="1"/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196850</xdr:colOff>
      <xdr:row>18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B07DFA-14D5-7BB8-D5C3-0EF845CB5B56}"/>
            </a:ext>
          </a:extLst>
        </xdr:cNvPr>
        <xdr:cNvSpPr txBox="1"/>
      </xdr:nvSpPr>
      <xdr:spPr>
        <a:xfrm>
          <a:off x="8997950" y="367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309240</xdr:colOff>
      <xdr:row>7</xdr:row>
      <xdr:rowOff>30289</xdr:rowOff>
    </xdr:from>
    <xdr:ext cx="86995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6C96516-F058-491B-07B8-EEFD82120E8B}"/>
                </a:ext>
              </a:extLst>
            </xdr:cNvPr>
            <xdr:cNvSpPr txBox="1"/>
          </xdr:nvSpPr>
          <xdr:spPr>
            <a:xfrm>
              <a:off x="6614284" y="1446395"/>
              <a:ext cx="86995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6C96516-F058-491B-07B8-EEFD82120E8B}"/>
                </a:ext>
              </a:extLst>
            </xdr:cNvPr>
            <xdr:cNvSpPr txBox="1"/>
          </xdr:nvSpPr>
          <xdr:spPr>
            <a:xfrm>
              <a:off x="6614284" y="1446395"/>
              <a:ext cx="86995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1493512</xdr:colOff>
      <xdr:row>35</xdr:row>
      <xdr:rowOff>199793</xdr:rowOff>
    </xdr:from>
    <xdr:ext cx="12490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A8A8B6B-6B57-7A0A-E512-68FDA851A426}"/>
                </a:ext>
              </a:extLst>
            </xdr:cNvPr>
            <xdr:cNvSpPr txBox="1"/>
          </xdr:nvSpPr>
          <xdr:spPr>
            <a:xfrm>
              <a:off x="5189969" y="7277310"/>
              <a:ext cx="12490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A8A8B6B-6B57-7A0A-E512-68FDA851A426}"/>
                </a:ext>
              </a:extLst>
            </xdr:cNvPr>
            <xdr:cNvSpPr txBox="1"/>
          </xdr:nvSpPr>
          <xdr:spPr>
            <a:xfrm>
              <a:off x="5189969" y="7277310"/>
              <a:ext cx="12490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1439868</xdr:colOff>
      <xdr:row>45</xdr:row>
      <xdr:rowOff>4449</xdr:rowOff>
    </xdr:from>
    <xdr:ext cx="19890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13DE509-A1C8-334E-BF1A-2BE51274880A}"/>
                </a:ext>
              </a:extLst>
            </xdr:cNvPr>
            <xdr:cNvSpPr txBox="1"/>
          </xdr:nvSpPr>
          <xdr:spPr>
            <a:xfrm>
              <a:off x="5135568" y="9186549"/>
              <a:ext cx="1989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𝜔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13DE509-A1C8-334E-BF1A-2BE51274880A}"/>
                </a:ext>
              </a:extLst>
            </xdr:cNvPr>
            <xdr:cNvSpPr txBox="1"/>
          </xdr:nvSpPr>
          <xdr:spPr>
            <a:xfrm>
              <a:off x="5135568" y="9186549"/>
              <a:ext cx="1989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𝜔_</a:t>
              </a:r>
              <a:r>
                <a:rPr lang="en-US" sz="1100" b="0" i="0">
                  <a:latin typeface="Cambria Math" panose="02040503050406030204" pitchFamily="18" charset="0"/>
                </a:rPr>
                <a:t>𝑏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4014570</xdr:colOff>
      <xdr:row>37</xdr:row>
      <xdr:rowOff>1476</xdr:rowOff>
    </xdr:from>
    <xdr:ext cx="17286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C3A1268-0870-9E4D-B5FE-2716754D4938}"/>
                </a:ext>
              </a:extLst>
            </xdr:cNvPr>
            <xdr:cNvSpPr txBox="1"/>
          </xdr:nvSpPr>
          <xdr:spPr>
            <a:xfrm>
              <a:off x="4014570" y="7651011"/>
              <a:ext cx="1728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C3A1268-0870-9E4D-B5FE-2716754D4938}"/>
                </a:ext>
              </a:extLst>
            </xdr:cNvPr>
            <xdr:cNvSpPr txBox="1"/>
          </xdr:nvSpPr>
          <xdr:spPr>
            <a:xfrm>
              <a:off x="4014570" y="7651011"/>
              <a:ext cx="1728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𝜅_</a:t>
              </a:r>
              <a:r>
                <a:rPr lang="en-US" sz="1100" b="0" i="0">
                  <a:latin typeface="Cambria Math" panose="02040503050406030204" pitchFamily="18" charset="0"/>
                </a:rPr>
                <a:t>𝑏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3999023</xdr:colOff>
      <xdr:row>40</xdr:row>
      <xdr:rowOff>10612</xdr:rowOff>
    </xdr:from>
    <xdr:ext cx="19890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785FA6-BB43-B14F-A926-9765011FBBB1}"/>
                </a:ext>
              </a:extLst>
            </xdr:cNvPr>
            <xdr:cNvSpPr txBox="1"/>
          </xdr:nvSpPr>
          <xdr:spPr>
            <a:xfrm>
              <a:off x="3999023" y="8280379"/>
              <a:ext cx="1989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𝜔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785FA6-BB43-B14F-A926-9765011FBBB1}"/>
                </a:ext>
              </a:extLst>
            </xdr:cNvPr>
            <xdr:cNvSpPr txBox="1"/>
          </xdr:nvSpPr>
          <xdr:spPr>
            <a:xfrm>
              <a:off x="3999023" y="8280379"/>
              <a:ext cx="1989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𝜔_</a:t>
              </a:r>
              <a:r>
                <a:rPr lang="en-US" sz="1100" b="0" i="0">
                  <a:latin typeface="Cambria Math" panose="02040503050406030204" pitchFamily="18" charset="0"/>
                </a:rPr>
                <a:t>𝑏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1420596</xdr:colOff>
      <xdr:row>10</xdr:row>
      <xdr:rowOff>19050</xdr:rowOff>
    </xdr:from>
    <xdr:ext cx="1507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968C99B-E62B-8B7D-38AA-5C8CFD6FDFDB}"/>
                </a:ext>
              </a:extLst>
            </xdr:cNvPr>
            <xdr:cNvSpPr txBox="1"/>
          </xdr:nvSpPr>
          <xdr:spPr>
            <a:xfrm>
              <a:off x="6855987" y="2057322"/>
              <a:ext cx="1507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968C99B-E62B-8B7D-38AA-5C8CFD6FDFDB}"/>
                </a:ext>
              </a:extLst>
            </xdr:cNvPr>
            <xdr:cNvSpPr txBox="1"/>
          </xdr:nvSpPr>
          <xdr:spPr>
            <a:xfrm>
              <a:off x="6855987" y="2057322"/>
              <a:ext cx="1507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𝜉_</a:t>
              </a:r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1416205</xdr:colOff>
      <xdr:row>16</xdr:row>
      <xdr:rowOff>9434</xdr:rowOff>
    </xdr:from>
    <xdr:ext cx="163763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E876141-07BB-8045-8040-E4F77D03CCA4}"/>
                </a:ext>
              </a:extLst>
            </xdr:cNvPr>
            <xdr:cNvSpPr txBox="1"/>
          </xdr:nvSpPr>
          <xdr:spPr>
            <a:xfrm>
              <a:off x="6851596" y="3270669"/>
              <a:ext cx="16376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E876141-07BB-8045-8040-E4F77D03CCA4}"/>
                </a:ext>
              </a:extLst>
            </xdr:cNvPr>
            <xdr:cNvSpPr txBox="1"/>
          </xdr:nvSpPr>
          <xdr:spPr>
            <a:xfrm>
              <a:off x="6851596" y="3270669"/>
              <a:ext cx="16376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𝜅_</a:t>
              </a:r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1400658</xdr:colOff>
      <xdr:row>17</xdr:row>
      <xdr:rowOff>5226</xdr:rowOff>
    </xdr:from>
    <xdr:ext cx="18428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6CC1892-51B9-AC40-99C0-BEC3FA19850C}"/>
                </a:ext>
              </a:extLst>
            </xdr:cNvPr>
            <xdr:cNvSpPr txBox="1"/>
          </xdr:nvSpPr>
          <xdr:spPr>
            <a:xfrm>
              <a:off x="6836049" y="3470288"/>
              <a:ext cx="18428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𝜔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6CC1892-51B9-AC40-99C0-BEC3FA19850C}"/>
                </a:ext>
              </a:extLst>
            </xdr:cNvPr>
            <xdr:cNvSpPr txBox="1"/>
          </xdr:nvSpPr>
          <xdr:spPr>
            <a:xfrm>
              <a:off x="6836049" y="3470288"/>
              <a:ext cx="18428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𝜔_</a:t>
              </a:r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188520</xdr:colOff>
      <xdr:row>22</xdr:row>
      <xdr:rowOff>11240</xdr:rowOff>
    </xdr:from>
    <xdr:ext cx="151979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5A7AA07-8349-4746-B559-0E6308625E54}"/>
                </a:ext>
              </a:extLst>
            </xdr:cNvPr>
            <xdr:cNvSpPr txBox="1"/>
          </xdr:nvSpPr>
          <xdr:spPr>
            <a:xfrm>
              <a:off x="188520" y="4461859"/>
              <a:ext cx="151979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5A7AA07-8349-4746-B559-0E6308625E54}"/>
                </a:ext>
              </a:extLst>
            </xdr:cNvPr>
            <xdr:cNvSpPr txBox="1"/>
          </xdr:nvSpPr>
          <xdr:spPr>
            <a:xfrm>
              <a:off x="188520" y="4461859"/>
              <a:ext cx="151979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𝜉_</a:t>
              </a:r>
              <a:r>
                <a:rPr lang="en-US" sz="1100" b="0" i="0">
                  <a:latin typeface="Cambria Math" panose="02040503050406030204" pitchFamily="18" charset="0"/>
                </a:rPr>
                <a:t>𝐵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595412</xdr:colOff>
      <xdr:row>7</xdr:row>
      <xdr:rowOff>1822</xdr:rowOff>
    </xdr:from>
    <xdr:ext cx="71720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E5A61F5-F9D6-8244-9E39-EF33760049FA}"/>
                </a:ext>
              </a:extLst>
            </xdr:cNvPr>
            <xdr:cNvSpPr txBox="1"/>
          </xdr:nvSpPr>
          <xdr:spPr>
            <a:xfrm>
              <a:off x="595412" y="1417928"/>
              <a:ext cx="7172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E5A61F5-F9D6-8244-9E39-EF33760049FA}"/>
                </a:ext>
              </a:extLst>
            </xdr:cNvPr>
            <xdr:cNvSpPr txBox="1"/>
          </xdr:nvSpPr>
          <xdr:spPr>
            <a:xfrm>
              <a:off x="595412" y="1417928"/>
              <a:ext cx="7172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𝜅_</a:t>
              </a:r>
              <a:r>
                <a:rPr lang="en-US" sz="1100" b="0" i="0">
                  <a:latin typeface="Cambria Math" panose="02040503050406030204" pitchFamily="18" charset="0"/>
                </a:rPr>
                <a:t>𝐵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348406</xdr:colOff>
      <xdr:row>12</xdr:row>
      <xdr:rowOff>10822</xdr:rowOff>
    </xdr:from>
    <xdr:ext cx="122504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C41EA0F-57A0-1849-91BF-9A5417FE7A58}"/>
                </a:ext>
              </a:extLst>
            </xdr:cNvPr>
            <xdr:cNvSpPr txBox="1"/>
          </xdr:nvSpPr>
          <xdr:spPr>
            <a:xfrm>
              <a:off x="348406" y="2438433"/>
              <a:ext cx="12250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𝜔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C41EA0F-57A0-1849-91BF-9A5417FE7A58}"/>
                </a:ext>
              </a:extLst>
            </xdr:cNvPr>
            <xdr:cNvSpPr txBox="1"/>
          </xdr:nvSpPr>
          <xdr:spPr>
            <a:xfrm>
              <a:off x="348406" y="2438433"/>
              <a:ext cx="12250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𝜔_</a:t>
              </a:r>
              <a:r>
                <a:rPr lang="en-US" sz="1100" b="0" i="0">
                  <a:latin typeface="Cambria Math" panose="02040503050406030204" pitchFamily="18" charset="0"/>
                </a:rPr>
                <a:t>𝐵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6571-6D1C-9848-9D69-ED57F360995A}">
  <dimension ref="A1:K1021"/>
  <sheetViews>
    <sheetView tabSelected="1" workbookViewId="0">
      <pane ySplit="1" topLeftCell="A2" activePane="bottomLeft" state="frozen"/>
      <selection pane="bottomLeft" activeCell="K6" sqref="K6"/>
    </sheetView>
  </sheetViews>
  <sheetFormatPr baseColWidth="10" defaultRowHeight="16" x14ac:dyDescent="0.2"/>
  <cols>
    <col min="1" max="1" width="10.83203125" style="3"/>
    <col min="2" max="2" width="16" style="3" customWidth="1"/>
    <col min="3" max="3" width="11.83203125" style="3" customWidth="1"/>
    <col min="4" max="4" width="13.33203125" style="3" customWidth="1"/>
    <col min="5" max="8" width="10.83203125" style="3" hidden="1" customWidth="1"/>
    <col min="9" max="9" width="12.6640625" style="29" bestFit="1" customWidth="1"/>
    <col min="10" max="10" width="31.5" style="3" customWidth="1"/>
    <col min="11" max="11" width="78" style="3" customWidth="1"/>
    <col min="12" max="16384" width="10.83203125" style="3"/>
  </cols>
  <sheetData>
    <row r="1" spans="1:11" s="82" customFormat="1" x14ac:dyDescent="0.2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272</v>
      </c>
      <c r="K1" s="81" t="s">
        <v>267</v>
      </c>
    </row>
    <row r="2" spans="1:11" x14ac:dyDescent="0.2">
      <c r="A2" s="3" t="s">
        <v>11</v>
      </c>
      <c r="B2" s="3" t="s">
        <v>12</v>
      </c>
      <c r="C2" s="3" t="s">
        <v>13</v>
      </c>
      <c r="D2" s="6" t="s">
        <v>136</v>
      </c>
      <c r="E2" s="3">
        <v>2021</v>
      </c>
      <c r="F2" s="3">
        <v>0.20599999999999999</v>
      </c>
      <c r="G2" s="3">
        <v>8.48E-2</v>
      </c>
      <c r="H2" s="65">
        <f>(1+F2)*G2</f>
        <v>0.10226879999999999</v>
      </c>
      <c r="I2" s="83">
        <f>MAX(H2, G2)</f>
        <v>0.10226879999999999</v>
      </c>
      <c r="J2" s="3" t="s">
        <v>268</v>
      </c>
      <c r="K2" s="3" t="s">
        <v>107</v>
      </c>
    </row>
    <row r="3" spans="1:11" x14ac:dyDescent="0.2">
      <c r="A3" s="3" t="s">
        <v>11</v>
      </c>
      <c r="B3" s="3" t="s">
        <v>12</v>
      </c>
      <c r="C3" s="3" t="s">
        <v>13</v>
      </c>
      <c r="D3" s="7" t="s">
        <v>14</v>
      </c>
      <c r="E3" s="3">
        <v>2021</v>
      </c>
      <c r="F3" s="3">
        <v>0.20599999999999999</v>
      </c>
      <c r="G3" s="3">
        <v>0.23</v>
      </c>
      <c r="H3" s="65">
        <f t="shared" ref="H3:H42" si="0">(1+F3)*G3</f>
        <v>0.27738000000000002</v>
      </c>
      <c r="I3" s="83">
        <f t="shared" ref="I3:I27" si="1">MAX(H3, G3)</f>
        <v>0.27738000000000002</v>
      </c>
      <c r="J3" s="3" t="s">
        <v>268</v>
      </c>
      <c r="K3" s="3" t="s">
        <v>108</v>
      </c>
    </row>
    <row r="4" spans="1:11" x14ac:dyDescent="0.2">
      <c r="A4" s="8" t="s">
        <v>15</v>
      </c>
      <c r="B4" s="3" t="s">
        <v>16</v>
      </c>
      <c r="C4" s="3" t="s">
        <v>17</v>
      </c>
      <c r="D4" s="9" t="s">
        <v>18</v>
      </c>
      <c r="E4" s="3" t="s">
        <v>53</v>
      </c>
      <c r="F4" s="3" t="s">
        <v>53</v>
      </c>
      <c r="G4" s="3">
        <v>0.51100000000000001</v>
      </c>
      <c r="H4" s="3" t="s">
        <v>53</v>
      </c>
      <c r="I4" s="32">
        <f t="shared" si="1"/>
        <v>0.51100000000000001</v>
      </c>
      <c r="J4" s="3" t="s">
        <v>55</v>
      </c>
      <c r="K4" s="3" t="s">
        <v>20</v>
      </c>
    </row>
    <row r="5" spans="1:11" x14ac:dyDescent="0.2">
      <c r="A5" s="8" t="s">
        <v>15</v>
      </c>
      <c r="B5" s="3" t="s">
        <v>16</v>
      </c>
      <c r="C5" s="3" t="s">
        <v>17</v>
      </c>
      <c r="D5" s="6" t="s">
        <v>21</v>
      </c>
      <c r="E5" s="3" t="s">
        <v>53</v>
      </c>
      <c r="F5" s="3" t="s">
        <v>53</v>
      </c>
      <c r="G5" s="3">
        <v>0.78300000000000003</v>
      </c>
      <c r="H5" s="3" t="s">
        <v>53</v>
      </c>
      <c r="I5" s="32">
        <f t="shared" si="1"/>
        <v>0.78300000000000003</v>
      </c>
      <c r="J5" s="3" t="s">
        <v>19</v>
      </c>
      <c r="K5" s="3" t="s">
        <v>22</v>
      </c>
    </row>
    <row r="6" spans="1:11" x14ac:dyDescent="0.2">
      <c r="A6" s="8" t="s">
        <v>15</v>
      </c>
      <c r="B6" s="3" t="s">
        <v>16</v>
      </c>
      <c r="C6" s="3" t="s">
        <v>17</v>
      </c>
      <c r="D6" s="7" t="s">
        <v>14</v>
      </c>
      <c r="E6" s="3" t="s">
        <v>53</v>
      </c>
      <c r="F6" s="3" t="s">
        <v>53</v>
      </c>
      <c r="G6" s="3">
        <v>0.89700000000000002</v>
      </c>
      <c r="H6" s="3" t="s">
        <v>53</v>
      </c>
      <c r="I6" s="32">
        <f t="shared" si="1"/>
        <v>0.89700000000000002</v>
      </c>
      <c r="J6" s="3" t="s">
        <v>19</v>
      </c>
      <c r="K6" s="3" t="s">
        <v>23</v>
      </c>
    </row>
    <row r="7" spans="1:11" x14ac:dyDescent="0.2">
      <c r="A7" s="10" t="s">
        <v>24</v>
      </c>
      <c r="B7" s="3" t="s">
        <v>16</v>
      </c>
      <c r="C7" s="3" t="s">
        <v>17</v>
      </c>
      <c r="D7" s="9" t="s">
        <v>18</v>
      </c>
      <c r="E7" s="3" t="s">
        <v>53</v>
      </c>
      <c r="F7" s="3" t="s">
        <v>53</v>
      </c>
      <c r="G7" s="3">
        <v>0.76700000000000002</v>
      </c>
      <c r="H7" s="3" t="s">
        <v>53</v>
      </c>
      <c r="I7" s="32">
        <f t="shared" si="1"/>
        <v>0.76700000000000002</v>
      </c>
      <c r="J7" s="3" t="s">
        <v>19</v>
      </c>
      <c r="K7" s="3" t="s">
        <v>25</v>
      </c>
    </row>
    <row r="8" spans="1:11" x14ac:dyDescent="0.2">
      <c r="A8" s="10" t="s">
        <v>24</v>
      </c>
      <c r="B8" s="3" t="s">
        <v>16</v>
      </c>
      <c r="C8" s="3" t="s">
        <v>17</v>
      </c>
      <c r="D8" s="6" t="s">
        <v>21</v>
      </c>
      <c r="E8" s="3" t="s">
        <v>53</v>
      </c>
      <c r="F8" s="3" t="s">
        <v>53</v>
      </c>
      <c r="G8" s="3">
        <v>0.80900000000000005</v>
      </c>
      <c r="H8" s="3" t="s">
        <v>53</v>
      </c>
      <c r="I8" s="32">
        <f t="shared" si="1"/>
        <v>0.80900000000000005</v>
      </c>
      <c r="J8" s="3" t="s">
        <v>19</v>
      </c>
      <c r="K8" s="3" t="s">
        <v>26</v>
      </c>
    </row>
    <row r="9" spans="1:11" x14ac:dyDescent="0.2">
      <c r="A9" s="10" t="s">
        <v>24</v>
      </c>
      <c r="B9" s="3" t="s">
        <v>16</v>
      </c>
      <c r="C9" s="3" t="s">
        <v>17</v>
      </c>
      <c r="D9" s="7" t="s">
        <v>14</v>
      </c>
      <c r="E9" s="3" t="s">
        <v>53</v>
      </c>
      <c r="F9" s="3" t="s">
        <v>53</v>
      </c>
      <c r="G9" s="3">
        <v>0.82199999999999995</v>
      </c>
      <c r="H9" s="3" t="s">
        <v>53</v>
      </c>
      <c r="I9" s="32">
        <f t="shared" si="1"/>
        <v>0.82199999999999995</v>
      </c>
      <c r="J9" s="3" t="s">
        <v>19</v>
      </c>
      <c r="K9" s="3" t="s">
        <v>27</v>
      </c>
    </row>
    <row r="10" spans="1:11" x14ac:dyDescent="0.2">
      <c r="A10" s="10" t="s">
        <v>24</v>
      </c>
      <c r="B10" s="3" t="s">
        <v>16</v>
      </c>
      <c r="C10" s="3" t="s">
        <v>17</v>
      </c>
      <c r="D10" s="7" t="s">
        <v>14</v>
      </c>
      <c r="E10" s="3" t="s">
        <v>53</v>
      </c>
      <c r="F10" s="3" t="s">
        <v>53</v>
      </c>
      <c r="G10" s="3">
        <v>0.878</v>
      </c>
      <c r="H10" s="3" t="s">
        <v>53</v>
      </c>
      <c r="I10" s="32">
        <f t="shared" si="1"/>
        <v>0.878</v>
      </c>
      <c r="J10" s="3" t="s">
        <v>19</v>
      </c>
      <c r="K10" s="3" t="s">
        <v>28</v>
      </c>
    </row>
    <row r="11" spans="1:11" x14ac:dyDescent="0.2">
      <c r="A11" s="11" t="s">
        <v>29</v>
      </c>
      <c r="B11" s="3" t="s">
        <v>16</v>
      </c>
      <c r="C11" s="3" t="s">
        <v>17</v>
      </c>
      <c r="D11" s="6" t="s">
        <v>21</v>
      </c>
      <c r="E11" s="3" t="s">
        <v>53</v>
      </c>
      <c r="F11" s="3" t="s">
        <v>53</v>
      </c>
      <c r="G11" s="3">
        <v>0.435</v>
      </c>
      <c r="H11" s="3" t="s">
        <v>53</v>
      </c>
      <c r="I11" s="32">
        <f t="shared" si="1"/>
        <v>0.435</v>
      </c>
      <c r="J11" s="3" t="s">
        <v>19</v>
      </c>
      <c r="K11" s="3" t="s">
        <v>30</v>
      </c>
    </row>
    <row r="12" spans="1:11" x14ac:dyDescent="0.2">
      <c r="A12" s="11" t="s">
        <v>29</v>
      </c>
      <c r="B12" s="3" t="s">
        <v>16</v>
      </c>
      <c r="C12" s="3" t="s">
        <v>17</v>
      </c>
      <c r="D12" s="9" t="s">
        <v>18</v>
      </c>
      <c r="E12" s="3" t="s">
        <v>53</v>
      </c>
      <c r="F12" s="3" t="s">
        <v>53</v>
      </c>
      <c r="G12" s="3">
        <v>0.16</v>
      </c>
      <c r="H12" s="3" t="s">
        <v>53</v>
      </c>
      <c r="I12" s="32">
        <f t="shared" si="1"/>
        <v>0.16</v>
      </c>
      <c r="J12" s="3" t="s">
        <v>19</v>
      </c>
      <c r="K12" s="3" t="s">
        <v>31</v>
      </c>
    </row>
    <row r="13" spans="1:11" x14ac:dyDescent="0.2">
      <c r="A13" s="11" t="s">
        <v>29</v>
      </c>
      <c r="B13" s="3" t="s">
        <v>16</v>
      </c>
      <c r="C13" s="3" t="s">
        <v>17</v>
      </c>
      <c r="D13" s="7" t="s">
        <v>14</v>
      </c>
      <c r="E13" s="3" t="s">
        <v>53</v>
      </c>
      <c r="F13" s="3" t="s">
        <v>53</v>
      </c>
      <c r="G13" s="3">
        <v>0.45900000000000002</v>
      </c>
      <c r="H13" s="3" t="s">
        <v>53</v>
      </c>
      <c r="I13" s="32">
        <f t="shared" si="1"/>
        <v>0.45900000000000002</v>
      </c>
      <c r="J13" s="3" t="s">
        <v>19</v>
      </c>
      <c r="K13" s="3" t="s">
        <v>271</v>
      </c>
    </row>
    <row r="14" spans="1:11" x14ac:dyDescent="0.2">
      <c r="A14" s="10" t="s">
        <v>24</v>
      </c>
      <c r="B14" s="3" t="s">
        <v>32</v>
      </c>
      <c r="C14" s="3" t="s">
        <v>33</v>
      </c>
      <c r="D14" s="9" t="s">
        <v>18</v>
      </c>
      <c r="E14" s="3">
        <v>2023</v>
      </c>
      <c r="F14" s="3">
        <v>7.1999999999999995E-2</v>
      </c>
      <c r="G14" s="3">
        <v>35.332999999999998</v>
      </c>
      <c r="H14" s="65">
        <f t="shared" si="0"/>
        <v>37.876975999999999</v>
      </c>
      <c r="I14" s="29">
        <f t="shared" si="1"/>
        <v>37.876975999999999</v>
      </c>
      <c r="J14" s="3" t="s">
        <v>34</v>
      </c>
      <c r="K14" s="3" t="s">
        <v>109</v>
      </c>
    </row>
    <row r="15" spans="1:11" x14ac:dyDescent="0.2">
      <c r="A15" s="10" t="s">
        <v>24</v>
      </c>
      <c r="B15" s="3" t="s">
        <v>32</v>
      </c>
      <c r="C15" s="3" t="s">
        <v>33</v>
      </c>
      <c r="D15" s="6" t="s">
        <v>21</v>
      </c>
      <c r="E15" s="3">
        <v>2023</v>
      </c>
      <c r="F15" s="3">
        <v>7.1999999999999995E-2</v>
      </c>
      <c r="G15" s="3">
        <v>95.236000000000004</v>
      </c>
      <c r="H15" s="65">
        <f t="shared" si="0"/>
        <v>102.09299200000001</v>
      </c>
      <c r="I15" s="29">
        <f t="shared" si="1"/>
        <v>102.09299200000001</v>
      </c>
      <c r="J15" s="3" t="s">
        <v>34</v>
      </c>
      <c r="K15" s="3" t="s">
        <v>109</v>
      </c>
    </row>
    <row r="16" spans="1:11" x14ac:dyDescent="0.2">
      <c r="A16" s="10" t="s">
        <v>24</v>
      </c>
      <c r="B16" s="3" t="s">
        <v>32</v>
      </c>
      <c r="C16" s="3" t="s">
        <v>33</v>
      </c>
      <c r="D16" s="7" t="s">
        <v>14</v>
      </c>
      <c r="E16" s="3">
        <v>2023</v>
      </c>
      <c r="F16" s="3">
        <v>7.1999999999999995E-2</v>
      </c>
      <c r="G16" s="3">
        <v>144.57499999999999</v>
      </c>
      <c r="H16" s="65">
        <f t="shared" si="0"/>
        <v>154.98439999999999</v>
      </c>
      <c r="I16" s="29">
        <f t="shared" si="1"/>
        <v>154.98439999999999</v>
      </c>
      <c r="J16" s="3" t="s">
        <v>34</v>
      </c>
      <c r="K16" s="3" t="s">
        <v>109</v>
      </c>
    </row>
    <row r="17" spans="1:11" x14ac:dyDescent="0.2">
      <c r="A17" s="10" t="s">
        <v>24</v>
      </c>
      <c r="B17" s="3" t="s">
        <v>32</v>
      </c>
      <c r="C17" s="3" t="s">
        <v>33</v>
      </c>
      <c r="D17" s="7" t="s">
        <v>14</v>
      </c>
      <c r="E17" s="3">
        <v>2023</v>
      </c>
      <c r="F17" s="3">
        <v>7.1999999999999995E-2</v>
      </c>
      <c r="G17" s="3">
        <v>297.32220323809463</v>
      </c>
      <c r="H17" s="65">
        <f t="shared" si="0"/>
        <v>318.72940187123749</v>
      </c>
      <c r="I17" s="29">
        <f t="shared" si="1"/>
        <v>318.72940187123749</v>
      </c>
      <c r="J17" s="3" t="s">
        <v>34</v>
      </c>
      <c r="K17" s="3" t="s">
        <v>274</v>
      </c>
    </row>
    <row r="18" spans="1:11" x14ac:dyDescent="0.2">
      <c r="A18" s="10" t="s">
        <v>24</v>
      </c>
      <c r="B18" s="3" t="s">
        <v>32</v>
      </c>
      <c r="C18" s="3" t="s">
        <v>33</v>
      </c>
      <c r="D18" s="7" t="s">
        <v>14</v>
      </c>
      <c r="E18" s="3">
        <v>2023</v>
      </c>
      <c r="F18" s="3">
        <v>7.1999999999999995E-2</v>
      </c>
      <c r="G18" s="3">
        <v>322.4732032</v>
      </c>
      <c r="H18" s="65">
        <f t="shared" si="0"/>
        <v>345.69127383040001</v>
      </c>
      <c r="I18" s="29">
        <f t="shared" si="1"/>
        <v>345.69127383040001</v>
      </c>
      <c r="J18" s="3" t="s">
        <v>34</v>
      </c>
      <c r="K18" s="3" t="s">
        <v>110</v>
      </c>
    </row>
    <row r="19" spans="1:11" x14ac:dyDescent="0.2">
      <c r="A19" s="11" t="s">
        <v>29</v>
      </c>
      <c r="B19" s="3" t="s">
        <v>32</v>
      </c>
      <c r="C19" s="3" t="s">
        <v>33</v>
      </c>
      <c r="D19" s="9" t="s">
        <v>18</v>
      </c>
      <c r="E19" s="3" t="s">
        <v>53</v>
      </c>
      <c r="F19" s="3" t="s">
        <v>53</v>
      </c>
      <c r="G19" s="3" t="s">
        <v>53</v>
      </c>
      <c r="H19" s="65" t="s">
        <v>53</v>
      </c>
      <c r="I19" s="29">
        <f t="shared" si="1"/>
        <v>0</v>
      </c>
      <c r="J19" s="3" t="s">
        <v>34</v>
      </c>
      <c r="K19" s="3" t="s">
        <v>35</v>
      </c>
    </row>
    <row r="20" spans="1:11" x14ac:dyDescent="0.2">
      <c r="A20" s="11" t="s">
        <v>29</v>
      </c>
      <c r="B20" s="3" t="s">
        <v>32</v>
      </c>
      <c r="C20" s="3" t="s">
        <v>33</v>
      </c>
      <c r="D20" s="6" t="s">
        <v>21</v>
      </c>
      <c r="E20" s="3">
        <v>2024</v>
      </c>
      <c r="F20" s="3">
        <v>4.2000000000000003E-2</v>
      </c>
      <c r="G20" s="3">
        <v>80</v>
      </c>
      <c r="H20" s="65">
        <f t="shared" si="0"/>
        <v>83.36</v>
      </c>
      <c r="I20" s="29">
        <f t="shared" si="1"/>
        <v>83.36</v>
      </c>
      <c r="J20" s="3" t="s">
        <v>34</v>
      </c>
      <c r="K20" s="3" t="s">
        <v>36</v>
      </c>
    </row>
    <row r="21" spans="1:11" x14ac:dyDescent="0.2">
      <c r="A21" s="11" t="s">
        <v>29</v>
      </c>
      <c r="B21" s="3" t="s">
        <v>32</v>
      </c>
      <c r="C21" s="3" t="s">
        <v>33</v>
      </c>
      <c r="D21" s="7" t="s">
        <v>14</v>
      </c>
      <c r="E21" s="3">
        <v>2025</v>
      </c>
      <c r="F21" s="3" t="s">
        <v>53</v>
      </c>
      <c r="G21" s="3">
        <v>560</v>
      </c>
      <c r="H21" s="65" t="s">
        <v>53</v>
      </c>
      <c r="I21" s="29">
        <f t="shared" si="1"/>
        <v>560</v>
      </c>
      <c r="J21" s="3" t="s">
        <v>34</v>
      </c>
      <c r="K21" s="12" t="s">
        <v>54</v>
      </c>
    </row>
    <row r="22" spans="1:11" x14ac:dyDescent="0.2">
      <c r="A22" s="8" t="s">
        <v>15</v>
      </c>
      <c r="B22" s="3" t="s">
        <v>37</v>
      </c>
      <c r="C22" s="3" t="s">
        <v>38</v>
      </c>
      <c r="D22" s="9" t="s">
        <v>18</v>
      </c>
      <c r="E22" s="3">
        <v>2022</v>
      </c>
      <c r="F22" s="3">
        <v>0.11700000000000001</v>
      </c>
      <c r="G22" s="3">
        <v>5</v>
      </c>
      <c r="H22" s="65">
        <f t="shared" si="0"/>
        <v>5.585</v>
      </c>
      <c r="I22" s="29">
        <f t="shared" si="1"/>
        <v>5.585</v>
      </c>
      <c r="J22" s="3" t="s">
        <v>34</v>
      </c>
      <c r="K22" s="3" t="s">
        <v>265</v>
      </c>
    </row>
    <row r="23" spans="1:11" x14ac:dyDescent="0.2">
      <c r="A23" s="8" t="s">
        <v>15</v>
      </c>
      <c r="B23" s="3" t="s">
        <v>37</v>
      </c>
      <c r="C23" s="3" t="s">
        <v>38</v>
      </c>
      <c r="D23" s="6" t="s">
        <v>21</v>
      </c>
      <c r="E23" s="3">
        <v>2023</v>
      </c>
      <c r="F23" s="3">
        <v>7.1999999999999995E-2</v>
      </c>
      <c r="G23" s="3">
        <v>8</v>
      </c>
      <c r="H23" s="65">
        <f t="shared" si="0"/>
        <v>8.5760000000000005</v>
      </c>
      <c r="I23" s="29">
        <f t="shared" si="1"/>
        <v>8.5760000000000005</v>
      </c>
      <c r="J23" s="3" t="s">
        <v>34</v>
      </c>
      <c r="K23" s="3" t="s">
        <v>39</v>
      </c>
    </row>
    <row r="24" spans="1:11" x14ac:dyDescent="0.2">
      <c r="A24" s="8" t="s">
        <v>15</v>
      </c>
      <c r="B24" s="3" t="s">
        <v>37</v>
      </c>
      <c r="C24" s="3" t="s">
        <v>38</v>
      </c>
      <c r="D24" s="7" t="s">
        <v>14</v>
      </c>
      <c r="E24" s="3">
        <v>2021</v>
      </c>
      <c r="F24" s="3">
        <v>0.20599999999999999</v>
      </c>
      <c r="G24" s="3">
        <v>30</v>
      </c>
      <c r="H24" s="65">
        <f t="shared" si="0"/>
        <v>36.18</v>
      </c>
      <c r="I24" s="29">
        <f t="shared" si="1"/>
        <v>36.18</v>
      </c>
      <c r="J24" s="3" t="s">
        <v>34</v>
      </c>
      <c r="K24" s="3" t="s">
        <v>108</v>
      </c>
    </row>
    <row r="25" spans="1:11" x14ac:dyDescent="0.2">
      <c r="A25" s="10" t="s">
        <v>24</v>
      </c>
      <c r="B25" s="3" t="s">
        <v>37</v>
      </c>
      <c r="C25" s="3" t="s">
        <v>38</v>
      </c>
      <c r="D25" s="9" t="s">
        <v>18</v>
      </c>
      <c r="E25" s="3">
        <v>2023</v>
      </c>
      <c r="F25" s="3">
        <v>7.1999999999999995E-2</v>
      </c>
      <c r="G25" s="3">
        <v>8.5329999999999995</v>
      </c>
      <c r="H25" s="65">
        <f t="shared" si="0"/>
        <v>9.1473759999999995</v>
      </c>
      <c r="I25" s="29">
        <f t="shared" si="1"/>
        <v>9.1473759999999995</v>
      </c>
      <c r="J25" s="3" t="s">
        <v>34</v>
      </c>
      <c r="K25" s="3" t="s">
        <v>109</v>
      </c>
    </row>
    <row r="26" spans="1:11" x14ac:dyDescent="0.2">
      <c r="A26" s="10" t="s">
        <v>24</v>
      </c>
      <c r="B26" s="3" t="s">
        <v>37</v>
      </c>
      <c r="C26" s="3" t="s">
        <v>38</v>
      </c>
      <c r="D26" s="6" t="s">
        <v>21</v>
      </c>
      <c r="E26" s="3">
        <v>2023</v>
      </c>
      <c r="F26" s="3">
        <v>7.1999999999999995E-2</v>
      </c>
      <c r="G26" s="3">
        <v>62.167999999999999</v>
      </c>
      <c r="H26" s="65">
        <f t="shared" si="0"/>
        <v>66.644096000000005</v>
      </c>
      <c r="I26" s="29">
        <f t="shared" si="1"/>
        <v>66.644096000000005</v>
      </c>
      <c r="J26" s="3" t="s">
        <v>34</v>
      </c>
      <c r="K26" s="3" t="s">
        <v>109</v>
      </c>
    </row>
    <row r="27" spans="1:11" x14ac:dyDescent="0.2">
      <c r="A27" s="10" t="s">
        <v>24</v>
      </c>
      <c r="B27" s="3" t="s">
        <v>37</v>
      </c>
      <c r="C27" s="3" t="s">
        <v>38</v>
      </c>
      <c r="D27" s="7" t="s">
        <v>14</v>
      </c>
      <c r="E27" s="3">
        <v>2023</v>
      </c>
      <c r="F27" s="3">
        <v>7.1999999999999995E-2</v>
      </c>
      <c r="G27" s="3">
        <v>83.272000000000006</v>
      </c>
      <c r="H27" s="65">
        <f t="shared" si="0"/>
        <v>89.267584000000014</v>
      </c>
      <c r="I27" s="29">
        <f t="shared" si="1"/>
        <v>89.267584000000014</v>
      </c>
      <c r="J27" s="3" t="s">
        <v>34</v>
      </c>
      <c r="K27" s="3" t="s">
        <v>109</v>
      </c>
    </row>
    <row r="28" spans="1:11" x14ac:dyDescent="0.2">
      <c r="A28" s="11" t="s">
        <v>29</v>
      </c>
      <c r="B28" s="3" t="s">
        <v>37</v>
      </c>
      <c r="C28" s="3" t="s">
        <v>38</v>
      </c>
      <c r="D28" s="9" t="s">
        <v>18</v>
      </c>
      <c r="E28" s="3" t="s">
        <v>53</v>
      </c>
      <c r="F28" s="3" t="s">
        <v>53</v>
      </c>
      <c r="G28" s="3" t="s">
        <v>53</v>
      </c>
      <c r="H28" s="65" t="s">
        <v>53</v>
      </c>
      <c r="I28" s="29">
        <v>17.091999999999999</v>
      </c>
      <c r="J28" s="3" t="s">
        <v>34</v>
      </c>
      <c r="K28" s="3" t="s">
        <v>112</v>
      </c>
    </row>
    <row r="29" spans="1:11" x14ac:dyDescent="0.2">
      <c r="A29" s="11" t="s">
        <v>29</v>
      </c>
      <c r="B29" s="3" t="s">
        <v>37</v>
      </c>
      <c r="C29" s="3" t="s">
        <v>38</v>
      </c>
      <c r="D29" s="6" t="s">
        <v>21</v>
      </c>
      <c r="E29" s="3">
        <v>2024</v>
      </c>
      <c r="F29" s="3">
        <v>4.2000000000000003E-2</v>
      </c>
      <c r="G29" s="3">
        <v>26</v>
      </c>
      <c r="H29" s="65">
        <f t="shared" si="0"/>
        <v>27.092000000000002</v>
      </c>
      <c r="I29" s="29">
        <f>MAX(G29, H29)</f>
        <v>27.092000000000002</v>
      </c>
      <c r="J29" s="3" t="s">
        <v>34</v>
      </c>
      <c r="K29" s="3" t="s">
        <v>36</v>
      </c>
    </row>
    <row r="30" spans="1:11" x14ac:dyDescent="0.2">
      <c r="A30" s="11" t="s">
        <v>29</v>
      </c>
      <c r="B30" s="3" t="s">
        <v>37</v>
      </c>
      <c r="C30" s="3" t="s">
        <v>38</v>
      </c>
      <c r="D30" s="7" t="s">
        <v>14</v>
      </c>
      <c r="E30" s="3" t="s">
        <v>53</v>
      </c>
      <c r="F30" s="3" t="s">
        <v>53</v>
      </c>
      <c r="G30" s="3" t="s">
        <v>53</v>
      </c>
      <c r="H30" s="65" t="s">
        <v>53</v>
      </c>
      <c r="I30" s="29">
        <v>37.091999999999999</v>
      </c>
      <c r="J30" s="3" t="s">
        <v>34</v>
      </c>
      <c r="K30" s="3" t="s">
        <v>111</v>
      </c>
    </row>
    <row r="31" spans="1:11" x14ac:dyDescent="0.2">
      <c r="A31" s="8" t="s">
        <v>15</v>
      </c>
      <c r="B31" s="3" t="s">
        <v>40</v>
      </c>
      <c r="C31" s="3" t="s">
        <v>41</v>
      </c>
      <c r="D31" s="9" t="s">
        <v>18</v>
      </c>
      <c r="E31" s="3">
        <v>2022</v>
      </c>
      <c r="F31" s="3">
        <v>0.11700000000000001</v>
      </c>
      <c r="G31" s="3">
        <v>5</v>
      </c>
      <c r="H31" s="65">
        <f t="shared" si="0"/>
        <v>5.585</v>
      </c>
      <c r="I31" s="29">
        <v>5.585</v>
      </c>
      <c r="J31" s="3" t="s">
        <v>34</v>
      </c>
      <c r="K31" s="3" t="s">
        <v>42</v>
      </c>
    </row>
    <row r="32" spans="1:11" x14ac:dyDescent="0.2">
      <c r="A32" s="8" t="s">
        <v>15</v>
      </c>
      <c r="B32" s="3" t="s">
        <v>40</v>
      </c>
      <c r="C32" s="3" t="s">
        <v>41</v>
      </c>
      <c r="D32" s="6" t="s">
        <v>21</v>
      </c>
      <c r="E32" s="3">
        <v>2022.5</v>
      </c>
      <c r="F32" s="3">
        <v>9.4500000000000001E-2</v>
      </c>
      <c r="G32" s="3">
        <v>12.5</v>
      </c>
      <c r="H32" s="65">
        <f t="shared" si="0"/>
        <v>13.68125</v>
      </c>
      <c r="I32" s="29">
        <v>13.680999999999999</v>
      </c>
      <c r="J32" s="3" t="s">
        <v>34</v>
      </c>
      <c r="K32" s="3" t="s">
        <v>266</v>
      </c>
    </row>
    <row r="33" spans="1:11" x14ac:dyDescent="0.2">
      <c r="A33" s="8" t="s">
        <v>15</v>
      </c>
      <c r="B33" s="3" t="s">
        <v>40</v>
      </c>
      <c r="C33" s="3" t="s">
        <v>41</v>
      </c>
      <c r="D33" s="7" t="s">
        <v>14</v>
      </c>
      <c r="E33" s="3">
        <v>2023</v>
      </c>
      <c r="F33" s="3">
        <v>7.1999999999999995E-2</v>
      </c>
      <c r="G33" s="3">
        <v>20</v>
      </c>
      <c r="H33" s="65">
        <f t="shared" si="0"/>
        <v>21.44</v>
      </c>
      <c r="I33" s="29">
        <v>21.44</v>
      </c>
      <c r="J33" s="3" t="s">
        <v>34</v>
      </c>
      <c r="K33" s="3" t="s">
        <v>43</v>
      </c>
    </row>
    <row r="34" spans="1:11" x14ac:dyDescent="0.2">
      <c r="A34" s="11" t="s">
        <v>29</v>
      </c>
      <c r="B34" s="3" t="s">
        <v>40</v>
      </c>
      <c r="C34" s="3" t="s">
        <v>41</v>
      </c>
      <c r="D34" s="9" t="s">
        <v>18</v>
      </c>
      <c r="E34" s="3" t="s">
        <v>53</v>
      </c>
      <c r="F34" s="3" t="s">
        <v>53</v>
      </c>
      <c r="G34" s="3" t="s">
        <v>53</v>
      </c>
      <c r="H34" s="65" t="s">
        <v>53</v>
      </c>
      <c r="I34" s="29">
        <v>73.78</v>
      </c>
      <c r="J34" s="3" t="s">
        <v>34</v>
      </c>
      <c r="K34" s="3" t="s">
        <v>44</v>
      </c>
    </row>
    <row r="35" spans="1:11" x14ac:dyDescent="0.2">
      <c r="A35" s="11" t="s">
        <v>29</v>
      </c>
      <c r="B35" s="3" t="s">
        <v>40</v>
      </c>
      <c r="C35" s="3" t="s">
        <v>41</v>
      </c>
      <c r="D35" s="6" t="s">
        <v>21</v>
      </c>
      <c r="E35" s="3">
        <v>2024</v>
      </c>
      <c r="F35" s="3">
        <v>4.2000000000000003E-2</v>
      </c>
      <c r="G35" s="3">
        <v>90</v>
      </c>
      <c r="H35" s="65">
        <f t="shared" si="0"/>
        <v>93.78</v>
      </c>
      <c r="I35" s="29">
        <v>93.78</v>
      </c>
      <c r="J35" s="3" t="s">
        <v>34</v>
      </c>
      <c r="K35" s="3" t="s">
        <v>36</v>
      </c>
    </row>
    <row r="36" spans="1:11" x14ac:dyDescent="0.2">
      <c r="A36" s="11" t="s">
        <v>29</v>
      </c>
      <c r="B36" s="3" t="s">
        <v>40</v>
      </c>
      <c r="C36" s="3" t="s">
        <v>41</v>
      </c>
      <c r="D36" s="7" t="s">
        <v>14</v>
      </c>
      <c r="E36" s="3" t="s">
        <v>53</v>
      </c>
      <c r="F36" s="3" t="s">
        <v>53</v>
      </c>
      <c r="G36" s="3" t="s">
        <v>53</v>
      </c>
      <c r="H36" s="65" t="s">
        <v>53</v>
      </c>
      <c r="I36" s="29">
        <v>113.78</v>
      </c>
      <c r="J36" s="3" t="s">
        <v>34</v>
      </c>
      <c r="K36" s="3" t="s">
        <v>45</v>
      </c>
    </row>
    <row r="37" spans="1:11" x14ac:dyDescent="0.2">
      <c r="A37" s="13" t="s">
        <v>46</v>
      </c>
      <c r="B37" s="3" t="s">
        <v>40</v>
      </c>
      <c r="C37" s="3" t="s">
        <v>41</v>
      </c>
      <c r="D37" s="9" t="s">
        <v>18</v>
      </c>
      <c r="E37" s="3" t="s">
        <v>113</v>
      </c>
      <c r="H37" s="65" t="s">
        <v>53</v>
      </c>
      <c r="I37" s="29">
        <v>10.38</v>
      </c>
      <c r="J37" s="3" t="s">
        <v>47</v>
      </c>
      <c r="K37" s="3" t="s">
        <v>48</v>
      </c>
    </row>
    <row r="38" spans="1:11" x14ac:dyDescent="0.2">
      <c r="A38" s="13" t="s">
        <v>46</v>
      </c>
      <c r="B38" s="3" t="s">
        <v>40</v>
      </c>
      <c r="C38" s="3" t="s">
        <v>41</v>
      </c>
      <c r="D38" s="6" t="s">
        <v>21</v>
      </c>
      <c r="E38" s="3" t="s">
        <v>113</v>
      </c>
      <c r="H38" s="65" t="s">
        <v>53</v>
      </c>
      <c r="I38" s="29">
        <v>22.91</v>
      </c>
      <c r="J38" s="3" t="s">
        <v>47</v>
      </c>
      <c r="K38" s="3" t="s">
        <v>49</v>
      </c>
    </row>
    <row r="39" spans="1:11" x14ac:dyDescent="0.2">
      <c r="A39" s="13" t="s">
        <v>46</v>
      </c>
      <c r="B39" s="3" t="s">
        <v>40</v>
      </c>
      <c r="C39" s="3" t="s">
        <v>41</v>
      </c>
      <c r="D39" s="7" t="s">
        <v>14</v>
      </c>
      <c r="E39" s="3" t="s">
        <v>113</v>
      </c>
      <c r="H39" s="65" t="s">
        <v>53</v>
      </c>
      <c r="I39" s="29">
        <v>41.69</v>
      </c>
      <c r="J39" s="3" t="s">
        <v>47</v>
      </c>
      <c r="K39" s="3" t="s">
        <v>50</v>
      </c>
    </row>
    <row r="40" spans="1:11" x14ac:dyDescent="0.2">
      <c r="A40" s="10" t="s">
        <v>24</v>
      </c>
      <c r="B40" s="3" t="s">
        <v>40</v>
      </c>
      <c r="C40" s="3" t="s">
        <v>41</v>
      </c>
      <c r="D40" s="9" t="s">
        <v>18</v>
      </c>
      <c r="E40" s="3">
        <v>2023</v>
      </c>
      <c r="F40" s="3">
        <v>7.1999999999999995E-2</v>
      </c>
      <c r="G40" s="3">
        <v>34.83</v>
      </c>
      <c r="H40" s="65">
        <f t="shared" si="0"/>
        <v>37.337760000000003</v>
      </c>
      <c r="I40" s="29">
        <v>37.338000000000001</v>
      </c>
      <c r="J40" s="3" t="s">
        <v>34</v>
      </c>
      <c r="K40" s="3" t="s">
        <v>109</v>
      </c>
    </row>
    <row r="41" spans="1:11" x14ac:dyDescent="0.2">
      <c r="A41" s="10" t="s">
        <v>24</v>
      </c>
      <c r="B41" s="3" t="s">
        <v>40</v>
      </c>
      <c r="C41" s="3" t="s">
        <v>41</v>
      </c>
      <c r="D41" s="6" t="s">
        <v>21</v>
      </c>
      <c r="E41" s="3">
        <v>2023</v>
      </c>
      <c r="F41" s="3">
        <v>7.1999999999999995E-2</v>
      </c>
      <c r="G41" s="3">
        <v>59.927999999999997</v>
      </c>
      <c r="H41" s="65">
        <f t="shared" si="0"/>
        <v>64.242816000000005</v>
      </c>
      <c r="I41" s="29">
        <v>64.242999999999995</v>
      </c>
      <c r="J41" s="3" t="s">
        <v>34</v>
      </c>
      <c r="K41" s="3" t="s">
        <v>109</v>
      </c>
    </row>
    <row r="42" spans="1:11" x14ac:dyDescent="0.2">
      <c r="A42" s="10" t="s">
        <v>24</v>
      </c>
      <c r="B42" s="3" t="s">
        <v>40</v>
      </c>
      <c r="C42" s="3" t="s">
        <v>41</v>
      </c>
      <c r="D42" s="7" t="s">
        <v>14</v>
      </c>
      <c r="E42" s="3">
        <v>2023</v>
      </c>
      <c r="F42" s="3">
        <v>7.1999999999999995E-2</v>
      </c>
      <c r="G42" s="3">
        <v>137.49700000000001</v>
      </c>
      <c r="H42" s="65">
        <f t="shared" si="0"/>
        <v>147.39678400000003</v>
      </c>
      <c r="I42" s="29">
        <v>147.39699999999999</v>
      </c>
      <c r="J42" s="3" t="s">
        <v>34</v>
      </c>
      <c r="K42" s="3" t="s">
        <v>109</v>
      </c>
    </row>
    <row r="43" spans="1:11" x14ac:dyDescent="0.2">
      <c r="A43" s="3" t="s">
        <v>11</v>
      </c>
      <c r="B43" s="3" t="s">
        <v>51</v>
      </c>
      <c r="C43" s="3" t="s">
        <v>52</v>
      </c>
      <c r="D43" s="9" t="s">
        <v>18</v>
      </c>
      <c r="E43" s="3" t="s">
        <v>113</v>
      </c>
      <c r="H43" s="65" t="s">
        <v>53</v>
      </c>
      <c r="I43" s="29">
        <v>17.170000000000002</v>
      </c>
      <c r="J43" s="3" t="s">
        <v>47</v>
      </c>
      <c r="K43" s="3" t="s">
        <v>114</v>
      </c>
    </row>
    <row r="44" spans="1:11" x14ac:dyDescent="0.2">
      <c r="A44" s="3" t="s">
        <v>11</v>
      </c>
      <c r="B44" s="3" t="s">
        <v>51</v>
      </c>
      <c r="C44" s="3" t="s">
        <v>52</v>
      </c>
      <c r="D44" s="6" t="s">
        <v>21</v>
      </c>
      <c r="E44" s="3" t="s">
        <v>113</v>
      </c>
      <c r="H44" s="65" t="s">
        <v>53</v>
      </c>
      <c r="I44" s="29">
        <v>25.93</v>
      </c>
      <c r="J44" s="3" t="s">
        <v>47</v>
      </c>
      <c r="K44" s="3" t="s">
        <v>116</v>
      </c>
    </row>
    <row r="45" spans="1:11" x14ac:dyDescent="0.2">
      <c r="A45" s="3" t="s">
        <v>11</v>
      </c>
      <c r="B45" s="3" t="s">
        <v>51</v>
      </c>
      <c r="C45" s="3" t="s">
        <v>52</v>
      </c>
      <c r="D45" s="7" t="s">
        <v>14</v>
      </c>
      <c r="E45" s="3" t="s">
        <v>113</v>
      </c>
      <c r="H45" s="65" t="s">
        <v>53</v>
      </c>
      <c r="I45" s="29">
        <v>38.03</v>
      </c>
      <c r="J45" s="3" t="s">
        <v>47</v>
      </c>
      <c r="K45" s="3" t="s">
        <v>115</v>
      </c>
    </row>
    <row r="46" spans="1:11" x14ac:dyDescent="0.2">
      <c r="H46" s="65"/>
    </row>
    <row r="47" spans="1:11" x14ac:dyDescent="0.2">
      <c r="H47" s="65"/>
    </row>
    <row r="48" spans="1:11" x14ac:dyDescent="0.2">
      <c r="H48" s="65"/>
    </row>
    <row r="49" spans="8:8" x14ac:dyDescent="0.2">
      <c r="H49" s="65"/>
    </row>
    <row r="50" spans="8:8" x14ac:dyDescent="0.2">
      <c r="H50" s="65"/>
    </row>
    <row r="51" spans="8:8" x14ac:dyDescent="0.2">
      <c r="H51" s="65"/>
    </row>
    <row r="52" spans="8:8" x14ac:dyDescent="0.2">
      <c r="H52" s="65"/>
    </row>
    <row r="53" spans="8:8" x14ac:dyDescent="0.2">
      <c r="H53" s="65"/>
    </row>
    <row r="54" spans="8:8" x14ac:dyDescent="0.2">
      <c r="H54" s="65"/>
    </row>
    <row r="55" spans="8:8" x14ac:dyDescent="0.2">
      <c r="H55" s="65"/>
    </row>
    <row r="56" spans="8:8" x14ac:dyDescent="0.2">
      <c r="H56" s="65"/>
    </row>
    <row r="57" spans="8:8" x14ac:dyDescent="0.2">
      <c r="H57" s="65"/>
    </row>
    <row r="58" spans="8:8" x14ac:dyDescent="0.2">
      <c r="H58" s="65"/>
    </row>
    <row r="59" spans="8:8" x14ac:dyDescent="0.2">
      <c r="H59" s="65"/>
    </row>
    <row r="60" spans="8:8" x14ac:dyDescent="0.2">
      <c r="H60" s="65"/>
    </row>
    <row r="61" spans="8:8" x14ac:dyDescent="0.2">
      <c r="H61" s="65"/>
    </row>
    <row r="62" spans="8:8" x14ac:dyDescent="0.2">
      <c r="H62" s="65"/>
    </row>
    <row r="63" spans="8:8" x14ac:dyDescent="0.2">
      <c r="H63" s="65"/>
    </row>
    <row r="64" spans="8:8" x14ac:dyDescent="0.2">
      <c r="H64" s="65"/>
    </row>
    <row r="65" spans="8:8" x14ac:dyDescent="0.2">
      <c r="H65" s="65"/>
    </row>
    <row r="66" spans="8:8" x14ac:dyDescent="0.2">
      <c r="H66" s="65"/>
    </row>
    <row r="67" spans="8:8" x14ac:dyDescent="0.2">
      <c r="H67" s="65"/>
    </row>
    <row r="68" spans="8:8" x14ac:dyDescent="0.2">
      <c r="H68" s="65"/>
    </row>
    <row r="69" spans="8:8" x14ac:dyDescent="0.2">
      <c r="H69" s="65"/>
    </row>
    <row r="70" spans="8:8" x14ac:dyDescent="0.2">
      <c r="H70" s="65"/>
    </row>
    <row r="71" spans="8:8" x14ac:dyDescent="0.2">
      <c r="H71" s="65"/>
    </row>
    <row r="72" spans="8:8" x14ac:dyDescent="0.2">
      <c r="H72" s="65"/>
    </row>
    <row r="73" spans="8:8" x14ac:dyDescent="0.2">
      <c r="H73" s="65"/>
    </row>
    <row r="74" spans="8:8" x14ac:dyDescent="0.2">
      <c r="H74" s="65"/>
    </row>
    <row r="75" spans="8:8" x14ac:dyDescent="0.2">
      <c r="H75" s="65"/>
    </row>
    <row r="76" spans="8:8" x14ac:dyDescent="0.2">
      <c r="H76" s="65"/>
    </row>
    <row r="77" spans="8:8" x14ac:dyDescent="0.2">
      <c r="H77" s="65"/>
    </row>
    <row r="78" spans="8:8" x14ac:dyDescent="0.2">
      <c r="H78" s="65"/>
    </row>
    <row r="79" spans="8:8" x14ac:dyDescent="0.2">
      <c r="H79" s="65"/>
    </row>
    <row r="80" spans="8:8" x14ac:dyDescent="0.2">
      <c r="H80" s="65"/>
    </row>
    <row r="81" spans="8:8" x14ac:dyDescent="0.2">
      <c r="H81" s="65"/>
    </row>
    <row r="82" spans="8:8" x14ac:dyDescent="0.2">
      <c r="H82" s="65"/>
    </row>
    <row r="83" spans="8:8" x14ac:dyDescent="0.2">
      <c r="H83" s="65"/>
    </row>
    <row r="84" spans="8:8" x14ac:dyDescent="0.2">
      <c r="H84" s="65"/>
    </row>
    <row r="85" spans="8:8" x14ac:dyDescent="0.2">
      <c r="H85" s="65"/>
    </row>
    <row r="86" spans="8:8" x14ac:dyDescent="0.2">
      <c r="H86" s="65"/>
    </row>
    <row r="87" spans="8:8" x14ac:dyDescent="0.2">
      <c r="H87" s="65"/>
    </row>
    <row r="88" spans="8:8" x14ac:dyDescent="0.2">
      <c r="H88" s="65"/>
    </row>
    <row r="89" spans="8:8" x14ac:dyDescent="0.2">
      <c r="H89" s="65"/>
    </row>
    <row r="90" spans="8:8" x14ac:dyDescent="0.2">
      <c r="H90" s="65"/>
    </row>
    <row r="91" spans="8:8" x14ac:dyDescent="0.2">
      <c r="H91" s="65"/>
    </row>
    <row r="92" spans="8:8" x14ac:dyDescent="0.2">
      <c r="H92" s="65"/>
    </row>
    <row r="93" spans="8:8" x14ac:dyDescent="0.2">
      <c r="H93" s="65"/>
    </row>
    <row r="94" spans="8:8" x14ac:dyDescent="0.2">
      <c r="H94" s="65"/>
    </row>
    <row r="95" spans="8:8" x14ac:dyDescent="0.2">
      <c r="H95" s="65"/>
    </row>
    <row r="96" spans="8:8" x14ac:dyDescent="0.2">
      <c r="H96" s="65"/>
    </row>
    <row r="97" spans="8:8" x14ac:dyDescent="0.2">
      <c r="H97" s="65"/>
    </row>
    <row r="98" spans="8:8" x14ac:dyDescent="0.2">
      <c r="H98" s="65"/>
    </row>
    <row r="99" spans="8:8" x14ac:dyDescent="0.2">
      <c r="H99" s="65"/>
    </row>
    <row r="100" spans="8:8" x14ac:dyDescent="0.2">
      <c r="H100" s="65"/>
    </row>
    <row r="101" spans="8:8" x14ac:dyDescent="0.2">
      <c r="H101" s="65"/>
    </row>
    <row r="102" spans="8:8" x14ac:dyDescent="0.2">
      <c r="H102" s="65"/>
    </row>
    <row r="103" spans="8:8" x14ac:dyDescent="0.2">
      <c r="H103" s="65"/>
    </row>
    <row r="104" spans="8:8" x14ac:dyDescent="0.2">
      <c r="H104" s="65"/>
    </row>
    <row r="105" spans="8:8" x14ac:dyDescent="0.2">
      <c r="H105" s="65"/>
    </row>
    <row r="106" spans="8:8" x14ac:dyDescent="0.2">
      <c r="H106" s="65"/>
    </row>
    <row r="107" spans="8:8" x14ac:dyDescent="0.2">
      <c r="H107" s="65"/>
    </row>
    <row r="108" spans="8:8" x14ac:dyDescent="0.2">
      <c r="H108" s="65"/>
    </row>
    <row r="109" spans="8:8" x14ac:dyDescent="0.2">
      <c r="H109" s="65"/>
    </row>
    <row r="110" spans="8:8" x14ac:dyDescent="0.2">
      <c r="H110" s="65"/>
    </row>
    <row r="111" spans="8:8" x14ac:dyDescent="0.2">
      <c r="H111" s="65"/>
    </row>
    <row r="112" spans="8:8" x14ac:dyDescent="0.2">
      <c r="H112" s="65"/>
    </row>
    <row r="113" spans="8:8" x14ac:dyDescent="0.2">
      <c r="H113" s="65"/>
    </row>
    <row r="114" spans="8:8" x14ac:dyDescent="0.2">
      <c r="H114" s="65"/>
    </row>
    <row r="115" spans="8:8" x14ac:dyDescent="0.2">
      <c r="H115" s="65"/>
    </row>
    <row r="116" spans="8:8" x14ac:dyDescent="0.2">
      <c r="H116" s="65"/>
    </row>
    <row r="117" spans="8:8" x14ac:dyDescent="0.2">
      <c r="H117" s="65"/>
    </row>
    <row r="118" spans="8:8" x14ac:dyDescent="0.2">
      <c r="H118" s="65"/>
    </row>
    <row r="119" spans="8:8" x14ac:dyDescent="0.2">
      <c r="H119" s="65"/>
    </row>
    <row r="120" spans="8:8" x14ac:dyDescent="0.2">
      <c r="H120" s="65"/>
    </row>
    <row r="121" spans="8:8" x14ac:dyDescent="0.2">
      <c r="H121" s="65"/>
    </row>
    <row r="122" spans="8:8" x14ac:dyDescent="0.2">
      <c r="H122" s="65"/>
    </row>
    <row r="123" spans="8:8" x14ac:dyDescent="0.2">
      <c r="H123" s="65"/>
    </row>
    <row r="124" spans="8:8" x14ac:dyDescent="0.2">
      <c r="H124" s="65"/>
    </row>
    <row r="125" spans="8:8" x14ac:dyDescent="0.2">
      <c r="H125" s="65"/>
    </row>
    <row r="126" spans="8:8" x14ac:dyDescent="0.2">
      <c r="H126" s="65"/>
    </row>
    <row r="127" spans="8:8" x14ac:dyDescent="0.2">
      <c r="H127" s="65"/>
    </row>
    <row r="128" spans="8:8" x14ac:dyDescent="0.2">
      <c r="H128" s="65"/>
    </row>
    <row r="129" spans="8:8" x14ac:dyDescent="0.2">
      <c r="H129" s="65"/>
    </row>
    <row r="130" spans="8:8" x14ac:dyDescent="0.2">
      <c r="H130" s="65"/>
    </row>
    <row r="131" spans="8:8" x14ac:dyDescent="0.2">
      <c r="H131" s="65"/>
    </row>
    <row r="132" spans="8:8" x14ac:dyDescent="0.2">
      <c r="H132" s="65"/>
    </row>
    <row r="133" spans="8:8" x14ac:dyDescent="0.2">
      <c r="H133" s="65"/>
    </row>
    <row r="134" spans="8:8" x14ac:dyDescent="0.2">
      <c r="H134" s="65"/>
    </row>
    <row r="135" spans="8:8" x14ac:dyDescent="0.2">
      <c r="H135" s="65"/>
    </row>
    <row r="136" spans="8:8" x14ac:dyDescent="0.2">
      <c r="H136" s="65"/>
    </row>
    <row r="137" spans="8:8" x14ac:dyDescent="0.2">
      <c r="H137" s="65"/>
    </row>
    <row r="138" spans="8:8" x14ac:dyDescent="0.2">
      <c r="H138" s="65"/>
    </row>
    <row r="139" spans="8:8" x14ac:dyDescent="0.2">
      <c r="H139" s="65"/>
    </row>
    <row r="140" spans="8:8" x14ac:dyDescent="0.2">
      <c r="H140" s="65"/>
    </row>
    <row r="141" spans="8:8" x14ac:dyDescent="0.2">
      <c r="H141" s="65"/>
    </row>
    <row r="142" spans="8:8" x14ac:dyDescent="0.2">
      <c r="H142" s="65"/>
    </row>
    <row r="143" spans="8:8" x14ac:dyDescent="0.2">
      <c r="H143" s="65"/>
    </row>
    <row r="144" spans="8:8" x14ac:dyDescent="0.2">
      <c r="H144" s="65"/>
    </row>
    <row r="145" spans="8:8" x14ac:dyDescent="0.2">
      <c r="H145" s="65"/>
    </row>
    <row r="146" spans="8:8" x14ac:dyDescent="0.2">
      <c r="H146" s="65"/>
    </row>
    <row r="147" spans="8:8" x14ac:dyDescent="0.2">
      <c r="H147" s="65"/>
    </row>
    <row r="148" spans="8:8" x14ac:dyDescent="0.2">
      <c r="H148" s="65"/>
    </row>
    <row r="149" spans="8:8" x14ac:dyDescent="0.2">
      <c r="H149" s="65"/>
    </row>
    <row r="150" spans="8:8" x14ac:dyDescent="0.2">
      <c r="H150" s="65"/>
    </row>
    <row r="151" spans="8:8" x14ac:dyDescent="0.2">
      <c r="H151" s="65"/>
    </row>
    <row r="152" spans="8:8" x14ac:dyDescent="0.2">
      <c r="H152" s="65"/>
    </row>
    <row r="153" spans="8:8" x14ac:dyDescent="0.2">
      <c r="H153" s="65"/>
    </row>
    <row r="154" spans="8:8" x14ac:dyDescent="0.2">
      <c r="H154" s="65"/>
    </row>
    <row r="155" spans="8:8" x14ac:dyDescent="0.2">
      <c r="H155" s="65"/>
    </row>
    <row r="156" spans="8:8" x14ac:dyDescent="0.2">
      <c r="H156" s="65"/>
    </row>
    <row r="157" spans="8:8" x14ac:dyDescent="0.2">
      <c r="H157" s="65"/>
    </row>
    <row r="158" spans="8:8" x14ac:dyDescent="0.2">
      <c r="H158" s="65"/>
    </row>
    <row r="159" spans="8:8" x14ac:dyDescent="0.2">
      <c r="H159" s="65"/>
    </row>
    <row r="160" spans="8:8" x14ac:dyDescent="0.2">
      <c r="H160" s="65"/>
    </row>
    <row r="161" spans="8:8" x14ac:dyDescent="0.2">
      <c r="H161" s="65"/>
    </row>
    <row r="162" spans="8:8" x14ac:dyDescent="0.2">
      <c r="H162" s="65"/>
    </row>
    <row r="163" spans="8:8" x14ac:dyDescent="0.2">
      <c r="H163" s="65"/>
    </row>
    <row r="164" spans="8:8" x14ac:dyDescent="0.2">
      <c r="H164" s="65"/>
    </row>
    <row r="165" spans="8:8" x14ac:dyDescent="0.2">
      <c r="H165" s="65"/>
    </row>
    <row r="166" spans="8:8" x14ac:dyDescent="0.2">
      <c r="H166" s="65"/>
    </row>
    <row r="167" spans="8:8" x14ac:dyDescent="0.2">
      <c r="H167" s="65"/>
    </row>
    <row r="168" spans="8:8" x14ac:dyDescent="0.2">
      <c r="H168" s="65"/>
    </row>
    <row r="169" spans="8:8" x14ac:dyDescent="0.2">
      <c r="H169" s="65"/>
    </row>
    <row r="170" spans="8:8" x14ac:dyDescent="0.2">
      <c r="H170" s="65"/>
    </row>
    <row r="171" spans="8:8" x14ac:dyDescent="0.2">
      <c r="H171" s="65"/>
    </row>
    <row r="172" spans="8:8" x14ac:dyDescent="0.2">
      <c r="H172" s="65"/>
    </row>
    <row r="173" spans="8:8" x14ac:dyDescent="0.2">
      <c r="H173" s="65"/>
    </row>
    <row r="174" spans="8:8" x14ac:dyDescent="0.2">
      <c r="H174" s="65"/>
    </row>
    <row r="175" spans="8:8" x14ac:dyDescent="0.2">
      <c r="H175" s="65"/>
    </row>
    <row r="176" spans="8:8" x14ac:dyDescent="0.2">
      <c r="H176" s="65"/>
    </row>
    <row r="177" spans="8:8" x14ac:dyDescent="0.2">
      <c r="H177" s="65"/>
    </row>
    <row r="178" spans="8:8" x14ac:dyDescent="0.2">
      <c r="H178" s="65"/>
    </row>
    <row r="179" spans="8:8" x14ac:dyDescent="0.2">
      <c r="H179" s="65"/>
    </row>
    <row r="180" spans="8:8" x14ac:dyDescent="0.2">
      <c r="H180" s="65"/>
    </row>
    <row r="181" spans="8:8" x14ac:dyDescent="0.2">
      <c r="H181" s="65"/>
    </row>
    <row r="182" spans="8:8" x14ac:dyDescent="0.2">
      <c r="H182" s="65"/>
    </row>
    <row r="183" spans="8:8" x14ac:dyDescent="0.2">
      <c r="H183" s="65"/>
    </row>
    <row r="184" spans="8:8" x14ac:dyDescent="0.2">
      <c r="H184" s="65"/>
    </row>
    <row r="185" spans="8:8" x14ac:dyDescent="0.2">
      <c r="H185" s="65"/>
    </row>
    <row r="186" spans="8:8" x14ac:dyDescent="0.2">
      <c r="H186" s="65"/>
    </row>
    <row r="187" spans="8:8" x14ac:dyDescent="0.2">
      <c r="H187" s="65"/>
    </row>
    <row r="188" spans="8:8" x14ac:dyDescent="0.2">
      <c r="H188" s="65"/>
    </row>
    <row r="189" spans="8:8" x14ac:dyDescent="0.2">
      <c r="H189" s="65"/>
    </row>
    <row r="190" spans="8:8" x14ac:dyDescent="0.2">
      <c r="H190" s="65"/>
    </row>
    <row r="191" spans="8:8" x14ac:dyDescent="0.2">
      <c r="H191" s="65"/>
    </row>
    <row r="192" spans="8:8" x14ac:dyDescent="0.2">
      <c r="H192" s="65"/>
    </row>
    <row r="193" spans="8:8" x14ac:dyDescent="0.2">
      <c r="H193" s="65"/>
    </row>
    <row r="194" spans="8:8" x14ac:dyDescent="0.2">
      <c r="H194" s="65"/>
    </row>
    <row r="195" spans="8:8" x14ac:dyDescent="0.2">
      <c r="H195" s="65"/>
    </row>
    <row r="196" spans="8:8" x14ac:dyDescent="0.2">
      <c r="H196" s="65"/>
    </row>
    <row r="197" spans="8:8" x14ac:dyDescent="0.2">
      <c r="H197" s="65"/>
    </row>
    <row r="198" spans="8:8" x14ac:dyDescent="0.2">
      <c r="H198" s="65"/>
    </row>
    <row r="199" spans="8:8" x14ac:dyDescent="0.2">
      <c r="H199" s="65"/>
    </row>
    <row r="200" spans="8:8" x14ac:dyDescent="0.2">
      <c r="H200" s="65"/>
    </row>
    <row r="201" spans="8:8" x14ac:dyDescent="0.2">
      <c r="H201" s="65"/>
    </row>
    <row r="202" spans="8:8" x14ac:dyDescent="0.2">
      <c r="H202" s="65"/>
    </row>
    <row r="203" spans="8:8" x14ac:dyDescent="0.2">
      <c r="H203" s="65"/>
    </row>
    <row r="204" spans="8:8" x14ac:dyDescent="0.2">
      <c r="H204" s="65"/>
    </row>
    <row r="205" spans="8:8" x14ac:dyDescent="0.2">
      <c r="H205" s="65"/>
    </row>
    <row r="206" spans="8:8" x14ac:dyDescent="0.2">
      <c r="H206" s="65"/>
    </row>
    <row r="207" spans="8:8" x14ac:dyDescent="0.2">
      <c r="H207" s="65"/>
    </row>
    <row r="208" spans="8:8" x14ac:dyDescent="0.2">
      <c r="H208" s="65"/>
    </row>
    <row r="209" spans="8:8" x14ac:dyDescent="0.2">
      <c r="H209" s="65"/>
    </row>
    <row r="210" spans="8:8" x14ac:dyDescent="0.2">
      <c r="H210" s="65"/>
    </row>
    <row r="211" spans="8:8" x14ac:dyDescent="0.2">
      <c r="H211" s="65"/>
    </row>
    <row r="212" spans="8:8" x14ac:dyDescent="0.2">
      <c r="H212" s="65"/>
    </row>
    <row r="213" spans="8:8" x14ac:dyDescent="0.2">
      <c r="H213" s="65"/>
    </row>
    <row r="214" spans="8:8" x14ac:dyDescent="0.2">
      <c r="H214" s="65"/>
    </row>
    <row r="215" spans="8:8" x14ac:dyDescent="0.2">
      <c r="H215" s="65"/>
    </row>
    <row r="216" spans="8:8" x14ac:dyDescent="0.2">
      <c r="H216" s="65"/>
    </row>
    <row r="217" spans="8:8" x14ac:dyDescent="0.2">
      <c r="H217" s="65"/>
    </row>
    <row r="218" spans="8:8" x14ac:dyDescent="0.2">
      <c r="H218" s="65"/>
    </row>
    <row r="219" spans="8:8" x14ac:dyDescent="0.2">
      <c r="H219" s="65"/>
    </row>
    <row r="220" spans="8:8" x14ac:dyDescent="0.2">
      <c r="H220" s="65"/>
    </row>
    <row r="221" spans="8:8" x14ac:dyDescent="0.2">
      <c r="H221" s="65"/>
    </row>
    <row r="222" spans="8:8" x14ac:dyDescent="0.2">
      <c r="H222" s="65"/>
    </row>
    <row r="223" spans="8:8" x14ac:dyDescent="0.2">
      <c r="H223" s="65"/>
    </row>
    <row r="224" spans="8:8" x14ac:dyDescent="0.2">
      <c r="H224" s="65"/>
    </row>
    <row r="225" spans="8:8" x14ac:dyDescent="0.2">
      <c r="H225" s="65"/>
    </row>
    <row r="226" spans="8:8" x14ac:dyDescent="0.2">
      <c r="H226" s="65"/>
    </row>
    <row r="227" spans="8:8" x14ac:dyDescent="0.2">
      <c r="H227" s="65"/>
    </row>
    <row r="228" spans="8:8" x14ac:dyDescent="0.2">
      <c r="H228" s="65"/>
    </row>
    <row r="229" spans="8:8" x14ac:dyDescent="0.2">
      <c r="H229" s="65"/>
    </row>
    <row r="230" spans="8:8" x14ac:dyDescent="0.2">
      <c r="H230" s="65"/>
    </row>
    <row r="231" spans="8:8" x14ac:dyDescent="0.2">
      <c r="H231" s="65"/>
    </row>
    <row r="232" spans="8:8" x14ac:dyDescent="0.2">
      <c r="H232" s="65"/>
    </row>
    <row r="233" spans="8:8" x14ac:dyDescent="0.2">
      <c r="H233" s="65"/>
    </row>
    <row r="234" spans="8:8" x14ac:dyDescent="0.2">
      <c r="H234" s="65"/>
    </row>
    <row r="235" spans="8:8" x14ac:dyDescent="0.2">
      <c r="H235" s="65"/>
    </row>
    <row r="236" spans="8:8" x14ac:dyDescent="0.2">
      <c r="H236" s="65"/>
    </row>
    <row r="237" spans="8:8" x14ac:dyDescent="0.2">
      <c r="H237" s="65"/>
    </row>
    <row r="238" spans="8:8" x14ac:dyDescent="0.2">
      <c r="H238" s="65"/>
    </row>
    <row r="239" spans="8:8" x14ac:dyDescent="0.2">
      <c r="H239" s="65"/>
    </row>
    <row r="240" spans="8:8" x14ac:dyDescent="0.2">
      <c r="H240" s="65"/>
    </row>
    <row r="241" spans="8:8" x14ac:dyDescent="0.2">
      <c r="H241" s="65"/>
    </row>
    <row r="242" spans="8:8" x14ac:dyDescent="0.2">
      <c r="H242" s="65"/>
    </row>
    <row r="243" spans="8:8" x14ac:dyDescent="0.2">
      <c r="H243" s="65"/>
    </row>
    <row r="244" spans="8:8" x14ac:dyDescent="0.2">
      <c r="H244" s="65"/>
    </row>
    <row r="245" spans="8:8" x14ac:dyDescent="0.2">
      <c r="H245" s="65"/>
    </row>
    <row r="246" spans="8:8" x14ac:dyDescent="0.2">
      <c r="H246" s="65"/>
    </row>
    <row r="247" spans="8:8" x14ac:dyDescent="0.2">
      <c r="H247" s="65"/>
    </row>
    <row r="248" spans="8:8" x14ac:dyDescent="0.2">
      <c r="H248" s="65"/>
    </row>
    <row r="249" spans="8:8" x14ac:dyDescent="0.2">
      <c r="H249" s="65"/>
    </row>
    <row r="250" spans="8:8" x14ac:dyDescent="0.2">
      <c r="H250" s="65"/>
    </row>
    <row r="251" spans="8:8" x14ac:dyDescent="0.2">
      <c r="H251" s="65"/>
    </row>
    <row r="252" spans="8:8" x14ac:dyDescent="0.2">
      <c r="H252" s="65"/>
    </row>
    <row r="253" spans="8:8" x14ac:dyDescent="0.2">
      <c r="H253" s="65"/>
    </row>
    <row r="254" spans="8:8" x14ac:dyDescent="0.2">
      <c r="H254" s="65"/>
    </row>
    <row r="255" spans="8:8" x14ac:dyDescent="0.2">
      <c r="H255" s="65"/>
    </row>
    <row r="256" spans="8:8" x14ac:dyDescent="0.2">
      <c r="H256" s="65"/>
    </row>
    <row r="257" spans="8:8" x14ac:dyDescent="0.2">
      <c r="H257" s="65"/>
    </row>
    <row r="258" spans="8:8" x14ac:dyDescent="0.2">
      <c r="H258" s="65"/>
    </row>
    <row r="259" spans="8:8" x14ac:dyDescent="0.2">
      <c r="H259" s="65"/>
    </row>
    <row r="260" spans="8:8" x14ac:dyDescent="0.2">
      <c r="H260" s="65"/>
    </row>
    <row r="261" spans="8:8" x14ac:dyDescent="0.2">
      <c r="H261" s="65"/>
    </row>
    <row r="262" spans="8:8" x14ac:dyDescent="0.2">
      <c r="H262" s="65"/>
    </row>
    <row r="263" spans="8:8" x14ac:dyDescent="0.2">
      <c r="H263" s="65"/>
    </row>
    <row r="264" spans="8:8" x14ac:dyDescent="0.2">
      <c r="H264" s="65"/>
    </row>
    <row r="265" spans="8:8" x14ac:dyDescent="0.2">
      <c r="H265" s="65"/>
    </row>
    <row r="266" spans="8:8" x14ac:dyDescent="0.2">
      <c r="H266" s="65"/>
    </row>
    <row r="267" spans="8:8" x14ac:dyDescent="0.2">
      <c r="H267" s="65"/>
    </row>
    <row r="268" spans="8:8" x14ac:dyDescent="0.2">
      <c r="H268" s="65"/>
    </row>
    <row r="269" spans="8:8" x14ac:dyDescent="0.2">
      <c r="H269" s="65"/>
    </row>
    <row r="270" spans="8:8" x14ac:dyDescent="0.2">
      <c r="H270" s="65"/>
    </row>
    <row r="271" spans="8:8" x14ac:dyDescent="0.2">
      <c r="H271" s="65"/>
    </row>
    <row r="272" spans="8:8" x14ac:dyDescent="0.2">
      <c r="H272" s="65"/>
    </row>
    <row r="273" spans="8:8" x14ac:dyDescent="0.2">
      <c r="H273" s="65"/>
    </row>
    <row r="274" spans="8:8" x14ac:dyDescent="0.2">
      <c r="H274" s="65"/>
    </row>
    <row r="275" spans="8:8" x14ac:dyDescent="0.2">
      <c r="H275" s="65"/>
    </row>
    <row r="276" spans="8:8" x14ac:dyDescent="0.2">
      <c r="H276" s="65"/>
    </row>
    <row r="277" spans="8:8" x14ac:dyDescent="0.2">
      <c r="H277" s="65"/>
    </row>
    <row r="278" spans="8:8" x14ac:dyDescent="0.2">
      <c r="H278" s="65"/>
    </row>
    <row r="279" spans="8:8" x14ac:dyDescent="0.2">
      <c r="H279" s="65"/>
    </row>
    <row r="280" spans="8:8" x14ac:dyDescent="0.2">
      <c r="H280" s="65"/>
    </row>
    <row r="281" spans="8:8" x14ac:dyDescent="0.2">
      <c r="H281" s="65"/>
    </row>
    <row r="282" spans="8:8" x14ac:dyDescent="0.2">
      <c r="H282" s="65"/>
    </row>
    <row r="283" spans="8:8" x14ac:dyDescent="0.2">
      <c r="H283" s="65"/>
    </row>
    <row r="284" spans="8:8" x14ac:dyDescent="0.2">
      <c r="H284" s="65"/>
    </row>
    <row r="285" spans="8:8" x14ac:dyDescent="0.2">
      <c r="H285" s="65"/>
    </row>
    <row r="286" spans="8:8" x14ac:dyDescent="0.2">
      <c r="H286" s="65"/>
    </row>
    <row r="287" spans="8:8" x14ac:dyDescent="0.2">
      <c r="H287" s="65"/>
    </row>
    <row r="288" spans="8:8" x14ac:dyDescent="0.2">
      <c r="H288" s="65"/>
    </row>
    <row r="289" spans="8:8" x14ac:dyDescent="0.2">
      <c r="H289" s="65"/>
    </row>
    <row r="290" spans="8:8" x14ac:dyDescent="0.2">
      <c r="H290" s="65"/>
    </row>
    <row r="291" spans="8:8" x14ac:dyDescent="0.2">
      <c r="H291" s="65"/>
    </row>
    <row r="292" spans="8:8" x14ac:dyDescent="0.2">
      <c r="H292" s="65"/>
    </row>
    <row r="293" spans="8:8" x14ac:dyDescent="0.2">
      <c r="H293" s="65"/>
    </row>
    <row r="294" spans="8:8" x14ac:dyDescent="0.2">
      <c r="H294" s="65"/>
    </row>
    <row r="295" spans="8:8" x14ac:dyDescent="0.2">
      <c r="H295" s="65"/>
    </row>
    <row r="296" spans="8:8" x14ac:dyDescent="0.2">
      <c r="H296" s="65"/>
    </row>
    <row r="297" spans="8:8" x14ac:dyDescent="0.2">
      <c r="H297" s="65"/>
    </row>
    <row r="298" spans="8:8" x14ac:dyDescent="0.2">
      <c r="H298" s="65"/>
    </row>
    <row r="299" spans="8:8" x14ac:dyDescent="0.2">
      <c r="H299" s="65"/>
    </row>
    <row r="300" spans="8:8" x14ac:dyDescent="0.2">
      <c r="H300" s="65"/>
    </row>
    <row r="301" spans="8:8" x14ac:dyDescent="0.2">
      <c r="H301" s="65"/>
    </row>
    <row r="302" spans="8:8" x14ac:dyDescent="0.2">
      <c r="H302" s="65"/>
    </row>
    <row r="303" spans="8:8" x14ac:dyDescent="0.2">
      <c r="H303" s="65"/>
    </row>
    <row r="304" spans="8:8" x14ac:dyDescent="0.2">
      <c r="H304" s="65"/>
    </row>
    <row r="305" spans="8:8" x14ac:dyDescent="0.2">
      <c r="H305" s="65"/>
    </row>
    <row r="306" spans="8:8" x14ac:dyDescent="0.2">
      <c r="H306" s="65"/>
    </row>
    <row r="307" spans="8:8" x14ac:dyDescent="0.2">
      <c r="H307" s="65"/>
    </row>
    <row r="308" spans="8:8" x14ac:dyDescent="0.2">
      <c r="H308" s="65"/>
    </row>
    <row r="309" spans="8:8" x14ac:dyDescent="0.2">
      <c r="H309" s="65"/>
    </row>
    <row r="310" spans="8:8" x14ac:dyDescent="0.2">
      <c r="H310" s="65"/>
    </row>
    <row r="311" spans="8:8" x14ac:dyDescent="0.2">
      <c r="H311" s="65"/>
    </row>
    <row r="312" spans="8:8" x14ac:dyDescent="0.2">
      <c r="H312" s="65"/>
    </row>
    <row r="313" spans="8:8" x14ac:dyDescent="0.2">
      <c r="H313" s="65"/>
    </row>
    <row r="314" spans="8:8" x14ac:dyDescent="0.2">
      <c r="H314" s="65"/>
    </row>
    <row r="315" spans="8:8" x14ac:dyDescent="0.2">
      <c r="H315" s="65"/>
    </row>
    <row r="316" spans="8:8" x14ac:dyDescent="0.2">
      <c r="H316" s="65"/>
    </row>
    <row r="317" spans="8:8" x14ac:dyDescent="0.2">
      <c r="H317" s="65"/>
    </row>
    <row r="318" spans="8:8" x14ac:dyDescent="0.2">
      <c r="H318" s="65"/>
    </row>
    <row r="319" spans="8:8" x14ac:dyDescent="0.2">
      <c r="H319" s="65"/>
    </row>
    <row r="320" spans="8:8" x14ac:dyDescent="0.2">
      <c r="H320" s="65"/>
    </row>
    <row r="321" spans="8:8" x14ac:dyDescent="0.2">
      <c r="H321" s="65"/>
    </row>
    <row r="322" spans="8:8" x14ac:dyDescent="0.2">
      <c r="H322" s="65"/>
    </row>
    <row r="323" spans="8:8" x14ac:dyDescent="0.2">
      <c r="H323" s="65"/>
    </row>
    <row r="324" spans="8:8" x14ac:dyDescent="0.2">
      <c r="H324" s="65"/>
    </row>
    <row r="325" spans="8:8" x14ac:dyDescent="0.2">
      <c r="H325" s="65"/>
    </row>
    <row r="326" spans="8:8" x14ac:dyDescent="0.2">
      <c r="H326" s="65"/>
    </row>
    <row r="327" spans="8:8" x14ac:dyDescent="0.2">
      <c r="H327" s="65"/>
    </row>
    <row r="328" spans="8:8" x14ac:dyDescent="0.2">
      <c r="H328" s="65"/>
    </row>
    <row r="329" spans="8:8" x14ac:dyDescent="0.2">
      <c r="H329" s="65"/>
    </row>
    <row r="330" spans="8:8" x14ac:dyDescent="0.2">
      <c r="H330" s="65"/>
    </row>
    <row r="331" spans="8:8" x14ac:dyDescent="0.2">
      <c r="H331" s="65"/>
    </row>
    <row r="332" spans="8:8" x14ac:dyDescent="0.2">
      <c r="H332" s="65"/>
    </row>
    <row r="333" spans="8:8" x14ac:dyDescent="0.2">
      <c r="H333" s="65"/>
    </row>
    <row r="334" spans="8:8" x14ac:dyDescent="0.2">
      <c r="H334" s="65"/>
    </row>
    <row r="335" spans="8:8" x14ac:dyDescent="0.2">
      <c r="H335" s="65"/>
    </row>
    <row r="336" spans="8:8" x14ac:dyDescent="0.2">
      <c r="H336" s="65"/>
    </row>
    <row r="337" spans="8:8" x14ac:dyDescent="0.2">
      <c r="H337" s="65"/>
    </row>
    <row r="338" spans="8:8" x14ac:dyDescent="0.2">
      <c r="H338" s="65"/>
    </row>
    <row r="339" spans="8:8" x14ac:dyDescent="0.2">
      <c r="H339" s="65"/>
    </row>
    <row r="340" spans="8:8" x14ac:dyDescent="0.2">
      <c r="H340" s="65"/>
    </row>
    <row r="341" spans="8:8" x14ac:dyDescent="0.2">
      <c r="H341" s="65"/>
    </row>
    <row r="342" spans="8:8" x14ac:dyDescent="0.2">
      <c r="H342" s="65"/>
    </row>
    <row r="343" spans="8:8" x14ac:dyDescent="0.2">
      <c r="H343" s="65"/>
    </row>
    <row r="344" spans="8:8" x14ac:dyDescent="0.2">
      <c r="H344" s="65"/>
    </row>
    <row r="345" spans="8:8" x14ac:dyDescent="0.2">
      <c r="H345" s="65"/>
    </row>
    <row r="346" spans="8:8" x14ac:dyDescent="0.2">
      <c r="H346" s="65"/>
    </row>
    <row r="347" spans="8:8" x14ac:dyDescent="0.2">
      <c r="H347" s="65"/>
    </row>
    <row r="348" spans="8:8" x14ac:dyDescent="0.2">
      <c r="H348" s="65"/>
    </row>
    <row r="349" spans="8:8" x14ac:dyDescent="0.2">
      <c r="H349" s="65"/>
    </row>
    <row r="350" spans="8:8" x14ac:dyDescent="0.2">
      <c r="H350" s="65"/>
    </row>
    <row r="351" spans="8:8" x14ac:dyDescent="0.2">
      <c r="H351" s="65"/>
    </row>
    <row r="352" spans="8:8" x14ac:dyDescent="0.2">
      <c r="H352" s="65"/>
    </row>
    <row r="353" spans="8:8" x14ac:dyDescent="0.2">
      <c r="H353" s="65"/>
    </row>
    <row r="354" spans="8:8" x14ac:dyDescent="0.2">
      <c r="H354" s="65"/>
    </row>
    <row r="355" spans="8:8" x14ac:dyDescent="0.2">
      <c r="H355" s="65"/>
    </row>
    <row r="356" spans="8:8" x14ac:dyDescent="0.2">
      <c r="H356" s="65"/>
    </row>
    <row r="357" spans="8:8" x14ac:dyDescent="0.2">
      <c r="H357" s="65"/>
    </row>
    <row r="358" spans="8:8" x14ac:dyDescent="0.2">
      <c r="H358" s="65"/>
    </row>
    <row r="359" spans="8:8" x14ac:dyDescent="0.2">
      <c r="H359" s="65"/>
    </row>
    <row r="360" spans="8:8" x14ac:dyDescent="0.2">
      <c r="H360" s="65"/>
    </row>
    <row r="361" spans="8:8" x14ac:dyDescent="0.2">
      <c r="H361" s="65"/>
    </row>
    <row r="362" spans="8:8" x14ac:dyDescent="0.2">
      <c r="H362" s="65"/>
    </row>
    <row r="363" spans="8:8" x14ac:dyDescent="0.2">
      <c r="H363" s="65"/>
    </row>
    <row r="364" spans="8:8" x14ac:dyDescent="0.2">
      <c r="H364" s="65"/>
    </row>
    <row r="365" spans="8:8" x14ac:dyDescent="0.2">
      <c r="H365" s="65"/>
    </row>
    <row r="366" spans="8:8" x14ac:dyDescent="0.2">
      <c r="H366" s="65"/>
    </row>
    <row r="367" spans="8:8" x14ac:dyDescent="0.2">
      <c r="H367" s="65"/>
    </row>
    <row r="368" spans="8:8" x14ac:dyDescent="0.2">
      <c r="H368" s="65"/>
    </row>
    <row r="369" spans="8:8" x14ac:dyDescent="0.2">
      <c r="H369" s="65"/>
    </row>
    <row r="370" spans="8:8" x14ac:dyDescent="0.2">
      <c r="H370" s="65"/>
    </row>
    <row r="371" spans="8:8" x14ac:dyDescent="0.2">
      <c r="H371" s="65"/>
    </row>
    <row r="372" spans="8:8" x14ac:dyDescent="0.2">
      <c r="H372" s="65"/>
    </row>
    <row r="373" spans="8:8" x14ac:dyDescent="0.2">
      <c r="H373" s="65"/>
    </row>
    <row r="374" spans="8:8" x14ac:dyDescent="0.2">
      <c r="H374" s="65"/>
    </row>
    <row r="375" spans="8:8" x14ac:dyDescent="0.2">
      <c r="H375" s="65"/>
    </row>
    <row r="376" spans="8:8" x14ac:dyDescent="0.2">
      <c r="H376" s="65"/>
    </row>
    <row r="377" spans="8:8" x14ac:dyDescent="0.2">
      <c r="H377" s="65"/>
    </row>
    <row r="378" spans="8:8" x14ac:dyDescent="0.2">
      <c r="H378" s="65"/>
    </row>
    <row r="379" spans="8:8" x14ac:dyDescent="0.2">
      <c r="H379" s="65"/>
    </row>
    <row r="380" spans="8:8" x14ac:dyDescent="0.2">
      <c r="H380" s="65"/>
    </row>
    <row r="381" spans="8:8" x14ac:dyDescent="0.2">
      <c r="H381" s="65"/>
    </row>
    <row r="382" spans="8:8" x14ac:dyDescent="0.2">
      <c r="H382" s="65"/>
    </row>
    <row r="383" spans="8:8" x14ac:dyDescent="0.2">
      <c r="H383" s="65"/>
    </row>
    <row r="384" spans="8:8" x14ac:dyDescent="0.2">
      <c r="H384" s="65"/>
    </row>
    <row r="385" spans="8:8" x14ac:dyDescent="0.2">
      <c r="H385" s="65"/>
    </row>
    <row r="386" spans="8:8" x14ac:dyDescent="0.2">
      <c r="H386" s="65"/>
    </row>
    <row r="387" spans="8:8" x14ac:dyDescent="0.2">
      <c r="H387" s="65"/>
    </row>
    <row r="388" spans="8:8" x14ac:dyDescent="0.2">
      <c r="H388" s="65"/>
    </row>
    <row r="389" spans="8:8" x14ac:dyDescent="0.2">
      <c r="H389" s="65"/>
    </row>
    <row r="390" spans="8:8" x14ac:dyDescent="0.2">
      <c r="H390" s="65"/>
    </row>
    <row r="391" spans="8:8" x14ac:dyDescent="0.2">
      <c r="H391" s="65"/>
    </row>
    <row r="392" spans="8:8" x14ac:dyDescent="0.2">
      <c r="H392" s="65"/>
    </row>
    <row r="393" spans="8:8" x14ac:dyDescent="0.2">
      <c r="H393" s="65"/>
    </row>
    <row r="394" spans="8:8" x14ac:dyDescent="0.2">
      <c r="H394" s="65"/>
    </row>
    <row r="395" spans="8:8" x14ac:dyDescent="0.2">
      <c r="H395" s="65"/>
    </row>
    <row r="396" spans="8:8" x14ac:dyDescent="0.2">
      <c r="H396" s="65"/>
    </row>
    <row r="397" spans="8:8" x14ac:dyDescent="0.2">
      <c r="H397" s="65"/>
    </row>
    <row r="398" spans="8:8" x14ac:dyDescent="0.2">
      <c r="H398" s="65"/>
    </row>
    <row r="399" spans="8:8" x14ac:dyDescent="0.2">
      <c r="H399" s="65"/>
    </row>
    <row r="400" spans="8:8" x14ac:dyDescent="0.2">
      <c r="H400" s="65"/>
    </row>
    <row r="401" spans="8:8" x14ac:dyDescent="0.2">
      <c r="H401" s="65"/>
    </row>
    <row r="402" spans="8:8" x14ac:dyDescent="0.2">
      <c r="H402" s="65"/>
    </row>
    <row r="403" spans="8:8" x14ac:dyDescent="0.2">
      <c r="H403" s="65"/>
    </row>
    <row r="404" spans="8:8" x14ac:dyDescent="0.2">
      <c r="H404" s="65"/>
    </row>
    <row r="405" spans="8:8" x14ac:dyDescent="0.2">
      <c r="H405" s="65"/>
    </row>
    <row r="406" spans="8:8" x14ac:dyDescent="0.2">
      <c r="H406" s="65"/>
    </row>
    <row r="407" spans="8:8" x14ac:dyDescent="0.2">
      <c r="H407" s="65"/>
    </row>
    <row r="408" spans="8:8" x14ac:dyDescent="0.2">
      <c r="H408" s="65"/>
    </row>
    <row r="409" spans="8:8" x14ac:dyDescent="0.2">
      <c r="H409" s="65"/>
    </row>
    <row r="410" spans="8:8" x14ac:dyDescent="0.2">
      <c r="H410" s="65"/>
    </row>
    <row r="411" spans="8:8" x14ac:dyDescent="0.2">
      <c r="H411" s="65"/>
    </row>
    <row r="412" spans="8:8" x14ac:dyDescent="0.2">
      <c r="H412" s="65"/>
    </row>
    <row r="413" spans="8:8" x14ac:dyDescent="0.2">
      <c r="H413" s="65"/>
    </row>
    <row r="414" spans="8:8" x14ac:dyDescent="0.2">
      <c r="H414" s="65"/>
    </row>
    <row r="415" spans="8:8" x14ac:dyDescent="0.2">
      <c r="H415" s="65"/>
    </row>
    <row r="416" spans="8:8" x14ac:dyDescent="0.2">
      <c r="H416" s="65"/>
    </row>
    <row r="417" spans="8:8" x14ac:dyDescent="0.2">
      <c r="H417" s="65"/>
    </row>
    <row r="418" spans="8:8" x14ac:dyDescent="0.2">
      <c r="H418" s="65"/>
    </row>
    <row r="419" spans="8:8" x14ac:dyDescent="0.2">
      <c r="H419" s="65"/>
    </row>
    <row r="420" spans="8:8" x14ac:dyDescent="0.2">
      <c r="H420" s="65"/>
    </row>
    <row r="421" spans="8:8" x14ac:dyDescent="0.2">
      <c r="H421" s="65"/>
    </row>
    <row r="422" spans="8:8" x14ac:dyDescent="0.2">
      <c r="H422" s="65"/>
    </row>
    <row r="423" spans="8:8" x14ac:dyDescent="0.2">
      <c r="H423" s="65"/>
    </row>
    <row r="424" spans="8:8" x14ac:dyDescent="0.2">
      <c r="H424" s="65"/>
    </row>
    <row r="425" spans="8:8" x14ac:dyDescent="0.2">
      <c r="H425" s="65"/>
    </row>
    <row r="426" spans="8:8" x14ac:dyDescent="0.2">
      <c r="H426" s="65"/>
    </row>
    <row r="427" spans="8:8" x14ac:dyDescent="0.2">
      <c r="H427" s="65"/>
    </row>
    <row r="428" spans="8:8" x14ac:dyDescent="0.2">
      <c r="H428" s="65"/>
    </row>
    <row r="429" spans="8:8" x14ac:dyDescent="0.2">
      <c r="H429" s="65"/>
    </row>
    <row r="430" spans="8:8" x14ac:dyDescent="0.2">
      <c r="H430" s="65"/>
    </row>
    <row r="431" spans="8:8" x14ac:dyDescent="0.2">
      <c r="H431" s="65"/>
    </row>
    <row r="432" spans="8:8" x14ac:dyDescent="0.2">
      <c r="H432" s="65"/>
    </row>
    <row r="433" spans="8:8" x14ac:dyDescent="0.2">
      <c r="H433" s="65"/>
    </row>
    <row r="434" spans="8:8" x14ac:dyDescent="0.2">
      <c r="H434" s="65"/>
    </row>
    <row r="435" spans="8:8" x14ac:dyDescent="0.2">
      <c r="H435" s="65"/>
    </row>
    <row r="436" spans="8:8" x14ac:dyDescent="0.2">
      <c r="H436" s="65"/>
    </row>
    <row r="437" spans="8:8" x14ac:dyDescent="0.2">
      <c r="H437" s="65"/>
    </row>
    <row r="438" spans="8:8" x14ac:dyDescent="0.2">
      <c r="H438" s="65"/>
    </row>
    <row r="439" spans="8:8" x14ac:dyDescent="0.2">
      <c r="H439" s="65"/>
    </row>
    <row r="440" spans="8:8" x14ac:dyDescent="0.2">
      <c r="H440" s="65"/>
    </row>
    <row r="441" spans="8:8" x14ac:dyDescent="0.2">
      <c r="H441" s="65"/>
    </row>
    <row r="442" spans="8:8" x14ac:dyDescent="0.2">
      <c r="H442" s="65"/>
    </row>
    <row r="443" spans="8:8" x14ac:dyDescent="0.2">
      <c r="H443" s="65"/>
    </row>
    <row r="444" spans="8:8" x14ac:dyDescent="0.2">
      <c r="H444" s="65"/>
    </row>
    <row r="445" spans="8:8" x14ac:dyDescent="0.2">
      <c r="H445" s="65"/>
    </row>
    <row r="446" spans="8:8" x14ac:dyDescent="0.2">
      <c r="H446" s="65"/>
    </row>
    <row r="447" spans="8:8" x14ac:dyDescent="0.2">
      <c r="H447" s="65"/>
    </row>
    <row r="448" spans="8:8" x14ac:dyDescent="0.2">
      <c r="H448" s="65"/>
    </row>
    <row r="449" spans="8:8" x14ac:dyDescent="0.2">
      <c r="H449" s="65"/>
    </row>
    <row r="450" spans="8:8" x14ac:dyDescent="0.2">
      <c r="H450" s="65"/>
    </row>
    <row r="451" spans="8:8" x14ac:dyDescent="0.2">
      <c r="H451" s="65"/>
    </row>
    <row r="452" spans="8:8" x14ac:dyDescent="0.2">
      <c r="H452" s="65"/>
    </row>
    <row r="453" spans="8:8" x14ac:dyDescent="0.2">
      <c r="H453" s="65"/>
    </row>
    <row r="454" spans="8:8" x14ac:dyDescent="0.2">
      <c r="H454" s="65"/>
    </row>
    <row r="455" spans="8:8" x14ac:dyDescent="0.2">
      <c r="H455" s="65"/>
    </row>
    <row r="456" spans="8:8" x14ac:dyDescent="0.2">
      <c r="H456" s="65"/>
    </row>
    <row r="457" spans="8:8" x14ac:dyDescent="0.2">
      <c r="H457" s="65"/>
    </row>
    <row r="458" spans="8:8" x14ac:dyDescent="0.2">
      <c r="H458" s="65"/>
    </row>
    <row r="459" spans="8:8" x14ac:dyDescent="0.2">
      <c r="H459" s="65"/>
    </row>
    <row r="460" spans="8:8" x14ac:dyDescent="0.2">
      <c r="H460" s="65"/>
    </row>
    <row r="461" spans="8:8" x14ac:dyDescent="0.2">
      <c r="H461" s="65"/>
    </row>
    <row r="462" spans="8:8" x14ac:dyDescent="0.2">
      <c r="H462" s="65"/>
    </row>
    <row r="463" spans="8:8" x14ac:dyDescent="0.2">
      <c r="H463" s="65"/>
    </row>
    <row r="464" spans="8:8" x14ac:dyDescent="0.2">
      <c r="H464" s="65"/>
    </row>
    <row r="465" spans="8:8" x14ac:dyDescent="0.2">
      <c r="H465" s="65"/>
    </row>
    <row r="466" spans="8:8" x14ac:dyDescent="0.2">
      <c r="H466" s="65"/>
    </row>
    <row r="467" spans="8:8" x14ac:dyDescent="0.2">
      <c r="H467" s="65"/>
    </row>
    <row r="468" spans="8:8" x14ac:dyDescent="0.2">
      <c r="H468" s="65"/>
    </row>
    <row r="469" spans="8:8" x14ac:dyDescent="0.2">
      <c r="H469" s="65"/>
    </row>
    <row r="470" spans="8:8" x14ac:dyDescent="0.2">
      <c r="H470" s="65"/>
    </row>
    <row r="471" spans="8:8" x14ac:dyDescent="0.2">
      <c r="H471" s="65"/>
    </row>
    <row r="472" spans="8:8" x14ac:dyDescent="0.2">
      <c r="H472" s="65"/>
    </row>
    <row r="473" spans="8:8" x14ac:dyDescent="0.2">
      <c r="H473" s="65"/>
    </row>
    <row r="474" spans="8:8" x14ac:dyDescent="0.2">
      <c r="H474" s="65"/>
    </row>
    <row r="475" spans="8:8" x14ac:dyDescent="0.2">
      <c r="H475" s="65"/>
    </row>
    <row r="476" spans="8:8" x14ac:dyDescent="0.2">
      <c r="H476" s="65"/>
    </row>
    <row r="477" spans="8:8" x14ac:dyDescent="0.2">
      <c r="H477" s="65"/>
    </row>
    <row r="478" spans="8:8" x14ac:dyDescent="0.2">
      <c r="H478" s="65"/>
    </row>
    <row r="479" spans="8:8" x14ac:dyDescent="0.2">
      <c r="H479" s="65"/>
    </row>
    <row r="480" spans="8:8" x14ac:dyDescent="0.2">
      <c r="H480" s="65"/>
    </row>
    <row r="481" spans="8:8" x14ac:dyDescent="0.2">
      <c r="H481" s="65"/>
    </row>
    <row r="482" spans="8:8" x14ac:dyDescent="0.2">
      <c r="H482" s="65"/>
    </row>
    <row r="483" spans="8:8" x14ac:dyDescent="0.2">
      <c r="H483" s="65"/>
    </row>
    <row r="484" spans="8:8" x14ac:dyDescent="0.2">
      <c r="H484" s="65"/>
    </row>
    <row r="485" spans="8:8" x14ac:dyDescent="0.2">
      <c r="H485" s="65"/>
    </row>
    <row r="486" spans="8:8" x14ac:dyDescent="0.2">
      <c r="H486" s="65"/>
    </row>
    <row r="487" spans="8:8" x14ac:dyDescent="0.2">
      <c r="H487" s="65"/>
    </row>
    <row r="488" spans="8:8" x14ac:dyDescent="0.2">
      <c r="H488" s="65"/>
    </row>
    <row r="489" spans="8:8" x14ac:dyDescent="0.2">
      <c r="H489" s="65"/>
    </row>
    <row r="490" spans="8:8" x14ac:dyDescent="0.2">
      <c r="H490" s="65"/>
    </row>
    <row r="491" spans="8:8" x14ac:dyDescent="0.2">
      <c r="H491" s="65"/>
    </row>
    <row r="492" spans="8:8" x14ac:dyDescent="0.2">
      <c r="H492" s="65"/>
    </row>
    <row r="493" spans="8:8" x14ac:dyDescent="0.2">
      <c r="H493" s="65"/>
    </row>
    <row r="494" spans="8:8" x14ac:dyDescent="0.2">
      <c r="H494" s="65"/>
    </row>
    <row r="495" spans="8:8" x14ac:dyDescent="0.2">
      <c r="H495" s="65"/>
    </row>
    <row r="496" spans="8:8" x14ac:dyDescent="0.2">
      <c r="H496" s="65"/>
    </row>
    <row r="497" spans="8:8" x14ac:dyDescent="0.2">
      <c r="H497" s="65"/>
    </row>
    <row r="498" spans="8:8" x14ac:dyDescent="0.2">
      <c r="H498" s="65"/>
    </row>
    <row r="499" spans="8:8" x14ac:dyDescent="0.2">
      <c r="H499" s="65"/>
    </row>
    <row r="500" spans="8:8" x14ac:dyDescent="0.2">
      <c r="H500" s="65"/>
    </row>
    <row r="501" spans="8:8" x14ac:dyDescent="0.2">
      <c r="H501" s="65"/>
    </row>
    <row r="502" spans="8:8" x14ac:dyDescent="0.2">
      <c r="H502" s="65"/>
    </row>
    <row r="503" spans="8:8" x14ac:dyDescent="0.2">
      <c r="H503" s="65"/>
    </row>
    <row r="504" spans="8:8" x14ac:dyDescent="0.2">
      <c r="H504" s="65"/>
    </row>
    <row r="505" spans="8:8" x14ac:dyDescent="0.2">
      <c r="H505" s="65"/>
    </row>
    <row r="506" spans="8:8" x14ac:dyDescent="0.2">
      <c r="H506" s="65"/>
    </row>
    <row r="507" spans="8:8" x14ac:dyDescent="0.2">
      <c r="H507" s="65"/>
    </row>
    <row r="508" spans="8:8" x14ac:dyDescent="0.2">
      <c r="H508" s="65"/>
    </row>
    <row r="509" spans="8:8" x14ac:dyDescent="0.2">
      <c r="H509" s="65"/>
    </row>
    <row r="510" spans="8:8" x14ac:dyDescent="0.2">
      <c r="H510" s="65"/>
    </row>
    <row r="511" spans="8:8" x14ac:dyDescent="0.2">
      <c r="H511" s="65"/>
    </row>
    <row r="512" spans="8:8" x14ac:dyDescent="0.2">
      <c r="H512" s="65"/>
    </row>
    <row r="513" spans="8:8" x14ac:dyDescent="0.2">
      <c r="H513" s="65"/>
    </row>
    <row r="514" spans="8:8" x14ac:dyDescent="0.2">
      <c r="H514" s="65"/>
    </row>
    <row r="515" spans="8:8" x14ac:dyDescent="0.2">
      <c r="H515" s="65"/>
    </row>
    <row r="516" spans="8:8" x14ac:dyDescent="0.2">
      <c r="H516" s="65"/>
    </row>
    <row r="517" spans="8:8" x14ac:dyDescent="0.2">
      <c r="H517" s="65"/>
    </row>
    <row r="518" spans="8:8" x14ac:dyDescent="0.2">
      <c r="H518" s="65"/>
    </row>
    <row r="519" spans="8:8" x14ac:dyDescent="0.2">
      <c r="H519" s="65"/>
    </row>
    <row r="520" spans="8:8" x14ac:dyDescent="0.2">
      <c r="H520" s="65"/>
    </row>
    <row r="521" spans="8:8" x14ac:dyDescent="0.2">
      <c r="H521" s="65"/>
    </row>
    <row r="522" spans="8:8" x14ac:dyDescent="0.2">
      <c r="H522" s="65"/>
    </row>
    <row r="523" spans="8:8" x14ac:dyDescent="0.2">
      <c r="H523" s="65"/>
    </row>
    <row r="524" spans="8:8" x14ac:dyDescent="0.2">
      <c r="H524" s="65"/>
    </row>
    <row r="525" spans="8:8" x14ac:dyDescent="0.2">
      <c r="H525" s="65"/>
    </row>
    <row r="526" spans="8:8" x14ac:dyDescent="0.2">
      <c r="H526" s="65"/>
    </row>
    <row r="527" spans="8:8" x14ac:dyDescent="0.2">
      <c r="H527" s="65"/>
    </row>
    <row r="528" spans="8:8" x14ac:dyDescent="0.2">
      <c r="H528" s="65"/>
    </row>
    <row r="529" spans="8:8" x14ac:dyDescent="0.2">
      <c r="H529" s="65"/>
    </row>
    <row r="530" spans="8:8" x14ac:dyDescent="0.2">
      <c r="H530" s="65"/>
    </row>
    <row r="531" spans="8:8" x14ac:dyDescent="0.2">
      <c r="H531" s="65"/>
    </row>
    <row r="532" spans="8:8" x14ac:dyDescent="0.2">
      <c r="H532" s="65"/>
    </row>
    <row r="533" spans="8:8" x14ac:dyDescent="0.2">
      <c r="H533" s="65"/>
    </row>
    <row r="534" spans="8:8" x14ac:dyDescent="0.2">
      <c r="H534" s="65"/>
    </row>
    <row r="535" spans="8:8" x14ac:dyDescent="0.2">
      <c r="H535" s="65"/>
    </row>
    <row r="536" spans="8:8" x14ac:dyDescent="0.2">
      <c r="H536" s="65"/>
    </row>
    <row r="537" spans="8:8" x14ac:dyDescent="0.2">
      <c r="H537" s="65"/>
    </row>
    <row r="538" spans="8:8" x14ac:dyDescent="0.2">
      <c r="H538" s="65"/>
    </row>
    <row r="539" spans="8:8" x14ac:dyDescent="0.2">
      <c r="H539" s="65"/>
    </row>
    <row r="540" spans="8:8" x14ac:dyDescent="0.2">
      <c r="H540" s="65"/>
    </row>
    <row r="541" spans="8:8" x14ac:dyDescent="0.2">
      <c r="H541" s="65"/>
    </row>
    <row r="542" spans="8:8" x14ac:dyDescent="0.2">
      <c r="H542" s="65"/>
    </row>
    <row r="543" spans="8:8" x14ac:dyDescent="0.2">
      <c r="H543" s="65"/>
    </row>
    <row r="544" spans="8:8" x14ac:dyDescent="0.2">
      <c r="H544" s="65"/>
    </row>
    <row r="545" spans="8:8" x14ac:dyDescent="0.2">
      <c r="H545" s="65"/>
    </row>
    <row r="546" spans="8:8" x14ac:dyDescent="0.2">
      <c r="H546" s="65"/>
    </row>
    <row r="547" spans="8:8" x14ac:dyDescent="0.2">
      <c r="H547" s="65"/>
    </row>
    <row r="548" spans="8:8" x14ac:dyDescent="0.2">
      <c r="H548" s="65"/>
    </row>
    <row r="549" spans="8:8" x14ac:dyDescent="0.2">
      <c r="H549" s="65"/>
    </row>
    <row r="550" spans="8:8" x14ac:dyDescent="0.2">
      <c r="H550" s="65"/>
    </row>
    <row r="551" spans="8:8" x14ac:dyDescent="0.2">
      <c r="H551" s="65"/>
    </row>
    <row r="552" spans="8:8" x14ac:dyDescent="0.2">
      <c r="H552" s="65"/>
    </row>
    <row r="553" spans="8:8" x14ac:dyDescent="0.2">
      <c r="H553" s="65"/>
    </row>
    <row r="554" spans="8:8" x14ac:dyDescent="0.2">
      <c r="H554" s="65"/>
    </row>
    <row r="555" spans="8:8" x14ac:dyDescent="0.2">
      <c r="H555" s="65"/>
    </row>
    <row r="556" spans="8:8" x14ac:dyDescent="0.2">
      <c r="H556" s="65"/>
    </row>
    <row r="557" spans="8:8" x14ac:dyDescent="0.2">
      <c r="H557" s="65"/>
    </row>
    <row r="558" spans="8:8" x14ac:dyDescent="0.2">
      <c r="H558" s="65"/>
    </row>
    <row r="559" spans="8:8" x14ac:dyDescent="0.2">
      <c r="H559" s="65"/>
    </row>
    <row r="560" spans="8:8" x14ac:dyDescent="0.2">
      <c r="H560" s="65"/>
    </row>
    <row r="561" spans="8:8" x14ac:dyDescent="0.2">
      <c r="H561" s="65"/>
    </row>
    <row r="562" spans="8:8" x14ac:dyDescent="0.2">
      <c r="H562" s="65"/>
    </row>
    <row r="563" spans="8:8" x14ac:dyDescent="0.2">
      <c r="H563" s="65"/>
    </row>
    <row r="564" spans="8:8" x14ac:dyDescent="0.2">
      <c r="H564" s="65"/>
    </row>
    <row r="565" spans="8:8" x14ac:dyDescent="0.2">
      <c r="H565" s="65"/>
    </row>
    <row r="566" spans="8:8" x14ac:dyDescent="0.2">
      <c r="H566" s="65"/>
    </row>
    <row r="567" spans="8:8" x14ac:dyDescent="0.2">
      <c r="H567" s="65"/>
    </row>
    <row r="568" spans="8:8" x14ac:dyDescent="0.2">
      <c r="H568" s="65"/>
    </row>
    <row r="569" spans="8:8" x14ac:dyDescent="0.2">
      <c r="H569" s="65"/>
    </row>
    <row r="570" spans="8:8" x14ac:dyDescent="0.2">
      <c r="H570" s="65"/>
    </row>
    <row r="571" spans="8:8" x14ac:dyDescent="0.2">
      <c r="H571" s="65"/>
    </row>
    <row r="572" spans="8:8" x14ac:dyDescent="0.2">
      <c r="H572" s="65"/>
    </row>
    <row r="573" spans="8:8" x14ac:dyDescent="0.2">
      <c r="H573" s="65"/>
    </row>
    <row r="574" spans="8:8" x14ac:dyDescent="0.2">
      <c r="H574" s="65"/>
    </row>
    <row r="575" spans="8:8" x14ac:dyDescent="0.2">
      <c r="H575" s="65"/>
    </row>
    <row r="576" spans="8:8" x14ac:dyDescent="0.2">
      <c r="H576" s="65"/>
    </row>
    <row r="577" spans="8:8" x14ac:dyDescent="0.2">
      <c r="H577" s="65"/>
    </row>
    <row r="578" spans="8:8" x14ac:dyDescent="0.2">
      <c r="H578" s="65"/>
    </row>
    <row r="579" spans="8:8" x14ac:dyDescent="0.2">
      <c r="H579" s="65"/>
    </row>
    <row r="580" spans="8:8" x14ac:dyDescent="0.2">
      <c r="H580" s="65"/>
    </row>
    <row r="581" spans="8:8" x14ac:dyDescent="0.2">
      <c r="H581" s="65"/>
    </row>
    <row r="582" spans="8:8" x14ac:dyDescent="0.2">
      <c r="H582" s="65"/>
    </row>
    <row r="583" spans="8:8" x14ac:dyDescent="0.2">
      <c r="H583" s="65"/>
    </row>
    <row r="584" spans="8:8" x14ac:dyDescent="0.2">
      <c r="H584" s="65"/>
    </row>
    <row r="585" spans="8:8" x14ac:dyDescent="0.2">
      <c r="H585" s="65"/>
    </row>
    <row r="586" spans="8:8" x14ac:dyDescent="0.2">
      <c r="H586" s="65"/>
    </row>
    <row r="587" spans="8:8" x14ac:dyDescent="0.2">
      <c r="H587" s="65"/>
    </row>
    <row r="588" spans="8:8" x14ac:dyDescent="0.2">
      <c r="H588" s="65"/>
    </row>
    <row r="589" spans="8:8" x14ac:dyDescent="0.2">
      <c r="H589" s="65"/>
    </row>
    <row r="590" spans="8:8" x14ac:dyDescent="0.2">
      <c r="H590" s="65"/>
    </row>
    <row r="591" spans="8:8" x14ac:dyDescent="0.2">
      <c r="H591" s="65"/>
    </row>
    <row r="592" spans="8:8" x14ac:dyDescent="0.2">
      <c r="H592" s="65"/>
    </row>
    <row r="593" spans="8:8" x14ac:dyDescent="0.2">
      <c r="H593" s="65"/>
    </row>
    <row r="594" spans="8:8" x14ac:dyDescent="0.2">
      <c r="H594" s="65"/>
    </row>
    <row r="595" spans="8:8" x14ac:dyDescent="0.2">
      <c r="H595" s="65"/>
    </row>
    <row r="596" spans="8:8" x14ac:dyDescent="0.2">
      <c r="H596" s="65"/>
    </row>
    <row r="597" spans="8:8" x14ac:dyDescent="0.2">
      <c r="H597" s="65"/>
    </row>
    <row r="598" spans="8:8" x14ac:dyDescent="0.2">
      <c r="H598" s="65"/>
    </row>
    <row r="599" spans="8:8" x14ac:dyDescent="0.2">
      <c r="H599" s="65"/>
    </row>
    <row r="600" spans="8:8" x14ac:dyDescent="0.2">
      <c r="H600" s="65"/>
    </row>
    <row r="601" spans="8:8" x14ac:dyDescent="0.2">
      <c r="H601" s="65"/>
    </row>
    <row r="602" spans="8:8" x14ac:dyDescent="0.2">
      <c r="H602" s="65"/>
    </row>
    <row r="603" spans="8:8" x14ac:dyDescent="0.2">
      <c r="H603" s="65"/>
    </row>
    <row r="604" spans="8:8" x14ac:dyDescent="0.2">
      <c r="H604" s="65"/>
    </row>
    <row r="605" spans="8:8" x14ac:dyDescent="0.2">
      <c r="H605" s="65"/>
    </row>
    <row r="606" spans="8:8" x14ac:dyDescent="0.2">
      <c r="H606" s="65"/>
    </row>
    <row r="607" spans="8:8" x14ac:dyDescent="0.2">
      <c r="H607" s="65"/>
    </row>
    <row r="608" spans="8:8" x14ac:dyDescent="0.2">
      <c r="H608" s="65"/>
    </row>
    <row r="609" spans="8:8" x14ac:dyDescent="0.2">
      <c r="H609" s="65"/>
    </row>
    <row r="610" spans="8:8" x14ac:dyDescent="0.2">
      <c r="H610" s="65"/>
    </row>
    <row r="611" spans="8:8" x14ac:dyDescent="0.2">
      <c r="H611" s="65"/>
    </row>
    <row r="612" spans="8:8" x14ac:dyDescent="0.2">
      <c r="H612" s="65"/>
    </row>
    <row r="613" spans="8:8" x14ac:dyDescent="0.2">
      <c r="H613" s="65"/>
    </row>
    <row r="614" spans="8:8" x14ac:dyDescent="0.2">
      <c r="H614" s="65"/>
    </row>
    <row r="615" spans="8:8" x14ac:dyDescent="0.2">
      <c r="H615" s="65"/>
    </row>
    <row r="616" spans="8:8" x14ac:dyDescent="0.2">
      <c r="H616" s="65"/>
    </row>
    <row r="617" spans="8:8" x14ac:dyDescent="0.2">
      <c r="H617" s="65"/>
    </row>
    <row r="618" spans="8:8" x14ac:dyDescent="0.2">
      <c r="H618" s="65"/>
    </row>
    <row r="619" spans="8:8" x14ac:dyDescent="0.2">
      <c r="H619" s="65"/>
    </row>
    <row r="620" spans="8:8" x14ac:dyDescent="0.2">
      <c r="H620" s="65"/>
    </row>
    <row r="621" spans="8:8" x14ac:dyDescent="0.2">
      <c r="H621" s="65"/>
    </row>
    <row r="622" spans="8:8" x14ac:dyDescent="0.2">
      <c r="H622" s="65"/>
    </row>
    <row r="623" spans="8:8" x14ac:dyDescent="0.2">
      <c r="H623" s="65"/>
    </row>
    <row r="624" spans="8:8" x14ac:dyDescent="0.2">
      <c r="H624" s="65"/>
    </row>
    <row r="625" spans="8:8" x14ac:dyDescent="0.2">
      <c r="H625" s="65"/>
    </row>
    <row r="626" spans="8:8" x14ac:dyDescent="0.2">
      <c r="H626" s="65"/>
    </row>
    <row r="627" spans="8:8" x14ac:dyDescent="0.2">
      <c r="H627" s="65"/>
    </row>
    <row r="628" spans="8:8" x14ac:dyDescent="0.2">
      <c r="H628" s="65"/>
    </row>
    <row r="629" spans="8:8" x14ac:dyDescent="0.2">
      <c r="H629" s="65"/>
    </row>
    <row r="630" spans="8:8" x14ac:dyDescent="0.2">
      <c r="H630" s="65"/>
    </row>
    <row r="631" spans="8:8" x14ac:dyDescent="0.2">
      <c r="H631" s="65"/>
    </row>
    <row r="632" spans="8:8" x14ac:dyDescent="0.2">
      <c r="H632" s="65"/>
    </row>
    <row r="633" spans="8:8" x14ac:dyDescent="0.2">
      <c r="H633" s="65"/>
    </row>
    <row r="634" spans="8:8" x14ac:dyDescent="0.2">
      <c r="H634" s="65"/>
    </row>
    <row r="635" spans="8:8" x14ac:dyDescent="0.2">
      <c r="H635" s="65"/>
    </row>
    <row r="636" spans="8:8" x14ac:dyDescent="0.2">
      <c r="H636" s="65"/>
    </row>
    <row r="637" spans="8:8" x14ac:dyDescent="0.2">
      <c r="H637" s="65"/>
    </row>
    <row r="638" spans="8:8" x14ac:dyDescent="0.2">
      <c r="H638" s="65"/>
    </row>
    <row r="639" spans="8:8" x14ac:dyDescent="0.2">
      <c r="H639" s="65"/>
    </row>
    <row r="640" spans="8:8" x14ac:dyDescent="0.2">
      <c r="H640" s="65"/>
    </row>
    <row r="641" spans="8:8" x14ac:dyDescent="0.2">
      <c r="H641" s="65"/>
    </row>
    <row r="642" spans="8:8" x14ac:dyDescent="0.2">
      <c r="H642" s="65"/>
    </row>
    <row r="643" spans="8:8" x14ac:dyDescent="0.2">
      <c r="H643" s="65"/>
    </row>
    <row r="644" spans="8:8" x14ac:dyDescent="0.2">
      <c r="H644" s="65"/>
    </row>
    <row r="645" spans="8:8" x14ac:dyDescent="0.2">
      <c r="H645" s="65"/>
    </row>
    <row r="646" spans="8:8" x14ac:dyDescent="0.2">
      <c r="H646" s="65"/>
    </row>
    <row r="647" spans="8:8" x14ac:dyDescent="0.2">
      <c r="H647" s="65"/>
    </row>
    <row r="648" spans="8:8" x14ac:dyDescent="0.2">
      <c r="H648" s="65"/>
    </row>
    <row r="649" spans="8:8" x14ac:dyDescent="0.2">
      <c r="H649" s="65"/>
    </row>
    <row r="650" spans="8:8" x14ac:dyDescent="0.2">
      <c r="H650" s="65"/>
    </row>
    <row r="651" spans="8:8" x14ac:dyDescent="0.2">
      <c r="H651" s="65"/>
    </row>
    <row r="652" spans="8:8" x14ac:dyDescent="0.2">
      <c r="H652" s="65"/>
    </row>
    <row r="653" spans="8:8" x14ac:dyDescent="0.2">
      <c r="H653" s="65"/>
    </row>
    <row r="654" spans="8:8" x14ac:dyDescent="0.2">
      <c r="H654" s="65"/>
    </row>
    <row r="655" spans="8:8" x14ac:dyDescent="0.2">
      <c r="H655" s="65"/>
    </row>
    <row r="656" spans="8:8" x14ac:dyDescent="0.2">
      <c r="H656" s="65"/>
    </row>
    <row r="657" spans="8:8" x14ac:dyDescent="0.2">
      <c r="H657" s="65"/>
    </row>
    <row r="658" spans="8:8" x14ac:dyDescent="0.2">
      <c r="H658" s="65"/>
    </row>
    <row r="659" spans="8:8" x14ac:dyDescent="0.2">
      <c r="H659" s="65"/>
    </row>
    <row r="660" spans="8:8" x14ac:dyDescent="0.2">
      <c r="H660" s="65"/>
    </row>
    <row r="661" spans="8:8" x14ac:dyDescent="0.2">
      <c r="H661" s="65"/>
    </row>
    <row r="662" spans="8:8" x14ac:dyDescent="0.2">
      <c r="H662" s="65"/>
    </row>
    <row r="663" spans="8:8" x14ac:dyDescent="0.2">
      <c r="H663" s="65"/>
    </row>
    <row r="664" spans="8:8" x14ac:dyDescent="0.2">
      <c r="H664" s="65"/>
    </row>
    <row r="665" spans="8:8" x14ac:dyDescent="0.2">
      <c r="H665" s="65"/>
    </row>
    <row r="666" spans="8:8" x14ac:dyDescent="0.2">
      <c r="H666" s="65"/>
    </row>
    <row r="667" spans="8:8" x14ac:dyDescent="0.2">
      <c r="H667" s="65"/>
    </row>
    <row r="668" spans="8:8" x14ac:dyDescent="0.2">
      <c r="H668" s="65"/>
    </row>
    <row r="669" spans="8:8" x14ac:dyDescent="0.2">
      <c r="H669" s="65"/>
    </row>
    <row r="670" spans="8:8" x14ac:dyDescent="0.2">
      <c r="H670" s="65"/>
    </row>
    <row r="671" spans="8:8" x14ac:dyDescent="0.2">
      <c r="H671" s="65"/>
    </row>
    <row r="672" spans="8:8" x14ac:dyDescent="0.2">
      <c r="H672" s="65"/>
    </row>
    <row r="673" spans="8:8" x14ac:dyDescent="0.2">
      <c r="H673" s="65"/>
    </row>
    <row r="674" spans="8:8" x14ac:dyDescent="0.2">
      <c r="H674" s="65"/>
    </row>
    <row r="675" spans="8:8" x14ac:dyDescent="0.2">
      <c r="H675" s="65"/>
    </row>
    <row r="676" spans="8:8" x14ac:dyDescent="0.2">
      <c r="H676" s="65"/>
    </row>
    <row r="677" spans="8:8" x14ac:dyDescent="0.2">
      <c r="H677" s="65"/>
    </row>
    <row r="678" spans="8:8" x14ac:dyDescent="0.2">
      <c r="H678" s="65"/>
    </row>
    <row r="679" spans="8:8" x14ac:dyDescent="0.2">
      <c r="H679" s="65"/>
    </row>
    <row r="680" spans="8:8" x14ac:dyDescent="0.2">
      <c r="H680" s="65"/>
    </row>
    <row r="681" spans="8:8" x14ac:dyDescent="0.2">
      <c r="H681" s="65"/>
    </row>
    <row r="682" spans="8:8" x14ac:dyDescent="0.2">
      <c r="H682" s="65"/>
    </row>
    <row r="683" spans="8:8" x14ac:dyDescent="0.2">
      <c r="H683" s="65"/>
    </row>
    <row r="684" spans="8:8" x14ac:dyDescent="0.2">
      <c r="H684" s="65"/>
    </row>
    <row r="685" spans="8:8" x14ac:dyDescent="0.2">
      <c r="H685" s="65"/>
    </row>
    <row r="686" spans="8:8" x14ac:dyDescent="0.2">
      <c r="H686" s="65"/>
    </row>
    <row r="687" spans="8:8" x14ac:dyDescent="0.2">
      <c r="H687" s="65"/>
    </row>
    <row r="688" spans="8:8" x14ac:dyDescent="0.2">
      <c r="H688" s="65"/>
    </row>
    <row r="689" spans="8:8" x14ac:dyDescent="0.2">
      <c r="H689" s="65"/>
    </row>
    <row r="690" spans="8:8" x14ac:dyDescent="0.2">
      <c r="H690" s="65"/>
    </row>
    <row r="691" spans="8:8" x14ac:dyDescent="0.2">
      <c r="H691" s="65"/>
    </row>
    <row r="692" spans="8:8" x14ac:dyDescent="0.2">
      <c r="H692" s="65"/>
    </row>
    <row r="693" spans="8:8" x14ac:dyDescent="0.2">
      <c r="H693" s="65"/>
    </row>
    <row r="694" spans="8:8" x14ac:dyDescent="0.2">
      <c r="H694" s="65"/>
    </row>
    <row r="695" spans="8:8" x14ac:dyDescent="0.2">
      <c r="H695" s="65"/>
    </row>
    <row r="696" spans="8:8" x14ac:dyDescent="0.2">
      <c r="H696" s="65"/>
    </row>
    <row r="697" spans="8:8" x14ac:dyDescent="0.2">
      <c r="H697" s="65"/>
    </row>
    <row r="698" spans="8:8" x14ac:dyDescent="0.2">
      <c r="H698" s="65"/>
    </row>
    <row r="699" spans="8:8" x14ac:dyDescent="0.2">
      <c r="H699" s="65"/>
    </row>
    <row r="700" spans="8:8" x14ac:dyDescent="0.2">
      <c r="H700" s="65"/>
    </row>
    <row r="701" spans="8:8" x14ac:dyDescent="0.2">
      <c r="H701" s="65"/>
    </row>
    <row r="702" spans="8:8" x14ac:dyDescent="0.2">
      <c r="H702" s="65"/>
    </row>
    <row r="703" spans="8:8" x14ac:dyDescent="0.2">
      <c r="H703" s="65"/>
    </row>
    <row r="704" spans="8:8" x14ac:dyDescent="0.2">
      <c r="H704" s="65"/>
    </row>
    <row r="705" spans="8:8" x14ac:dyDescent="0.2">
      <c r="H705" s="65"/>
    </row>
    <row r="706" spans="8:8" x14ac:dyDescent="0.2">
      <c r="H706" s="65"/>
    </row>
    <row r="707" spans="8:8" x14ac:dyDescent="0.2">
      <c r="H707" s="65"/>
    </row>
    <row r="708" spans="8:8" x14ac:dyDescent="0.2">
      <c r="H708" s="65"/>
    </row>
    <row r="709" spans="8:8" x14ac:dyDescent="0.2">
      <c r="H709" s="65"/>
    </row>
    <row r="710" spans="8:8" x14ac:dyDescent="0.2">
      <c r="H710" s="65"/>
    </row>
    <row r="711" spans="8:8" x14ac:dyDescent="0.2">
      <c r="H711" s="65"/>
    </row>
    <row r="712" spans="8:8" x14ac:dyDescent="0.2">
      <c r="H712" s="65"/>
    </row>
    <row r="713" spans="8:8" x14ac:dyDescent="0.2">
      <c r="H713" s="65"/>
    </row>
    <row r="714" spans="8:8" x14ac:dyDescent="0.2">
      <c r="H714" s="65"/>
    </row>
    <row r="715" spans="8:8" x14ac:dyDescent="0.2">
      <c r="H715" s="65"/>
    </row>
    <row r="716" spans="8:8" x14ac:dyDescent="0.2">
      <c r="H716" s="65"/>
    </row>
    <row r="717" spans="8:8" x14ac:dyDescent="0.2">
      <c r="H717" s="65"/>
    </row>
    <row r="718" spans="8:8" x14ac:dyDescent="0.2">
      <c r="H718" s="65"/>
    </row>
    <row r="719" spans="8:8" x14ac:dyDescent="0.2">
      <c r="H719" s="65"/>
    </row>
    <row r="720" spans="8:8" x14ac:dyDescent="0.2">
      <c r="H720" s="65"/>
    </row>
    <row r="721" spans="8:8" x14ac:dyDescent="0.2">
      <c r="H721" s="65"/>
    </row>
    <row r="722" spans="8:8" x14ac:dyDescent="0.2">
      <c r="H722" s="65"/>
    </row>
    <row r="723" spans="8:8" x14ac:dyDescent="0.2">
      <c r="H723" s="65"/>
    </row>
    <row r="724" spans="8:8" x14ac:dyDescent="0.2">
      <c r="H724" s="65"/>
    </row>
    <row r="725" spans="8:8" x14ac:dyDescent="0.2">
      <c r="H725" s="65"/>
    </row>
    <row r="726" spans="8:8" x14ac:dyDescent="0.2">
      <c r="H726" s="65"/>
    </row>
    <row r="727" spans="8:8" x14ac:dyDescent="0.2">
      <c r="H727" s="65"/>
    </row>
    <row r="728" spans="8:8" x14ac:dyDescent="0.2">
      <c r="H728" s="65"/>
    </row>
    <row r="729" spans="8:8" x14ac:dyDescent="0.2">
      <c r="H729" s="65"/>
    </row>
    <row r="730" spans="8:8" x14ac:dyDescent="0.2">
      <c r="H730" s="65"/>
    </row>
    <row r="731" spans="8:8" x14ac:dyDescent="0.2">
      <c r="H731" s="65"/>
    </row>
    <row r="732" spans="8:8" x14ac:dyDescent="0.2">
      <c r="H732" s="65"/>
    </row>
    <row r="733" spans="8:8" x14ac:dyDescent="0.2">
      <c r="H733" s="65"/>
    </row>
    <row r="734" spans="8:8" x14ac:dyDescent="0.2">
      <c r="H734" s="65"/>
    </row>
    <row r="735" spans="8:8" x14ac:dyDescent="0.2">
      <c r="H735" s="65"/>
    </row>
    <row r="736" spans="8:8" x14ac:dyDescent="0.2">
      <c r="H736" s="65"/>
    </row>
    <row r="737" spans="8:8" x14ac:dyDescent="0.2">
      <c r="H737" s="65"/>
    </row>
    <row r="738" spans="8:8" x14ac:dyDescent="0.2">
      <c r="H738" s="65"/>
    </row>
    <row r="739" spans="8:8" x14ac:dyDescent="0.2">
      <c r="H739" s="65"/>
    </row>
    <row r="740" spans="8:8" x14ac:dyDescent="0.2">
      <c r="H740" s="65"/>
    </row>
    <row r="741" spans="8:8" x14ac:dyDescent="0.2">
      <c r="H741" s="65"/>
    </row>
    <row r="742" spans="8:8" x14ac:dyDescent="0.2">
      <c r="H742" s="65"/>
    </row>
    <row r="743" spans="8:8" x14ac:dyDescent="0.2">
      <c r="H743" s="65"/>
    </row>
    <row r="744" spans="8:8" x14ac:dyDescent="0.2">
      <c r="H744" s="65"/>
    </row>
    <row r="745" spans="8:8" x14ac:dyDescent="0.2">
      <c r="H745" s="65"/>
    </row>
    <row r="746" spans="8:8" x14ac:dyDescent="0.2">
      <c r="H746" s="65"/>
    </row>
    <row r="747" spans="8:8" x14ac:dyDescent="0.2">
      <c r="H747" s="65"/>
    </row>
    <row r="748" spans="8:8" x14ac:dyDescent="0.2">
      <c r="H748" s="65"/>
    </row>
    <row r="749" spans="8:8" x14ac:dyDescent="0.2">
      <c r="H749" s="65"/>
    </row>
    <row r="750" spans="8:8" x14ac:dyDescent="0.2">
      <c r="H750" s="65"/>
    </row>
    <row r="751" spans="8:8" x14ac:dyDescent="0.2">
      <c r="H751" s="65"/>
    </row>
    <row r="752" spans="8:8" x14ac:dyDescent="0.2">
      <c r="H752" s="65"/>
    </row>
    <row r="753" spans="8:8" x14ac:dyDescent="0.2">
      <c r="H753" s="65"/>
    </row>
    <row r="754" spans="8:8" x14ac:dyDescent="0.2">
      <c r="H754" s="65"/>
    </row>
    <row r="755" spans="8:8" x14ac:dyDescent="0.2">
      <c r="H755" s="65"/>
    </row>
    <row r="756" spans="8:8" x14ac:dyDescent="0.2">
      <c r="H756" s="65"/>
    </row>
    <row r="757" spans="8:8" x14ac:dyDescent="0.2">
      <c r="H757" s="65"/>
    </row>
    <row r="758" spans="8:8" x14ac:dyDescent="0.2">
      <c r="H758" s="65"/>
    </row>
    <row r="759" spans="8:8" x14ac:dyDescent="0.2">
      <c r="H759" s="65"/>
    </row>
    <row r="760" spans="8:8" x14ac:dyDescent="0.2">
      <c r="H760" s="65"/>
    </row>
    <row r="761" spans="8:8" x14ac:dyDescent="0.2">
      <c r="H761" s="65"/>
    </row>
    <row r="762" spans="8:8" x14ac:dyDescent="0.2">
      <c r="H762" s="65"/>
    </row>
    <row r="763" spans="8:8" x14ac:dyDescent="0.2">
      <c r="H763" s="65"/>
    </row>
    <row r="764" spans="8:8" x14ac:dyDescent="0.2">
      <c r="H764" s="65"/>
    </row>
    <row r="765" spans="8:8" x14ac:dyDescent="0.2">
      <c r="H765" s="65"/>
    </row>
    <row r="766" spans="8:8" x14ac:dyDescent="0.2">
      <c r="H766" s="65"/>
    </row>
    <row r="767" spans="8:8" x14ac:dyDescent="0.2">
      <c r="H767" s="65"/>
    </row>
    <row r="768" spans="8:8" x14ac:dyDescent="0.2">
      <c r="H768" s="65"/>
    </row>
    <row r="769" spans="8:8" x14ac:dyDescent="0.2">
      <c r="H769" s="65"/>
    </row>
    <row r="770" spans="8:8" x14ac:dyDescent="0.2">
      <c r="H770" s="65"/>
    </row>
    <row r="771" spans="8:8" x14ac:dyDescent="0.2">
      <c r="H771" s="65"/>
    </row>
    <row r="772" spans="8:8" x14ac:dyDescent="0.2">
      <c r="H772" s="65"/>
    </row>
    <row r="773" spans="8:8" x14ac:dyDescent="0.2">
      <c r="H773" s="65"/>
    </row>
    <row r="774" spans="8:8" x14ac:dyDescent="0.2">
      <c r="H774" s="65"/>
    </row>
    <row r="775" spans="8:8" x14ac:dyDescent="0.2">
      <c r="H775" s="65"/>
    </row>
    <row r="776" spans="8:8" x14ac:dyDescent="0.2">
      <c r="H776" s="65"/>
    </row>
    <row r="777" spans="8:8" x14ac:dyDescent="0.2">
      <c r="H777" s="65"/>
    </row>
    <row r="778" spans="8:8" x14ac:dyDescent="0.2">
      <c r="H778" s="65"/>
    </row>
    <row r="779" spans="8:8" x14ac:dyDescent="0.2">
      <c r="H779" s="65"/>
    </row>
    <row r="780" spans="8:8" x14ac:dyDescent="0.2">
      <c r="H780" s="65"/>
    </row>
    <row r="781" spans="8:8" x14ac:dyDescent="0.2">
      <c r="H781" s="65"/>
    </row>
    <row r="782" spans="8:8" x14ac:dyDescent="0.2">
      <c r="H782" s="65"/>
    </row>
    <row r="783" spans="8:8" x14ac:dyDescent="0.2">
      <c r="H783" s="65"/>
    </row>
    <row r="784" spans="8:8" x14ac:dyDescent="0.2">
      <c r="H784" s="65"/>
    </row>
    <row r="785" spans="8:8" x14ac:dyDescent="0.2">
      <c r="H785" s="65"/>
    </row>
    <row r="786" spans="8:8" x14ac:dyDescent="0.2">
      <c r="H786" s="65"/>
    </row>
    <row r="787" spans="8:8" x14ac:dyDescent="0.2">
      <c r="H787" s="65"/>
    </row>
    <row r="788" spans="8:8" x14ac:dyDescent="0.2">
      <c r="H788" s="65"/>
    </row>
    <row r="789" spans="8:8" x14ac:dyDescent="0.2">
      <c r="H789" s="65"/>
    </row>
    <row r="790" spans="8:8" x14ac:dyDescent="0.2">
      <c r="H790" s="65"/>
    </row>
    <row r="791" spans="8:8" x14ac:dyDescent="0.2">
      <c r="H791" s="65"/>
    </row>
    <row r="792" spans="8:8" x14ac:dyDescent="0.2">
      <c r="H792" s="65"/>
    </row>
    <row r="793" spans="8:8" x14ac:dyDescent="0.2">
      <c r="H793" s="65"/>
    </row>
    <row r="794" spans="8:8" x14ac:dyDescent="0.2">
      <c r="H794" s="65"/>
    </row>
    <row r="795" spans="8:8" x14ac:dyDescent="0.2">
      <c r="H795" s="65"/>
    </row>
    <row r="796" spans="8:8" x14ac:dyDescent="0.2">
      <c r="H796" s="65"/>
    </row>
    <row r="797" spans="8:8" x14ac:dyDescent="0.2">
      <c r="H797" s="65"/>
    </row>
    <row r="798" spans="8:8" x14ac:dyDescent="0.2">
      <c r="H798" s="65"/>
    </row>
    <row r="799" spans="8:8" x14ac:dyDescent="0.2">
      <c r="H799" s="65"/>
    </row>
    <row r="800" spans="8:8" x14ac:dyDescent="0.2">
      <c r="H800" s="65"/>
    </row>
    <row r="801" spans="8:8" x14ac:dyDescent="0.2">
      <c r="H801" s="65"/>
    </row>
    <row r="802" spans="8:8" x14ac:dyDescent="0.2">
      <c r="H802" s="65"/>
    </row>
    <row r="803" spans="8:8" x14ac:dyDescent="0.2">
      <c r="H803" s="65"/>
    </row>
    <row r="804" spans="8:8" x14ac:dyDescent="0.2">
      <c r="H804" s="65"/>
    </row>
    <row r="805" spans="8:8" x14ac:dyDescent="0.2">
      <c r="H805" s="65"/>
    </row>
    <row r="806" spans="8:8" x14ac:dyDescent="0.2">
      <c r="H806" s="65"/>
    </row>
    <row r="807" spans="8:8" x14ac:dyDescent="0.2">
      <c r="H807" s="65"/>
    </row>
    <row r="808" spans="8:8" x14ac:dyDescent="0.2">
      <c r="H808" s="65"/>
    </row>
    <row r="809" spans="8:8" x14ac:dyDescent="0.2">
      <c r="H809" s="65"/>
    </row>
    <row r="810" spans="8:8" x14ac:dyDescent="0.2">
      <c r="H810" s="65"/>
    </row>
    <row r="811" spans="8:8" x14ac:dyDescent="0.2">
      <c r="H811" s="65"/>
    </row>
    <row r="812" spans="8:8" x14ac:dyDescent="0.2">
      <c r="H812" s="65"/>
    </row>
    <row r="813" spans="8:8" x14ac:dyDescent="0.2">
      <c r="H813" s="65"/>
    </row>
    <row r="814" spans="8:8" x14ac:dyDescent="0.2">
      <c r="H814" s="65"/>
    </row>
    <row r="815" spans="8:8" x14ac:dyDescent="0.2">
      <c r="H815" s="65"/>
    </row>
    <row r="816" spans="8:8" x14ac:dyDescent="0.2">
      <c r="H816" s="65"/>
    </row>
    <row r="817" spans="8:8" x14ac:dyDescent="0.2">
      <c r="H817" s="65"/>
    </row>
    <row r="818" spans="8:8" x14ac:dyDescent="0.2">
      <c r="H818" s="65"/>
    </row>
    <row r="819" spans="8:8" x14ac:dyDescent="0.2">
      <c r="H819" s="65"/>
    </row>
    <row r="820" spans="8:8" x14ac:dyDescent="0.2">
      <c r="H820" s="65"/>
    </row>
    <row r="821" spans="8:8" x14ac:dyDescent="0.2">
      <c r="H821" s="65"/>
    </row>
    <row r="822" spans="8:8" x14ac:dyDescent="0.2">
      <c r="H822" s="65"/>
    </row>
    <row r="823" spans="8:8" x14ac:dyDescent="0.2">
      <c r="H823" s="65"/>
    </row>
    <row r="824" spans="8:8" x14ac:dyDescent="0.2">
      <c r="H824" s="65"/>
    </row>
    <row r="825" spans="8:8" x14ac:dyDescent="0.2">
      <c r="H825" s="65"/>
    </row>
    <row r="826" spans="8:8" x14ac:dyDescent="0.2">
      <c r="H826" s="65"/>
    </row>
    <row r="827" spans="8:8" x14ac:dyDescent="0.2">
      <c r="H827" s="65"/>
    </row>
    <row r="828" spans="8:8" x14ac:dyDescent="0.2">
      <c r="H828" s="65"/>
    </row>
    <row r="829" spans="8:8" x14ac:dyDescent="0.2">
      <c r="H829" s="65"/>
    </row>
    <row r="830" spans="8:8" x14ac:dyDescent="0.2">
      <c r="H830" s="65"/>
    </row>
    <row r="831" spans="8:8" x14ac:dyDescent="0.2">
      <c r="H831" s="65"/>
    </row>
    <row r="832" spans="8:8" x14ac:dyDescent="0.2">
      <c r="H832" s="65"/>
    </row>
    <row r="833" spans="8:8" x14ac:dyDescent="0.2">
      <c r="H833" s="65"/>
    </row>
    <row r="834" spans="8:8" x14ac:dyDescent="0.2">
      <c r="H834" s="65"/>
    </row>
    <row r="835" spans="8:8" x14ac:dyDescent="0.2">
      <c r="H835" s="65"/>
    </row>
    <row r="836" spans="8:8" x14ac:dyDescent="0.2">
      <c r="H836" s="65"/>
    </row>
    <row r="837" spans="8:8" x14ac:dyDescent="0.2">
      <c r="H837" s="65"/>
    </row>
    <row r="838" spans="8:8" x14ac:dyDescent="0.2">
      <c r="H838" s="65"/>
    </row>
    <row r="839" spans="8:8" x14ac:dyDescent="0.2">
      <c r="H839" s="65"/>
    </row>
    <row r="840" spans="8:8" x14ac:dyDescent="0.2">
      <c r="H840" s="65"/>
    </row>
    <row r="841" spans="8:8" x14ac:dyDescent="0.2">
      <c r="H841" s="65"/>
    </row>
    <row r="842" spans="8:8" x14ac:dyDescent="0.2">
      <c r="H842" s="65"/>
    </row>
    <row r="843" spans="8:8" x14ac:dyDescent="0.2">
      <c r="H843" s="65"/>
    </row>
    <row r="844" spans="8:8" x14ac:dyDescent="0.2">
      <c r="H844" s="65"/>
    </row>
    <row r="845" spans="8:8" x14ac:dyDescent="0.2">
      <c r="H845" s="65"/>
    </row>
    <row r="846" spans="8:8" x14ac:dyDescent="0.2">
      <c r="H846" s="65"/>
    </row>
    <row r="847" spans="8:8" x14ac:dyDescent="0.2">
      <c r="H847" s="65"/>
    </row>
    <row r="848" spans="8:8" x14ac:dyDescent="0.2">
      <c r="H848" s="65"/>
    </row>
    <row r="849" spans="8:8" x14ac:dyDescent="0.2">
      <c r="H849" s="65"/>
    </row>
    <row r="850" spans="8:8" x14ac:dyDescent="0.2">
      <c r="H850" s="65"/>
    </row>
    <row r="851" spans="8:8" x14ac:dyDescent="0.2">
      <c r="H851" s="65"/>
    </row>
    <row r="852" spans="8:8" x14ac:dyDescent="0.2">
      <c r="H852" s="65"/>
    </row>
    <row r="853" spans="8:8" x14ac:dyDescent="0.2">
      <c r="H853" s="65"/>
    </row>
    <row r="854" spans="8:8" x14ac:dyDescent="0.2">
      <c r="H854" s="65"/>
    </row>
    <row r="855" spans="8:8" x14ac:dyDescent="0.2">
      <c r="H855" s="65"/>
    </row>
    <row r="856" spans="8:8" x14ac:dyDescent="0.2">
      <c r="H856" s="65"/>
    </row>
    <row r="857" spans="8:8" x14ac:dyDescent="0.2">
      <c r="H857" s="65"/>
    </row>
    <row r="858" spans="8:8" x14ac:dyDescent="0.2">
      <c r="H858" s="65"/>
    </row>
    <row r="859" spans="8:8" x14ac:dyDescent="0.2">
      <c r="H859" s="65"/>
    </row>
    <row r="860" spans="8:8" x14ac:dyDescent="0.2">
      <c r="H860" s="65"/>
    </row>
    <row r="861" spans="8:8" x14ac:dyDescent="0.2">
      <c r="H861" s="65"/>
    </row>
    <row r="862" spans="8:8" x14ac:dyDescent="0.2">
      <c r="H862" s="65"/>
    </row>
    <row r="863" spans="8:8" x14ac:dyDescent="0.2">
      <c r="H863" s="65"/>
    </row>
    <row r="864" spans="8:8" x14ac:dyDescent="0.2">
      <c r="H864" s="65"/>
    </row>
    <row r="865" spans="8:8" x14ac:dyDescent="0.2">
      <c r="H865" s="65"/>
    </row>
    <row r="866" spans="8:8" x14ac:dyDescent="0.2">
      <c r="H866" s="65"/>
    </row>
    <row r="867" spans="8:8" x14ac:dyDescent="0.2">
      <c r="H867" s="65"/>
    </row>
    <row r="868" spans="8:8" x14ac:dyDescent="0.2">
      <c r="H868" s="65"/>
    </row>
    <row r="869" spans="8:8" x14ac:dyDescent="0.2">
      <c r="H869" s="65"/>
    </row>
    <row r="870" spans="8:8" x14ac:dyDescent="0.2">
      <c r="H870" s="65"/>
    </row>
    <row r="871" spans="8:8" x14ac:dyDescent="0.2">
      <c r="H871" s="65"/>
    </row>
    <row r="872" spans="8:8" x14ac:dyDescent="0.2">
      <c r="H872" s="65"/>
    </row>
    <row r="873" spans="8:8" x14ac:dyDescent="0.2">
      <c r="H873" s="65"/>
    </row>
    <row r="874" spans="8:8" x14ac:dyDescent="0.2">
      <c r="H874" s="65"/>
    </row>
    <row r="875" spans="8:8" x14ac:dyDescent="0.2">
      <c r="H875" s="65"/>
    </row>
    <row r="876" spans="8:8" x14ac:dyDescent="0.2">
      <c r="H876" s="65"/>
    </row>
    <row r="877" spans="8:8" x14ac:dyDescent="0.2">
      <c r="H877" s="65"/>
    </row>
    <row r="878" spans="8:8" x14ac:dyDescent="0.2">
      <c r="H878" s="65"/>
    </row>
    <row r="879" spans="8:8" x14ac:dyDescent="0.2">
      <c r="H879" s="65"/>
    </row>
    <row r="880" spans="8:8" x14ac:dyDescent="0.2">
      <c r="H880" s="65"/>
    </row>
    <row r="881" spans="8:8" x14ac:dyDescent="0.2">
      <c r="H881" s="65"/>
    </row>
    <row r="882" spans="8:8" x14ac:dyDescent="0.2">
      <c r="H882" s="65"/>
    </row>
    <row r="883" spans="8:8" x14ac:dyDescent="0.2">
      <c r="H883" s="65"/>
    </row>
    <row r="884" spans="8:8" x14ac:dyDescent="0.2">
      <c r="H884" s="65"/>
    </row>
    <row r="885" spans="8:8" x14ac:dyDescent="0.2">
      <c r="H885" s="65"/>
    </row>
    <row r="886" spans="8:8" x14ac:dyDescent="0.2">
      <c r="H886" s="65"/>
    </row>
    <row r="887" spans="8:8" x14ac:dyDescent="0.2">
      <c r="H887" s="65"/>
    </row>
    <row r="888" spans="8:8" x14ac:dyDescent="0.2">
      <c r="H888" s="65"/>
    </row>
    <row r="889" spans="8:8" x14ac:dyDescent="0.2">
      <c r="H889" s="65"/>
    </row>
    <row r="890" spans="8:8" x14ac:dyDescent="0.2">
      <c r="H890" s="65"/>
    </row>
    <row r="891" spans="8:8" x14ac:dyDescent="0.2">
      <c r="H891" s="65"/>
    </row>
    <row r="892" spans="8:8" x14ac:dyDescent="0.2">
      <c r="H892" s="65"/>
    </row>
    <row r="893" spans="8:8" x14ac:dyDescent="0.2">
      <c r="H893" s="65"/>
    </row>
    <row r="894" spans="8:8" x14ac:dyDescent="0.2">
      <c r="H894" s="65"/>
    </row>
    <row r="895" spans="8:8" x14ac:dyDescent="0.2">
      <c r="H895" s="65"/>
    </row>
    <row r="896" spans="8:8" x14ac:dyDescent="0.2">
      <c r="H896" s="65"/>
    </row>
    <row r="897" spans="8:8" x14ac:dyDescent="0.2">
      <c r="H897" s="65"/>
    </row>
    <row r="898" spans="8:8" x14ac:dyDescent="0.2">
      <c r="H898" s="65"/>
    </row>
    <row r="899" spans="8:8" x14ac:dyDescent="0.2">
      <c r="H899" s="65"/>
    </row>
    <row r="900" spans="8:8" x14ac:dyDescent="0.2">
      <c r="H900" s="65"/>
    </row>
    <row r="901" spans="8:8" x14ac:dyDescent="0.2">
      <c r="H901" s="65"/>
    </row>
    <row r="902" spans="8:8" x14ac:dyDescent="0.2">
      <c r="H902" s="65"/>
    </row>
    <row r="903" spans="8:8" x14ac:dyDescent="0.2">
      <c r="H903" s="65"/>
    </row>
    <row r="904" spans="8:8" x14ac:dyDescent="0.2">
      <c r="H904" s="65"/>
    </row>
    <row r="905" spans="8:8" x14ac:dyDescent="0.2">
      <c r="H905" s="65"/>
    </row>
    <row r="906" spans="8:8" x14ac:dyDescent="0.2">
      <c r="H906" s="65"/>
    </row>
    <row r="907" spans="8:8" x14ac:dyDescent="0.2">
      <c r="H907" s="65"/>
    </row>
    <row r="908" spans="8:8" x14ac:dyDescent="0.2">
      <c r="H908" s="65"/>
    </row>
    <row r="909" spans="8:8" x14ac:dyDescent="0.2">
      <c r="H909" s="65"/>
    </row>
    <row r="910" spans="8:8" x14ac:dyDescent="0.2">
      <c r="H910" s="65"/>
    </row>
    <row r="911" spans="8:8" x14ac:dyDescent="0.2">
      <c r="H911" s="65"/>
    </row>
    <row r="912" spans="8:8" x14ac:dyDescent="0.2">
      <c r="H912" s="65"/>
    </row>
    <row r="913" spans="8:8" x14ac:dyDescent="0.2">
      <c r="H913" s="65"/>
    </row>
    <row r="914" spans="8:8" x14ac:dyDescent="0.2">
      <c r="H914" s="65"/>
    </row>
    <row r="915" spans="8:8" x14ac:dyDescent="0.2">
      <c r="H915" s="65"/>
    </row>
    <row r="916" spans="8:8" x14ac:dyDescent="0.2">
      <c r="H916" s="65"/>
    </row>
    <row r="917" spans="8:8" x14ac:dyDescent="0.2">
      <c r="H917" s="65"/>
    </row>
    <row r="918" spans="8:8" x14ac:dyDescent="0.2">
      <c r="H918" s="65"/>
    </row>
    <row r="919" spans="8:8" x14ac:dyDescent="0.2">
      <c r="H919" s="65"/>
    </row>
    <row r="920" spans="8:8" x14ac:dyDescent="0.2">
      <c r="H920" s="65"/>
    </row>
    <row r="921" spans="8:8" x14ac:dyDescent="0.2">
      <c r="H921" s="65"/>
    </row>
    <row r="922" spans="8:8" x14ac:dyDescent="0.2">
      <c r="H922" s="65"/>
    </row>
    <row r="923" spans="8:8" x14ac:dyDescent="0.2">
      <c r="H923" s="65"/>
    </row>
    <row r="924" spans="8:8" x14ac:dyDescent="0.2">
      <c r="H924" s="65"/>
    </row>
    <row r="925" spans="8:8" x14ac:dyDescent="0.2">
      <c r="H925" s="65"/>
    </row>
    <row r="926" spans="8:8" x14ac:dyDescent="0.2">
      <c r="H926" s="65"/>
    </row>
    <row r="927" spans="8:8" x14ac:dyDescent="0.2">
      <c r="H927" s="65"/>
    </row>
    <row r="928" spans="8:8" x14ac:dyDescent="0.2">
      <c r="H928" s="65"/>
    </row>
    <row r="929" spans="8:8" x14ac:dyDescent="0.2">
      <c r="H929" s="65"/>
    </row>
    <row r="930" spans="8:8" x14ac:dyDescent="0.2">
      <c r="H930" s="65"/>
    </row>
    <row r="931" spans="8:8" x14ac:dyDescent="0.2">
      <c r="H931" s="65"/>
    </row>
    <row r="932" spans="8:8" x14ac:dyDescent="0.2">
      <c r="H932" s="65"/>
    </row>
    <row r="933" spans="8:8" x14ac:dyDescent="0.2">
      <c r="H933" s="65"/>
    </row>
    <row r="934" spans="8:8" x14ac:dyDescent="0.2">
      <c r="H934" s="65"/>
    </row>
    <row r="935" spans="8:8" x14ac:dyDescent="0.2">
      <c r="H935" s="65"/>
    </row>
    <row r="936" spans="8:8" x14ac:dyDescent="0.2">
      <c r="H936" s="65"/>
    </row>
    <row r="937" spans="8:8" x14ac:dyDescent="0.2">
      <c r="H937" s="65"/>
    </row>
    <row r="938" spans="8:8" x14ac:dyDescent="0.2">
      <c r="H938" s="65"/>
    </row>
    <row r="939" spans="8:8" x14ac:dyDescent="0.2">
      <c r="H939" s="65"/>
    </row>
    <row r="940" spans="8:8" x14ac:dyDescent="0.2">
      <c r="H940" s="65"/>
    </row>
    <row r="941" spans="8:8" x14ac:dyDescent="0.2">
      <c r="H941" s="65"/>
    </row>
    <row r="942" spans="8:8" x14ac:dyDescent="0.2">
      <c r="H942" s="65"/>
    </row>
    <row r="943" spans="8:8" x14ac:dyDescent="0.2">
      <c r="H943" s="65"/>
    </row>
    <row r="944" spans="8:8" x14ac:dyDescent="0.2">
      <c r="H944" s="65"/>
    </row>
    <row r="945" spans="8:8" x14ac:dyDescent="0.2">
      <c r="H945" s="65"/>
    </row>
    <row r="946" spans="8:8" x14ac:dyDescent="0.2">
      <c r="H946" s="65"/>
    </row>
    <row r="947" spans="8:8" x14ac:dyDescent="0.2">
      <c r="H947" s="65"/>
    </row>
    <row r="948" spans="8:8" x14ac:dyDescent="0.2">
      <c r="H948" s="65"/>
    </row>
    <row r="949" spans="8:8" x14ac:dyDescent="0.2">
      <c r="H949" s="65"/>
    </row>
    <row r="950" spans="8:8" x14ac:dyDescent="0.2">
      <c r="H950" s="65"/>
    </row>
    <row r="951" spans="8:8" x14ac:dyDescent="0.2">
      <c r="H951" s="65"/>
    </row>
    <row r="952" spans="8:8" x14ac:dyDescent="0.2">
      <c r="H952" s="65"/>
    </row>
    <row r="953" spans="8:8" x14ac:dyDescent="0.2">
      <c r="H953" s="65"/>
    </row>
    <row r="954" spans="8:8" x14ac:dyDescent="0.2">
      <c r="H954" s="65"/>
    </row>
    <row r="955" spans="8:8" x14ac:dyDescent="0.2">
      <c r="H955" s="65"/>
    </row>
    <row r="956" spans="8:8" x14ac:dyDescent="0.2">
      <c r="H956" s="65"/>
    </row>
    <row r="957" spans="8:8" x14ac:dyDescent="0.2">
      <c r="H957" s="65"/>
    </row>
    <row r="958" spans="8:8" x14ac:dyDescent="0.2">
      <c r="H958" s="65"/>
    </row>
    <row r="959" spans="8:8" x14ac:dyDescent="0.2">
      <c r="H959" s="65"/>
    </row>
    <row r="960" spans="8:8" x14ac:dyDescent="0.2">
      <c r="H960" s="65"/>
    </row>
    <row r="961" spans="8:8" x14ac:dyDescent="0.2">
      <c r="H961" s="65"/>
    </row>
    <row r="962" spans="8:8" x14ac:dyDescent="0.2">
      <c r="H962" s="65"/>
    </row>
    <row r="963" spans="8:8" x14ac:dyDescent="0.2">
      <c r="H963" s="65"/>
    </row>
    <row r="964" spans="8:8" x14ac:dyDescent="0.2">
      <c r="H964" s="65"/>
    </row>
    <row r="965" spans="8:8" x14ac:dyDescent="0.2">
      <c r="H965" s="65"/>
    </row>
    <row r="966" spans="8:8" x14ac:dyDescent="0.2">
      <c r="H966" s="65"/>
    </row>
    <row r="967" spans="8:8" x14ac:dyDescent="0.2">
      <c r="H967" s="65"/>
    </row>
    <row r="968" spans="8:8" x14ac:dyDescent="0.2">
      <c r="H968" s="65"/>
    </row>
    <row r="969" spans="8:8" x14ac:dyDescent="0.2">
      <c r="H969" s="65"/>
    </row>
    <row r="970" spans="8:8" x14ac:dyDescent="0.2">
      <c r="H970" s="65"/>
    </row>
    <row r="971" spans="8:8" x14ac:dyDescent="0.2">
      <c r="H971" s="65"/>
    </row>
    <row r="972" spans="8:8" x14ac:dyDescent="0.2">
      <c r="H972" s="65"/>
    </row>
    <row r="973" spans="8:8" x14ac:dyDescent="0.2">
      <c r="H973" s="65"/>
    </row>
    <row r="974" spans="8:8" x14ac:dyDescent="0.2">
      <c r="H974" s="65"/>
    </row>
    <row r="975" spans="8:8" x14ac:dyDescent="0.2">
      <c r="H975" s="65"/>
    </row>
    <row r="976" spans="8:8" x14ac:dyDescent="0.2">
      <c r="H976" s="65"/>
    </row>
    <row r="977" spans="8:8" x14ac:dyDescent="0.2">
      <c r="H977" s="65"/>
    </row>
    <row r="978" spans="8:8" x14ac:dyDescent="0.2">
      <c r="H978" s="65"/>
    </row>
    <row r="979" spans="8:8" x14ac:dyDescent="0.2">
      <c r="H979" s="65"/>
    </row>
    <row r="980" spans="8:8" x14ac:dyDescent="0.2">
      <c r="H980" s="65"/>
    </row>
    <row r="981" spans="8:8" x14ac:dyDescent="0.2">
      <c r="H981" s="65"/>
    </row>
    <row r="982" spans="8:8" x14ac:dyDescent="0.2">
      <c r="H982" s="65"/>
    </row>
    <row r="983" spans="8:8" x14ac:dyDescent="0.2">
      <c r="H983" s="65"/>
    </row>
    <row r="984" spans="8:8" x14ac:dyDescent="0.2">
      <c r="H984" s="65"/>
    </row>
    <row r="985" spans="8:8" x14ac:dyDescent="0.2">
      <c r="H985" s="65"/>
    </row>
    <row r="986" spans="8:8" x14ac:dyDescent="0.2">
      <c r="H986" s="65"/>
    </row>
    <row r="987" spans="8:8" x14ac:dyDescent="0.2">
      <c r="H987" s="65"/>
    </row>
    <row r="988" spans="8:8" x14ac:dyDescent="0.2">
      <c r="H988" s="65"/>
    </row>
    <row r="989" spans="8:8" x14ac:dyDescent="0.2">
      <c r="H989" s="65"/>
    </row>
    <row r="990" spans="8:8" x14ac:dyDescent="0.2">
      <c r="H990" s="65"/>
    </row>
    <row r="991" spans="8:8" x14ac:dyDescent="0.2">
      <c r="H991" s="65"/>
    </row>
    <row r="992" spans="8:8" x14ac:dyDescent="0.2">
      <c r="H992" s="65"/>
    </row>
    <row r="993" spans="8:8" x14ac:dyDescent="0.2">
      <c r="H993" s="65"/>
    </row>
    <row r="994" spans="8:8" x14ac:dyDescent="0.2">
      <c r="H994" s="65"/>
    </row>
    <row r="995" spans="8:8" x14ac:dyDescent="0.2">
      <c r="H995" s="65"/>
    </row>
    <row r="996" spans="8:8" x14ac:dyDescent="0.2">
      <c r="H996" s="65"/>
    </row>
    <row r="997" spans="8:8" x14ac:dyDescent="0.2">
      <c r="H997" s="65"/>
    </row>
    <row r="998" spans="8:8" x14ac:dyDescent="0.2">
      <c r="H998" s="65"/>
    </row>
    <row r="999" spans="8:8" x14ac:dyDescent="0.2">
      <c r="H999" s="65"/>
    </row>
    <row r="1000" spans="8:8" x14ac:dyDescent="0.2">
      <c r="H1000" s="65"/>
    </row>
    <row r="1001" spans="8:8" x14ac:dyDescent="0.2">
      <c r="H1001" s="65"/>
    </row>
    <row r="1002" spans="8:8" x14ac:dyDescent="0.2">
      <c r="H1002" s="65"/>
    </row>
    <row r="1003" spans="8:8" x14ac:dyDescent="0.2">
      <c r="H1003" s="65"/>
    </row>
    <row r="1004" spans="8:8" x14ac:dyDescent="0.2">
      <c r="H1004" s="65"/>
    </row>
    <row r="1005" spans="8:8" x14ac:dyDescent="0.2">
      <c r="H1005" s="65"/>
    </row>
    <row r="1006" spans="8:8" x14ac:dyDescent="0.2">
      <c r="H1006" s="65"/>
    </row>
    <row r="1007" spans="8:8" x14ac:dyDescent="0.2">
      <c r="H1007" s="65"/>
    </row>
    <row r="1008" spans="8:8" x14ac:dyDescent="0.2">
      <c r="H1008" s="65"/>
    </row>
    <row r="1009" spans="8:8" x14ac:dyDescent="0.2">
      <c r="H1009" s="65"/>
    </row>
    <row r="1010" spans="8:8" x14ac:dyDescent="0.2">
      <c r="H1010" s="65"/>
    </row>
    <row r="1011" spans="8:8" x14ac:dyDescent="0.2">
      <c r="H1011" s="65"/>
    </row>
    <row r="1012" spans="8:8" x14ac:dyDescent="0.2">
      <c r="H1012" s="65"/>
    </row>
    <row r="1013" spans="8:8" x14ac:dyDescent="0.2">
      <c r="H1013" s="65"/>
    </row>
    <row r="1014" spans="8:8" x14ac:dyDescent="0.2">
      <c r="H1014" s="65"/>
    </row>
    <row r="1015" spans="8:8" x14ac:dyDescent="0.2">
      <c r="H1015" s="65"/>
    </row>
    <row r="1016" spans="8:8" x14ac:dyDescent="0.2">
      <c r="H1016" s="65"/>
    </row>
    <row r="1017" spans="8:8" x14ac:dyDescent="0.2">
      <c r="H1017" s="65"/>
    </row>
    <row r="1018" spans="8:8" x14ac:dyDescent="0.2">
      <c r="H1018" s="65"/>
    </row>
    <row r="1019" spans="8:8" x14ac:dyDescent="0.2">
      <c r="H1019" s="65"/>
    </row>
    <row r="1020" spans="8:8" x14ac:dyDescent="0.2">
      <c r="H1020" s="65"/>
    </row>
    <row r="1021" spans="8:8" x14ac:dyDescent="0.2">
      <c r="H1021" s="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B5EA-4F28-5743-85B7-0C48B11084F8}">
  <dimension ref="A1:F13"/>
  <sheetViews>
    <sheetView zoomScale="119" workbookViewId="0">
      <selection activeCell="C20" sqref="C20"/>
    </sheetView>
  </sheetViews>
  <sheetFormatPr baseColWidth="10" defaultRowHeight="16" x14ac:dyDescent="0.2"/>
  <cols>
    <col min="1" max="1" width="42.6640625" customWidth="1"/>
    <col min="2" max="2" width="14" bestFit="1" customWidth="1"/>
    <col min="4" max="4" width="14" bestFit="1" customWidth="1"/>
  </cols>
  <sheetData>
    <row r="1" spans="1:6" x14ac:dyDescent="0.2">
      <c r="A1" s="1" t="s">
        <v>249</v>
      </c>
      <c r="B1" s="1" t="s">
        <v>248</v>
      </c>
      <c r="C1" s="1" t="s">
        <v>9</v>
      </c>
      <c r="D1" s="1" t="s">
        <v>10</v>
      </c>
    </row>
    <row r="2" spans="1:6" x14ac:dyDescent="0.2">
      <c r="A2" s="3" t="s">
        <v>237</v>
      </c>
      <c r="B2">
        <v>22.679600000000001</v>
      </c>
      <c r="C2" t="s">
        <v>238</v>
      </c>
      <c r="D2" t="s">
        <v>239</v>
      </c>
    </row>
    <row r="3" spans="1:6" x14ac:dyDescent="0.2">
      <c r="A3" t="s">
        <v>242</v>
      </c>
      <c r="B3">
        <v>0.54</v>
      </c>
      <c r="C3" t="s">
        <v>243</v>
      </c>
      <c r="D3" t="s">
        <v>244</v>
      </c>
    </row>
    <row r="4" spans="1:6" x14ac:dyDescent="0.2">
      <c r="A4" t="s">
        <v>219</v>
      </c>
      <c r="B4">
        <v>0.5</v>
      </c>
      <c r="C4" t="s">
        <v>243</v>
      </c>
      <c r="D4" t="s">
        <v>245</v>
      </c>
    </row>
    <row r="5" spans="1:6" x14ac:dyDescent="0.2">
      <c r="A5" t="s">
        <v>247</v>
      </c>
      <c r="B5">
        <v>3.67</v>
      </c>
      <c r="C5" t="s">
        <v>243</v>
      </c>
      <c r="D5" t="s">
        <v>273</v>
      </c>
    </row>
    <row r="6" spans="1:6" x14ac:dyDescent="0.2">
      <c r="A6" t="s">
        <v>252</v>
      </c>
      <c r="B6">
        <v>0.10100000000000001</v>
      </c>
      <c r="C6" t="s">
        <v>240</v>
      </c>
      <c r="D6" t="s">
        <v>241</v>
      </c>
    </row>
    <row r="7" spans="1:6" x14ac:dyDescent="0.2">
      <c r="A7" s="22" t="s">
        <v>253</v>
      </c>
      <c r="B7">
        <f>B2*B6</f>
        <v>2.2906396</v>
      </c>
      <c r="C7" t="s">
        <v>246</v>
      </c>
      <c r="D7" s="22" t="s">
        <v>269</v>
      </c>
    </row>
    <row r="8" spans="1:6" x14ac:dyDescent="0.2">
      <c r="A8" s="22" t="s">
        <v>254</v>
      </c>
      <c r="B8" s="40">
        <f>B7/(B2*(1/(1+B3))*B4*3.67)</f>
        <v>8.4762942779291556E-2</v>
      </c>
      <c r="C8" s="2" t="s">
        <v>250</v>
      </c>
      <c r="D8" s="2"/>
      <c r="E8" s="2" t="s">
        <v>251</v>
      </c>
      <c r="F8" s="2"/>
    </row>
    <row r="11" spans="1:6" x14ac:dyDescent="0.2">
      <c r="D11" s="84"/>
    </row>
    <row r="12" spans="1:6" x14ac:dyDescent="0.2">
      <c r="D12" s="84"/>
    </row>
    <row r="13" spans="1:6" x14ac:dyDescent="0.2">
      <c r="B13" s="8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1791-16B2-724F-9221-9559E250CC7B}">
  <dimension ref="A1:K59"/>
  <sheetViews>
    <sheetView workbookViewId="0">
      <selection activeCell="J25" sqref="J25"/>
    </sheetView>
  </sheetViews>
  <sheetFormatPr baseColWidth="10" defaultColWidth="8.83203125" defaultRowHeight="16" x14ac:dyDescent="0.2"/>
  <cols>
    <col min="1" max="1" width="31" style="3" customWidth="1"/>
    <col min="2" max="2" width="17.5" style="3" customWidth="1"/>
    <col min="3" max="3" width="21.83203125" style="3" customWidth="1"/>
    <col min="4" max="4" width="16.33203125" style="3" customWidth="1"/>
    <col min="5" max="5" width="12.5" style="3" customWidth="1"/>
    <col min="6" max="6" width="13.5" style="3" customWidth="1"/>
    <col min="7" max="16384" width="8.83203125" style="3"/>
  </cols>
  <sheetData>
    <row r="1" spans="1:8" x14ac:dyDescent="0.2">
      <c r="A1" s="18" t="s">
        <v>105</v>
      </c>
      <c r="B1" s="18"/>
      <c r="C1" s="18"/>
      <c r="D1" s="18"/>
      <c r="E1" s="18"/>
      <c r="F1" s="18"/>
      <c r="G1" s="18"/>
      <c r="H1" s="18"/>
    </row>
    <row r="2" spans="1:8" x14ac:dyDescent="0.2">
      <c r="A2" s="34" t="s">
        <v>56</v>
      </c>
      <c r="B2" s="34" t="s">
        <v>57</v>
      </c>
      <c r="C2" s="34" t="s">
        <v>9</v>
      </c>
      <c r="D2" s="34" t="s">
        <v>58</v>
      </c>
      <c r="E2" s="34" t="s">
        <v>59</v>
      </c>
      <c r="F2" s="34" t="s">
        <v>9</v>
      </c>
      <c r="G2" s="35" t="s">
        <v>60</v>
      </c>
      <c r="H2" s="35" t="s">
        <v>61</v>
      </c>
    </row>
    <row r="3" spans="1:8" x14ac:dyDescent="0.2">
      <c r="A3" s="28" t="s">
        <v>62</v>
      </c>
      <c r="B3" s="28">
        <v>6.37</v>
      </c>
      <c r="C3" s="28" t="s">
        <v>63</v>
      </c>
      <c r="D3" s="28">
        <v>1.59</v>
      </c>
      <c r="E3" s="70">
        <f>B3*D3</f>
        <v>10.128300000000001</v>
      </c>
      <c r="F3" s="28" t="s">
        <v>64</v>
      </c>
      <c r="G3" s="3">
        <f>E3/$C$28</f>
        <v>11.164536450668828</v>
      </c>
      <c r="H3" s="3">
        <f>G3/(0.5*3.67)</f>
        <v>6.0842160494108057</v>
      </c>
    </row>
    <row r="4" spans="1:8" x14ac:dyDescent="0.2">
      <c r="A4" s="28" t="s">
        <v>65</v>
      </c>
      <c r="B4" s="28">
        <v>6.08</v>
      </c>
      <c r="C4" s="28" t="s">
        <v>63</v>
      </c>
      <c r="D4" s="28">
        <v>1.59</v>
      </c>
      <c r="E4" s="70">
        <f>B4*D4</f>
        <v>9.6672000000000011</v>
      </c>
      <c r="F4" s="28" t="s">
        <v>64</v>
      </c>
      <c r="G4" s="3">
        <f t="shared" ref="G4:G5" si="0">E4/$C$28</f>
        <v>10.656260850873858</v>
      </c>
      <c r="H4" s="3">
        <f t="shared" ref="H4:H5" si="1">G4/(0.5*3.67)</f>
        <v>5.8072266217296233</v>
      </c>
    </row>
    <row r="5" spans="1:8" x14ac:dyDescent="0.2">
      <c r="A5" s="28" t="s">
        <v>66</v>
      </c>
      <c r="B5" s="28">
        <v>4.08</v>
      </c>
      <c r="C5" s="28" t="s">
        <v>63</v>
      </c>
      <c r="D5" s="28">
        <v>1.59</v>
      </c>
      <c r="E5" s="70">
        <f>B5*D5</f>
        <v>6.4872000000000005</v>
      </c>
      <c r="F5" s="28" t="s">
        <v>64</v>
      </c>
      <c r="G5" s="3">
        <f t="shared" si="0"/>
        <v>7.150911886770615</v>
      </c>
      <c r="H5" s="3">
        <f t="shared" si="1"/>
        <v>3.8969547066869836</v>
      </c>
    </row>
    <row r="7" spans="1:8" x14ac:dyDescent="0.2">
      <c r="A7" s="1" t="s">
        <v>67</v>
      </c>
      <c r="D7" s="1"/>
    </row>
    <row r="8" spans="1:8" x14ac:dyDescent="0.2">
      <c r="A8" s="3" t="s">
        <v>104</v>
      </c>
      <c r="D8" s="4"/>
    </row>
    <row r="9" spans="1:8" x14ac:dyDescent="0.2">
      <c r="A9" s="3" t="s">
        <v>103</v>
      </c>
      <c r="D9" s="4"/>
    </row>
    <row r="11" spans="1:8" x14ac:dyDescent="0.2">
      <c r="A11" s="1" t="s">
        <v>68</v>
      </c>
    </row>
    <row r="12" spans="1:8" x14ac:dyDescent="0.2">
      <c r="A12" s="1" t="s">
        <v>69</v>
      </c>
    </row>
    <row r="13" spans="1:8" x14ac:dyDescent="0.2">
      <c r="A13" s="1" t="s">
        <v>70</v>
      </c>
    </row>
    <row r="14" spans="1:8" x14ac:dyDescent="0.2">
      <c r="A14" s="1" t="s">
        <v>71</v>
      </c>
    </row>
    <row r="15" spans="1:8" x14ac:dyDescent="0.2">
      <c r="A15" s="1" t="s">
        <v>72</v>
      </c>
    </row>
    <row r="17" spans="1:11" x14ac:dyDescent="0.2">
      <c r="A17" s="18" t="s">
        <v>73</v>
      </c>
      <c r="B17" s="18" t="s">
        <v>74</v>
      </c>
      <c r="D17" s="52" t="s">
        <v>75</v>
      </c>
      <c r="E17" s="53" t="s">
        <v>76</v>
      </c>
      <c r="F17" s="53" t="s">
        <v>77</v>
      </c>
      <c r="G17" s="54" t="s">
        <v>78</v>
      </c>
      <c r="I17" s="52" t="s">
        <v>79</v>
      </c>
      <c r="J17" s="54"/>
    </row>
    <row r="18" spans="1:11" ht="17" x14ac:dyDescent="0.2">
      <c r="A18" s="36" t="s">
        <v>80</v>
      </c>
      <c r="B18" s="29">
        <f>AVERAGE(G18,G23)</f>
        <v>28.588200000000008</v>
      </c>
      <c r="D18" s="45">
        <v>0</v>
      </c>
      <c r="E18" s="71">
        <f>(D18/100)*0.58</f>
        <v>0</v>
      </c>
      <c r="F18" s="71">
        <f>E18*1.59</f>
        <v>0</v>
      </c>
      <c r="G18" s="72">
        <f>$E$3+$E$4+$E$5+F18</f>
        <v>26.282700000000006</v>
      </c>
      <c r="I18" s="47">
        <v>1.47</v>
      </c>
      <c r="J18" s="49"/>
      <c r="K18" s="4"/>
    </row>
    <row r="19" spans="1:11" ht="17" x14ac:dyDescent="0.2">
      <c r="A19" s="37" t="s">
        <v>81</v>
      </c>
      <c r="B19" s="31">
        <f>AVERAGE(G23,G28)</f>
        <v>33.199200000000005</v>
      </c>
      <c r="D19" s="45">
        <v>100</v>
      </c>
      <c r="E19" s="71">
        <f t="shared" ref="E19:E45" si="2">(D19/100)*0.58</f>
        <v>0.57999999999999996</v>
      </c>
      <c r="F19" s="71">
        <f t="shared" ref="F19:F23" si="3">E19*1.59</f>
        <v>0.92220000000000002</v>
      </c>
      <c r="G19" s="72">
        <f t="shared" ref="G19:G45" si="4">$G$18+F19</f>
        <v>27.204900000000006</v>
      </c>
    </row>
    <row r="20" spans="1:11" ht="17" x14ac:dyDescent="0.2">
      <c r="A20" s="36" t="s">
        <v>82</v>
      </c>
      <c r="B20" s="29">
        <f>AVERAGE(G28,G45)</f>
        <v>43.06674000000001</v>
      </c>
      <c r="D20" s="45">
        <v>200</v>
      </c>
      <c r="E20" s="71">
        <f t="shared" si="2"/>
        <v>1.1599999999999999</v>
      </c>
      <c r="F20" s="71">
        <f t="shared" si="3"/>
        <v>1.8444</v>
      </c>
      <c r="G20" s="72">
        <f t="shared" si="4"/>
        <v>28.127100000000006</v>
      </c>
    </row>
    <row r="21" spans="1:11" ht="17" x14ac:dyDescent="0.2">
      <c r="A21" s="37" t="s">
        <v>83</v>
      </c>
      <c r="B21" s="31">
        <f>B18*I18</f>
        <v>42.024654000000012</v>
      </c>
      <c r="D21" s="45">
        <v>300</v>
      </c>
      <c r="E21" s="71">
        <f t="shared" si="2"/>
        <v>1.7399999999999998</v>
      </c>
      <c r="F21" s="71">
        <f t="shared" si="3"/>
        <v>2.7665999999999999</v>
      </c>
      <c r="G21" s="72">
        <f t="shared" si="4"/>
        <v>29.049300000000006</v>
      </c>
    </row>
    <row r="22" spans="1:11" ht="17" x14ac:dyDescent="0.2">
      <c r="A22" s="36" t="s">
        <v>84</v>
      </c>
      <c r="B22" s="29">
        <f>B19*I18</f>
        <v>48.802824000000008</v>
      </c>
      <c r="D22" s="45">
        <v>400</v>
      </c>
      <c r="E22" s="71">
        <f t="shared" si="2"/>
        <v>2.3199999999999998</v>
      </c>
      <c r="F22" s="71">
        <f t="shared" si="3"/>
        <v>3.6888000000000001</v>
      </c>
      <c r="G22" s="72">
        <f t="shared" si="4"/>
        <v>29.971500000000006</v>
      </c>
    </row>
    <row r="23" spans="1:11" ht="17" x14ac:dyDescent="0.2">
      <c r="A23" s="37" t="s">
        <v>85</v>
      </c>
      <c r="B23" s="31">
        <f>B20*I18</f>
        <v>63.308107800000016</v>
      </c>
      <c r="D23" s="45">
        <v>500</v>
      </c>
      <c r="E23" s="71">
        <f t="shared" si="2"/>
        <v>2.9</v>
      </c>
      <c r="F23" s="71">
        <f t="shared" si="3"/>
        <v>4.6109999999999998</v>
      </c>
      <c r="G23" s="72">
        <f t="shared" si="4"/>
        <v>30.893700000000006</v>
      </c>
    </row>
    <row r="24" spans="1:11" x14ac:dyDescent="0.2">
      <c r="D24" s="45">
        <v>600</v>
      </c>
      <c r="E24" s="71">
        <f t="shared" si="2"/>
        <v>3.4799999999999995</v>
      </c>
      <c r="F24" s="71">
        <f>E24*1.59</f>
        <v>5.5331999999999999</v>
      </c>
      <c r="G24" s="72">
        <f t="shared" si="4"/>
        <v>31.815900000000006</v>
      </c>
    </row>
    <row r="25" spans="1:11" x14ac:dyDescent="0.2">
      <c r="D25" s="45">
        <v>700</v>
      </c>
      <c r="E25" s="71">
        <f t="shared" si="2"/>
        <v>4.0599999999999996</v>
      </c>
      <c r="F25" s="71">
        <f t="shared" ref="F25:F45" si="5">E25*1.59</f>
        <v>6.4554</v>
      </c>
      <c r="G25" s="72">
        <f t="shared" si="4"/>
        <v>32.738100000000003</v>
      </c>
    </row>
    <row r="26" spans="1:11" x14ac:dyDescent="0.2">
      <c r="A26" s="1" t="s">
        <v>86</v>
      </c>
      <c r="D26" s="45">
        <v>800</v>
      </c>
      <c r="E26" s="71">
        <f t="shared" si="2"/>
        <v>4.6399999999999997</v>
      </c>
      <c r="F26" s="71">
        <f t="shared" si="5"/>
        <v>7.3776000000000002</v>
      </c>
      <c r="G26" s="72">
        <f t="shared" si="4"/>
        <v>33.660300000000007</v>
      </c>
    </row>
    <row r="27" spans="1:11" ht="17" x14ac:dyDescent="0.2">
      <c r="A27" s="18" t="s">
        <v>73</v>
      </c>
      <c r="B27" s="18" t="s">
        <v>87</v>
      </c>
      <c r="C27" s="75" t="s">
        <v>88</v>
      </c>
      <c r="D27" s="45">
        <v>900</v>
      </c>
      <c r="E27" s="71">
        <f t="shared" si="2"/>
        <v>5.22</v>
      </c>
      <c r="F27" s="71">
        <f t="shared" si="5"/>
        <v>8.2997999999999994</v>
      </c>
      <c r="G27" s="72">
        <f t="shared" si="4"/>
        <v>34.582500000000003</v>
      </c>
    </row>
    <row r="28" spans="1:11" ht="17" x14ac:dyDescent="0.2">
      <c r="A28" s="36" t="s">
        <v>80</v>
      </c>
      <c r="B28" s="29">
        <f>B18/$C$28</f>
        <v>31.513087187288157</v>
      </c>
      <c r="C28" s="59">
        <v>0.90718500000000002</v>
      </c>
      <c r="D28" s="45">
        <v>1000</v>
      </c>
      <c r="E28" s="71">
        <f t="shared" si="2"/>
        <v>5.8</v>
      </c>
      <c r="F28" s="71">
        <f t="shared" si="5"/>
        <v>9.2219999999999995</v>
      </c>
      <c r="G28" s="72">
        <f t="shared" si="4"/>
        <v>35.504700000000007</v>
      </c>
    </row>
    <row r="29" spans="1:11" ht="17" x14ac:dyDescent="0.2">
      <c r="A29" s="37" t="s">
        <v>81</v>
      </c>
      <c r="B29" s="31">
        <f>B19/$C$28</f>
        <v>36.595843185237854</v>
      </c>
      <c r="D29" s="45">
        <v>1100</v>
      </c>
      <c r="E29" s="71">
        <f t="shared" si="2"/>
        <v>6.38</v>
      </c>
      <c r="F29" s="71">
        <f t="shared" si="5"/>
        <v>10.1442</v>
      </c>
      <c r="G29" s="72">
        <f t="shared" si="4"/>
        <v>36.426900000000003</v>
      </c>
    </row>
    <row r="30" spans="1:11" ht="17" x14ac:dyDescent="0.2">
      <c r="A30" s="36" t="s">
        <v>82</v>
      </c>
      <c r="B30" s="29">
        <f t="shared" ref="B30:B33" si="6">B20/$C$28</f>
        <v>47.472941020850222</v>
      </c>
      <c r="D30" s="45">
        <v>1200</v>
      </c>
      <c r="E30" s="71">
        <f t="shared" si="2"/>
        <v>6.9599999999999991</v>
      </c>
      <c r="F30" s="71">
        <f t="shared" si="5"/>
        <v>11.0664</v>
      </c>
      <c r="G30" s="72">
        <f t="shared" si="4"/>
        <v>37.349100000000007</v>
      </c>
    </row>
    <row r="31" spans="1:11" ht="17" x14ac:dyDescent="0.2">
      <c r="A31" s="37" t="s">
        <v>83</v>
      </c>
      <c r="B31" s="31">
        <f t="shared" si="6"/>
        <v>46.324238165313595</v>
      </c>
      <c r="D31" s="45">
        <v>1300</v>
      </c>
      <c r="E31" s="71">
        <f t="shared" si="2"/>
        <v>7.5399999999999991</v>
      </c>
      <c r="F31" s="71">
        <f t="shared" si="5"/>
        <v>11.9886</v>
      </c>
      <c r="G31" s="72">
        <f t="shared" si="4"/>
        <v>38.271300000000004</v>
      </c>
    </row>
    <row r="32" spans="1:11" ht="17" x14ac:dyDescent="0.2">
      <c r="A32" s="36" t="s">
        <v>84</v>
      </c>
      <c r="B32" s="29">
        <f t="shared" si="6"/>
        <v>53.79588948229965</v>
      </c>
      <c r="D32" s="45">
        <v>1400</v>
      </c>
      <c r="E32" s="71">
        <f t="shared" si="2"/>
        <v>8.1199999999999992</v>
      </c>
      <c r="F32" s="71">
        <f t="shared" si="5"/>
        <v>12.9108</v>
      </c>
      <c r="G32" s="72">
        <f t="shared" si="4"/>
        <v>39.193500000000007</v>
      </c>
    </row>
    <row r="33" spans="1:8" ht="17" x14ac:dyDescent="0.2">
      <c r="A33" s="37" t="s">
        <v>85</v>
      </c>
      <c r="B33" s="31">
        <f t="shared" si="6"/>
        <v>69.785223300649832</v>
      </c>
      <c r="D33" s="45">
        <v>1500</v>
      </c>
      <c r="E33" s="71">
        <f t="shared" si="2"/>
        <v>8.6999999999999993</v>
      </c>
      <c r="F33" s="71">
        <f t="shared" si="5"/>
        <v>13.833</v>
      </c>
      <c r="G33" s="72">
        <f t="shared" si="4"/>
        <v>40.115700000000004</v>
      </c>
    </row>
    <row r="34" spans="1:8" x14ac:dyDescent="0.2">
      <c r="D34" s="45">
        <v>1600</v>
      </c>
      <c r="E34" s="71">
        <f t="shared" si="2"/>
        <v>9.2799999999999994</v>
      </c>
      <c r="F34" s="71">
        <f t="shared" si="5"/>
        <v>14.7552</v>
      </c>
      <c r="G34" s="72">
        <f t="shared" si="4"/>
        <v>41.037900000000008</v>
      </c>
    </row>
    <row r="35" spans="1:8" x14ac:dyDescent="0.2">
      <c r="D35" s="45">
        <v>1700</v>
      </c>
      <c r="E35" s="71">
        <f t="shared" si="2"/>
        <v>9.86</v>
      </c>
      <c r="F35" s="71">
        <f t="shared" si="5"/>
        <v>15.6774</v>
      </c>
      <c r="G35" s="72">
        <f t="shared" si="4"/>
        <v>41.960100000000004</v>
      </c>
    </row>
    <row r="36" spans="1:8" x14ac:dyDescent="0.2">
      <c r="A36" s="1" t="s">
        <v>89</v>
      </c>
      <c r="D36" s="45">
        <v>1800</v>
      </c>
      <c r="E36" s="71">
        <f t="shared" si="2"/>
        <v>10.44</v>
      </c>
      <c r="F36" s="71">
        <f t="shared" si="5"/>
        <v>16.599599999999999</v>
      </c>
      <c r="G36" s="72">
        <f t="shared" si="4"/>
        <v>42.882300000000001</v>
      </c>
    </row>
    <row r="37" spans="1:8" x14ac:dyDescent="0.2">
      <c r="A37" s="18" t="s">
        <v>73</v>
      </c>
      <c r="B37" s="18" t="s">
        <v>90</v>
      </c>
      <c r="C37" s="24" t="s">
        <v>106</v>
      </c>
      <c r="D37" s="45">
        <v>1900</v>
      </c>
      <c r="E37" s="71">
        <f t="shared" si="2"/>
        <v>11.02</v>
      </c>
      <c r="F37" s="71">
        <f t="shared" si="5"/>
        <v>17.521799999999999</v>
      </c>
      <c r="G37" s="72">
        <f t="shared" si="4"/>
        <v>43.804500000000004</v>
      </c>
    </row>
    <row r="38" spans="1:8" ht="17" x14ac:dyDescent="0.2">
      <c r="A38" s="36" t="s">
        <v>80</v>
      </c>
      <c r="B38" s="68">
        <f>B28/(0.5*3.67)</f>
        <v>17.173344516233328</v>
      </c>
      <c r="D38" s="45">
        <v>2000</v>
      </c>
      <c r="E38" s="71">
        <f t="shared" si="2"/>
        <v>11.6</v>
      </c>
      <c r="F38" s="71">
        <f t="shared" si="5"/>
        <v>18.443999999999999</v>
      </c>
      <c r="G38" s="72">
        <f t="shared" si="4"/>
        <v>44.726700000000008</v>
      </c>
    </row>
    <row r="39" spans="1:8" ht="17" x14ac:dyDescent="0.2">
      <c r="A39" s="37" t="s">
        <v>81</v>
      </c>
      <c r="B39" s="69">
        <f t="shared" ref="B39:B43" si="7">B29/(0.5*3.67)</f>
        <v>19.943238793045154</v>
      </c>
      <c r="D39" s="45">
        <v>2100</v>
      </c>
      <c r="E39" s="71">
        <f t="shared" si="2"/>
        <v>12.18</v>
      </c>
      <c r="F39" s="71">
        <f t="shared" si="5"/>
        <v>19.366199999999999</v>
      </c>
      <c r="G39" s="72">
        <f t="shared" si="4"/>
        <v>45.648900000000005</v>
      </c>
    </row>
    <row r="40" spans="1:8" ht="17" x14ac:dyDescent="0.2">
      <c r="A40" s="36" t="s">
        <v>82</v>
      </c>
      <c r="B40" s="68">
        <f t="shared" si="7"/>
        <v>25.870812545422464</v>
      </c>
      <c r="D40" s="45">
        <v>2200</v>
      </c>
      <c r="E40" s="71">
        <f t="shared" si="2"/>
        <v>12.76</v>
      </c>
      <c r="F40" s="71">
        <f t="shared" si="5"/>
        <v>20.288399999999999</v>
      </c>
      <c r="G40" s="72">
        <f t="shared" si="4"/>
        <v>46.571100000000001</v>
      </c>
    </row>
    <row r="41" spans="1:8" ht="17" x14ac:dyDescent="0.2">
      <c r="A41" s="37" t="s">
        <v>83</v>
      </c>
      <c r="B41" s="69">
        <f t="shared" si="7"/>
        <v>25.244816438862994</v>
      </c>
      <c r="D41" s="45">
        <v>2300</v>
      </c>
      <c r="E41" s="71">
        <f t="shared" si="2"/>
        <v>13.34</v>
      </c>
      <c r="F41" s="71">
        <f t="shared" si="5"/>
        <v>21.210599999999999</v>
      </c>
      <c r="G41" s="72">
        <f t="shared" si="4"/>
        <v>47.493300000000005</v>
      </c>
    </row>
    <row r="42" spans="1:8" ht="17" x14ac:dyDescent="0.2">
      <c r="A42" s="36" t="s">
        <v>84</v>
      </c>
      <c r="B42" s="68">
        <f t="shared" si="7"/>
        <v>29.316561025776377</v>
      </c>
      <c r="D42" s="45">
        <v>2400</v>
      </c>
      <c r="E42" s="71">
        <f t="shared" si="2"/>
        <v>13.919999999999998</v>
      </c>
      <c r="F42" s="71">
        <f t="shared" si="5"/>
        <v>22.1328</v>
      </c>
      <c r="G42" s="72">
        <f t="shared" si="4"/>
        <v>48.415500000000009</v>
      </c>
    </row>
    <row r="43" spans="1:8" ht="17" x14ac:dyDescent="0.2">
      <c r="A43" s="37" t="s">
        <v>85</v>
      </c>
      <c r="B43" s="69">
        <f t="shared" si="7"/>
        <v>38.030094441771027</v>
      </c>
      <c r="D43" s="45">
        <v>2500</v>
      </c>
      <c r="E43" s="71">
        <f t="shared" si="2"/>
        <v>14.499999999999998</v>
      </c>
      <c r="F43" s="71">
        <f t="shared" si="5"/>
        <v>23.055</v>
      </c>
      <c r="G43" s="72">
        <f t="shared" si="4"/>
        <v>49.337700000000005</v>
      </c>
    </row>
    <row r="44" spans="1:8" x14ac:dyDescent="0.2">
      <c r="D44" s="45">
        <v>2600</v>
      </c>
      <c r="E44" s="71">
        <f t="shared" si="2"/>
        <v>15.079999999999998</v>
      </c>
      <c r="F44" s="71">
        <f t="shared" si="5"/>
        <v>23.9772</v>
      </c>
      <c r="G44" s="72">
        <f t="shared" si="4"/>
        <v>50.259900000000002</v>
      </c>
    </row>
    <row r="45" spans="1:8" x14ac:dyDescent="0.2">
      <c r="A45" s="1"/>
      <c r="D45" s="47">
        <v>2640</v>
      </c>
      <c r="E45" s="73">
        <f t="shared" si="2"/>
        <v>15.311999999999998</v>
      </c>
      <c r="F45" s="73">
        <f t="shared" si="5"/>
        <v>24.346079999999997</v>
      </c>
      <c r="G45" s="74">
        <f t="shared" si="4"/>
        <v>50.628780000000006</v>
      </c>
    </row>
    <row r="46" spans="1:8" x14ac:dyDescent="0.2">
      <c r="A46" s="1" t="s">
        <v>91</v>
      </c>
      <c r="C46" s="24" t="s">
        <v>106</v>
      </c>
      <c r="F46" s="71"/>
      <c r="G46" s="71"/>
    </row>
    <row r="47" spans="1:8" x14ac:dyDescent="0.2">
      <c r="A47" s="3" t="s">
        <v>92</v>
      </c>
      <c r="B47" s="66">
        <v>10.38</v>
      </c>
      <c r="C47" s="3" t="s">
        <v>101</v>
      </c>
    </row>
    <row r="48" spans="1:8" x14ac:dyDescent="0.2">
      <c r="A48" s="3" t="s">
        <v>93</v>
      </c>
      <c r="B48" s="67">
        <f>G48</f>
        <v>22.910388288288292</v>
      </c>
      <c r="C48" s="3" t="s">
        <v>94</v>
      </c>
      <c r="D48" s="3" t="s">
        <v>95</v>
      </c>
      <c r="E48" s="3">
        <f>399/33.3</f>
        <v>11.981981981981983</v>
      </c>
      <c r="F48" s="30">
        <f>E48*3.67*0.5</f>
        <v>21.986936936936939</v>
      </c>
      <c r="G48" s="33">
        <f>F48*1.042</f>
        <v>22.910388288288292</v>
      </c>
      <c r="H48" s="3" t="s">
        <v>102</v>
      </c>
    </row>
    <row r="49" spans="1:8" x14ac:dyDescent="0.2">
      <c r="A49" s="3" t="s">
        <v>96</v>
      </c>
      <c r="B49" s="67">
        <f>G49</f>
        <v>41.686571171171181</v>
      </c>
      <c r="C49" s="3" t="s">
        <v>97</v>
      </c>
      <c r="D49" s="3" t="s">
        <v>98</v>
      </c>
      <c r="E49" s="3">
        <f>726/33.3</f>
        <v>21.801801801801805</v>
      </c>
      <c r="F49" s="30">
        <f>E49*3.67*0.5</f>
        <v>40.006306306306314</v>
      </c>
      <c r="G49" s="33">
        <f>F49*1.042</f>
        <v>41.686571171171181</v>
      </c>
      <c r="H49" s="3" t="s">
        <v>102</v>
      </c>
    </row>
    <row r="50" spans="1:8" x14ac:dyDescent="0.2">
      <c r="C50" s="3" t="s">
        <v>235</v>
      </c>
      <c r="D50" s="22" t="s">
        <v>232</v>
      </c>
      <c r="E50" s="22" t="s">
        <v>231</v>
      </c>
      <c r="F50" s="76" t="s">
        <v>233</v>
      </c>
      <c r="G50" s="76" t="s">
        <v>234</v>
      </c>
    </row>
    <row r="51" spans="1:8" x14ac:dyDescent="0.2">
      <c r="D51" s="22"/>
      <c r="E51" s="22"/>
      <c r="F51" s="76"/>
      <c r="G51" s="76"/>
    </row>
    <row r="52" spans="1:8" x14ac:dyDescent="0.2">
      <c r="A52" s="1" t="s">
        <v>99</v>
      </c>
    </row>
    <row r="53" spans="1:8" x14ac:dyDescent="0.2">
      <c r="A53" s="22" t="s">
        <v>100</v>
      </c>
      <c r="B53" s="22"/>
    </row>
    <row r="54" spans="1:8" ht="17" x14ac:dyDescent="0.2">
      <c r="A54" s="36" t="s">
        <v>80</v>
      </c>
      <c r="B54" s="29">
        <f>B38+B48</f>
        <v>40.083732804521617</v>
      </c>
    </row>
    <row r="55" spans="1:8" ht="17" x14ac:dyDescent="0.2">
      <c r="A55" s="37" t="s">
        <v>81</v>
      </c>
      <c r="B55" s="31">
        <f>B39+B48</f>
        <v>42.853627081333443</v>
      </c>
      <c r="D55" s="33"/>
    </row>
    <row r="56" spans="1:8" ht="17" x14ac:dyDescent="0.2">
      <c r="A56" s="36" t="s">
        <v>82</v>
      </c>
      <c r="B56" s="29">
        <f>B40+B48</f>
        <v>48.781200833710756</v>
      </c>
    </row>
    <row r="57" spans="1:8" ht="17" x14ac:dyDescent="0.2">
      <c r="A57" s="37" t="s">
        <v>83</v>
      </c>
      <c r="B57" s="31">
        <f>B41+B48</f>
        <v>48.155204727151286</v>
      </c>
    </row>
    <row r="58" spans="1:8" ht="17" x14ac:dyDescent="0.2">
      <c r="A58" s="36" t="s">
        <v>84</v>
      </c>
      <c r="B58" s="29">
        <f>B42+B48</f>
        <v>52.226949314064669</v>
      </c>
    </row>
    <row r="59" spans="1:8" ht="17" x14ac:dyDescent="0.2">
      <c r="A59" s="37" t="s">
        <v>85</v>
      </c>
      <c r="B59" s="31">
        <f>B43+B48</f>
        <v>60.940482730059315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A956-FE2B-1B4A-8847-EC88499ABAA4}">
  <dimension ref="A1:Z988"/>
  <sheetViews>
    <sheetView topLeftCell="A9" workbookViewId="0">
      <selection activeCell="C41" sqref="C41"/>
    </sheetView>
  </sheetViews>
  <sheetFormatPr baseColWidth="10" defaultRowHeight="16" x14ac:dyDescent="0.2"/>
  <cols>
    <col min="1" max="1" width="55.1640625" customWidth="1"/>
    <col min="4" max="4" width="13" customWidth="1"/>
  </cols>
  <sheetData>
    <row r="1" spans="1:26" x14ac:dyDescent="0.2">
      <c r="A1" s="18" t="s">
        <v>193</v>
      </c>
      <c r="B1" s="18"/>
      <c r="C1" s="18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8" t="s">
        <v>149</v>
      </c>
      <c r="B2" s="39" t="s">
        <v>150</v>
      </c>
      <c r="C2" s="39" t="s">
        <v>151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152</v>
      </c>
      <c r="B3" s="23">
        <v>100000</v>
      </c>
      <c r="C3" s="3" t="s">
        <v>153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4" t="s">
        <v>154</v>
      </c>
      <c r="B4" s="25">
        <v>1200000</v>
      </c>
      <c r="C4" s="14" t="s">
        <v>155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156</v>
      </c>
      <c r="B5" s="23">
        <v>1800000</v>
      </c>
      <c r="C5" s="3" t="s">
        <v>155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14" t="s">
        <v>157</v>
      </c>
      <c r="B6" s="14">
        <v>25000</v>
      </c>
      <c r="C6" s="14" t="s">
        <v>155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158</v>
      </c>
      <c r="B7" s="26">
        <v>100000</v>
      </c>
      <c r="C7" s="3" t="s">
        <v>155</v>
      </c>
      <c r="D7" s="26" t="s">
        <v>191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14" t="s">
        <v>159</v>
      </c>
      <c r="B8" s="27">
        <v>200000</v>
      </c>
      <c r="C8" s="14" t="s">
        <v>155</v>
      </c>
      <c r="D8" s="5">
        <v>800000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160</v>
      </c>
      <c r="B9" s="27">
        <v>300000</v>
      </c>
      <c r="C9" s="3" t="s">
        <v>155</v>
      </c>
      <c r="D9" s="3" t="s">
        <v>192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14" t="s">
        <v>161</v>
      </c>
      <c r="B10" s="27">
        <v>200000</v>
      </c>
      <c r="C10" s="14" t="s">
        <v>155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162</v>
      </c>
      <c r="B11" s="23">
        <v>500000</v>
      </c>
      <c r="C11" s="3" t="s">
        <v>155</v>
      </c>
      <c r="D11" s="3" t="s">
        <v>190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14" t="s">
        <v>163</v>
      </c>
      <c r="B12" s="14">
        <v>5</v>
      </c>
      <c r="C12" s="14" t="s">
        <v>164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165</v>
      </c>
      <c r="B13" s="3" t="s">
        <v>166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8" t="s">
        <v>189</v>
      </c>
      <c r="B15" s="39"/>
      <c r="C15" s="3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167</v>
      </c>
      <c r="B16" s="3">
        <v>1</v>
      </c>
      <c r="C16" s="3" t="s">
        <v>168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14" t="s">
        <v>169</v>
      </c>
      <c r="B17" s="25">
        <v>50000000</v>
      </c>
      <c r="C17" s="14" t="s">
        <v>155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170</v>
      </c>
      <c r="B18" s="23">
        <v>13000000</v>
      </c>
      <c r="C18" s="3" t="s">
        <v>155</v>
      </c>
      <c r="D18" s="3" t="s">
        <v>171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14" t="s">
        <v>172</v>
      </c>
      <c r="B19" s="25">
        <v>22000000</v>
      </c>
      <c r="C19" s="14" t="s">
        <v>155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173</v>
      </c>
      <c r="B20" s="23">
        <v>12000000</v>
      </c>
      <c r="C20" s="3" t="s">
        <v>155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14" t="s">
        <v>174</v>
      </c>
      <c r="B21" s="25">
        <v>18000000</v>
      </c>
      <c r="C21" s="14" t="s">
        <v>155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175</v>
      </c>
      <c r="B22" s="23">
        <v>1000000</v>
      </c>
      <c r="C22" s="3" t="s">
        <v>155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14" t="s">
        <v>157</v>
      </c>
      <c r="B23" s="25">
        <v>1000000</v>
      </c>
      <c r="C23" s="14" t="s">
        <v>155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158</v>
      </c>
      <c r="B24" s="23">
        <v>4000000</v>
      </c>
      <c r="C24" s="3" t="s">
        <v>155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18" t="s">
        <v>194</v>
      </c>
      <c r="B26" s="18"/>
      <c r="C26" s="1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8" t="s">
        <v>177</v>
      </c>
      <c r="B27" s="39"/>
      <c r="C27" s="3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178</v>
      </c>
      <c r="B28" s="3">
        <v>40</v>
      </c>
      <c r="C28" s="3" t="s">
        <v>176</v>
      </c>
      <c r="D28" s="3" t="s">
        <v>179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14" t="s">
        <v>180</v>
      </c>
      <c r="B29" s="14">
        <v>72</v>
      </c>
      <c r="C29" s="14" t="s">
        <v>176</v>
      </c>
      <c r="D29" s="3" t="s">
        <v>181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182</v>
      </c>
      <c r="B30" s="3">
        <v>39</v>
      </c>
      <c r="C30" s="3" t="s">
        <v>183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14" t="s">
        <v>184</v>
      </c>
      <c r="B31" s="14">
        <v>37</v>
      </c>
      <c r="C31" s="14" t="s">
        <v>185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186</v>
      </c>
      <c r="B32" s="3">
        <v>20</v>
      </c>
      <c r="C32" s="3" t="s">
        <v>183</v>
      </c>
      <c r="D32" s="3" t="s">
        <v>142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14" t="s">
        <v>187</v>
      </c>
      <c r="B33" s="14">
        <v>15</v>
      </c>
      <c r="C33" s="14" t="s">
        <v>185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188</v>
      </c>
      <c r="B34" s="3">
        <v>8</v>
      </c>
      <c r="C34" s="3" t="s">
        <v>183</v>
      </c>
      <c r="D34" s="3" t="s">
        <v>141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1" t="s">
        <v>196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4" t="s">
        <v>259</v>
      </c>
      <c r="B38" s="41">
        <v>8</v>
      </c>
      <c r="C38" s="3" t="s">
        <v>197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260</v>
      </c>
      <c r="B39" s="41">
        <v>5</v>
      </c>
      <c r="C39" s="3" t="s">
        <v>198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261</v>
      </c>
      <c r="B40" s="41">
        <v>30</v>
      </c>
      <c r="C40" s="3" t="s">
        <v>108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24" t="s">
        <v>262</v>
      </c>
      <c r="B41" s="41">
        <v>12.5</v>
      </c>
      <c r="C41" s="3" t="s">
        <v>195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263</v>
      </c>
      <c r="B42" s="41">
        <v>5</v>
      </c>
      <c r="C42" s="3" t="s">
        <v>42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264</v>
      </c>
      <c r="B43" s="41">
        <v>20</v>
      </c>
      <c r="C43" s="3" t="s">
        <v>43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18AA-2E5B-A04F-850D-B06F98407F8B}">
  <dimension ref="A1:K34"/>
  <sheetViews>
    <sheetView zoomScaleNormal="100" workbookViewId="0">
      <selection activeCell="E30" sqref="E30"/>
    </sheetView>
  </sheetViews>
  <sheetFormatPr baseColWidth="10" defaultRowHeight="16" x14ac:dyDescent="0.2"/>
  <cols>
    <col min="1" max="1" width="39.33203125" style="3" customWidth="1"/>
    <col min="2" max="2" width="10.83203125" style="3"/>
    <col min="3" max="3" width="21.1640625" style="3" customWidth="1"/>
    <col min="4" max="4" width="20.83203125" style="3" customWidth="1"/>
    <col min="5" max="5" width="22.5" style="3" customWidth="1"/>
    <col min="6" max="6" width="13.1640625" style="3" customWidth="1"/>
    <col min="7" max="16384" width="10.83203125" style="3"/>
  </cols>
  <sheetData>
    <row r="1" spans="1:11" x14ac:dyDescent="0.2">
      <c r="A1" s="18" t="s">
        <v>148</v>
      </c>
      <c r="B1" s="18"/>
      <c r="C1" s="18"/>
      <c r="D1" s="18"/>
    </row>
    <row r="2" spans="1:11" x14ac:dyDescent="0.2">
      <c r="A2" s="3" t="s">
        <v>117</v>
      </c>
      <c r="B2" s="5">
        <v>750000</v>
      </c>
      <c r="C2" s="3" t="s">
        <v>118</v>
      </c>
      <c r="D2" s="3" t="s">
        <v>119</v>
      </c>
      <c r="G2" s="4"/>
    </row>
    <row r="3" spans="1:11" x14ac:dyDescent="0.2">
      <c r="A3" s="14" t="s">
        <v>120</v>
      </c>
      <c r="B3" s="19">
        <v>225</v>
      </c>
      <c r="C3" s="14" t="s">
        <v>121</v>
      </c>
      <c r="D3" s="14" t="s">
        <v>119</v>
      </c>
      <c r="G3" s="4"/>
    </row>
    <row r="4" spans="1:11" x14ac:dyDescent="0.2">
      <c r="A4" s="3" t="s">
        <v>122</v>
      </c>
      <c r="B4" s="3">
        <v>1350</v>
      </c>
      <c r="C4" s="3" t="s">
        <v>123</v>
      </c>
      <c r="D4" s="3" t="s">
        <v>119</v>
      </c>
      <c r="G4" s="4"/>
    </row>
    <row r="5" spans="1:11" x14ac:dyDescent="0.2">
      <c r="A5" s="14" t="s">
        <v>124</v>
      </c>
      <c r="B5" s="14">
        <v>20</v>
      </c>
      <c r="C5" s="14" t="s">
        <v>125</v>
      </c>
      <c r="D5" s="14" t="s">
        <v>119</v>
      </c>
      <c r="G5" s="4"/>
    </row>
    <row r="6" spans="1:11" x14ac:dyDescent="0.2">
      <c r="A6" s="3" t="s">
        <v>126</v>
      </c>
      <c r="B6" s="3">
        <v>2.5</v>
      </c>
      <c r="C6" s="3" t="s">
        <v>127</v>
      </c>
      <c r="D6" s="3" t="s">
        <v>119</v>
      </c>
    </row>
    <row r="8" spans="1:11" x14ac:dyDescent="0.2">
      <c r="A8" s="3" t="s">
        <v>128</v>
      </c>
      <c r="B8" s="3">
        <v>1</v>
      </c>
      <c r="C8" s="3" t="s">
        <v>129</v>
      </c>
    </row>
    <row r="9" spans="1:11" x14ac:dyDescent="0.2">
      <c r="A9" s="3" t="s">
        <v>145</v>
      </c>
      <c r="B9" s="3">
        <f>B8/B6</f>
        <v>0.4</v>
      </c>
      <c r="C9" s="3" t="s">
        <v>130</v>
      </c>
    </row>
    <row r="10" spans="1:11" x14ac:dyDescent="0.2">
      <c r="A10" s="3" t="s">
        <v>146</v>
      </c>
      <c r="B10" s="3">
        <v>200</v>
      </c>
      <c r="C10" s="3" t="s">
        <v>131</v>
      </c>
      <c r="H10" s="5"/>
    </row>
    <row r="11" spans="1:11" x14ac:dyDescent="0.2">
      <c r="A11" s="3" t="s">
        <v>138</v>
      </c>
      <c r="B11" s="21">
        <f>B9*B10</f>
        <v>80</v>
      </c>
      <c r="C11" s="3" t="s">
        <v>132</v>
      </c>
      <c r="D11" s="17" t="s">
        <v>140</v>
      </c>
    </row>
    <row r="14" spans="1:11" x14ac:dyDescent="0.2">
      <c r="A14" s="3" t="s">
        <v>141</v>
      </c>
      <c r="B14" s="5">
        <v>65</v>
      </c>
      <c r="C14" s="3" t="s">
        <v>131</v>
      </c>
      <c r="D14" s="20" t="s">
        <v>147</v>
      </c>
      <c r="E14" s="15" t="s">
        <v>137</v>
      </c>
      <c r="F14" s="16"/>
      <c r="G14" s="16"/>
      <c r="H14" s="16"/>
      <c r="I14" s="16"/>
      <c r="J14" s="16"/>
      <c r="K14" s="16"/>
    </row>
    <row r="15" spans="1:11" x14ac:dyDescent="0.2">
      <c r="A15" s="3" t="s">
        <v>142</v>
      </c>
      <c r="B15" s="5">
        <v>225</v>
      </c>
      <c r="C15" s="3" t="s">
        <v>131</v>
      </c>
      <c r="D15" s="5"/>
      <c r="E15" s="16" t="s">
        <v>133</v>
      </c>
      <c r="F15" s="16"/>
      <c r="G15" s="16"/>
      <c r="H15" s="16"/>
      <c r="I15" s="16"/>
      <c r="J15" s="16"/>
      <c r="K15" s="16"/>
    </row>
    <row r="16" spans="1:11" x14ac:dyDescent="0.2">
      <c r="E16" s="16" t="s">
        <v>134</v>
      </c>
      <c r="F16" s="16"/>
      <c r="G16" s="16"/>
      <c r="H16" s="16"/>
      <c r="I16" s="16"/>
      <c r="J16" s="16"/>
      <c r="K16" s="16"/>
    </row>
    <row r="17" spans="1:11" x14ac:dyDescent="0.2">
      <c r="A17" s="3" t="s">
        <v>143</v>
      </c>
      <c r="B17" s="21">
        <f>B14/B6</f>
        <v>26</v>
      </c>
      <c r="C17" s="3" t="s">
        <v>139</v>
      </c>
      <c r="D17" s="17" t="s">
        <v>106</v>
      </c>
      <c r="E17" s="16" t="s">
        <v>135</v>
      </c>
      <c r="F17" s="16"/>
      <c r="G17" s="16"/>
      <c r="H17" s="16"/>
      <c r="I17" s="16"/>
      <c r="J17" s="16"/>
      <c r="K17" s="16"/>
    </row>
    <row r="18" spans="1:11" x14ac:dyDescent="0.2">
      <c r="A18" s="3" t="s">
        <v>144</v>
      </c>
      <c r="B18" s="21">
        <f>B15/B6</f>
        <v>90</v>
      </c>
      <c r="C18" s="5" t="s">
        <v>139</v>
      </c>
      <c r="D18" s="17" t="s">
        <v>106</v>
      </c>
    </row>
    <row r="19" spans="1:11" x14ac:dyDescent="0.2">
      <c r="B19" s="5"/>
      <c r="D19" s="5"/>
      <c r="E19" s="5"/>
    </row>
    <row r="26" spans="1:11" x14ac:dyDescent="0.2">
      <c r="D26" s="5"/>
    </row>
    <row r="27" spans="1:11" x14ac:dyDescent="0.2">
      <c r="D27" s="5"/>
    </row>
    <row r="30" spans="1:11" x14ac:dyDescent="0.2">
      <c r="A30" s="85"/>
    </row>
    <row r="32" spans="1:11" x14ac:dyDescent="0.2">
      <c r="G32" s="86"/>
    </row>
    <row r="34" spans="7:7" x14ac:dyDescent="0.2">
      <c r="G34" s="8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7A30-43FD-4F46-AC0D-2AD7859DB9B0}">
  <dimension ref="A1:AA967"/>
  <sheetViews>
    <sheetView workbookViewId="0">
      <selection activeCell="K42" sqref="K42"/>
    </sheetView>
  </sheetViews>
  <sheetFormatPr baseColWidth="10" defaultRowHeight="16" x14ac:dyDescent="0.2"/>
  <sheetData>
    <row r="1" spans="1:27" x14ac:dyDescent="0.2">
      <c r="A1" s="18" t="s">
        <v>225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27" x14ac:dyDescent="0.2">
      <c r="A2" s="3"/>
      <c r="B2" s="3"/>
      <c r="C2" s="79" t="s">
        <v>199</v>
      </c>
      <c r="D2" s="63"/>
      <c r="E2" s="63"/>
      <c r="F2" s="64"/>
      <c r="G2" s="80" t="s">
        <v>200</v>
      </c>
      <c r="H2" s="55"/>
      <c r="I2" s="55"/>
      <c r="J2" s="55"/>
      <c r="K2" s="5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3"/>
      <c r="B3" s="57" t="s">
        <v>201</v>
      </c>
      <c r="C3" s="42" t="s">
        <v>202</v>
      </c>
      <c r="D3" s="43" t="s">
        <v>203</v>
      </c>
      <c r="E3" s="43" t="s">
        <v>204</v>
      </c>
      <c r="F3" s="44" t="s">
        <v>205</v>
      </c>
      <c r="G3" s="42">
        <v>25</v>
      </c>
      <c r="H3" s="43">
        <v>50</v>
      </c>
      <c r="I3" s="43">
        <v>75</v>
      </c>
      <c r="J3" s="43">
        <v>90</v>
      </c>
      <c r="K3" s="44">
        <v>99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34" t="s">
        <v>206</v>
      </c>
      <c r="B4" s="50">
        <v>267</v>
      </c>
      <c r="C4" s="58">
        <v>48</v>
      </c>
      <c r="D4" s="50">
        <v>23</v>
      </c>
      <c r="E4" s="50">
        <v>188</v>
      </c>
      <c r="F4" s="51">
        <v>8</v>
      </c>
      <c r="G4" s="58">
        <v>17</v>
      </c>
      <c r="H4" s="50">
        <v>30</v>
      </c>
      <c r="I4" s="50">
        <v>50</v>
      </c>
      <c r="J4" s="50">
        <v>74</v>
      </c>
      <c r="K4" s="51">
        <v>96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60" t="s">
        <v>207</v>
      </c>
      <c r="B5" s="14"/>
      <c r="C5" s="61"/>
      <c r="D5" s="14"/>
      <c r="E5" s="14"/>
      <c r="F5" s="62"/>
      <c r="G5" s="61"/>
      <c r="H5" s="14"/>
      <c r="I5" s="14"/>
      <c r="J5" s="14"/>
      <c r="K5" s="6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57" t="s">
        <v>208</v>
      </c>
      <c r="B6" s="77">
        <v>8.5329999999999995</v>
      </c>
      <c r="C6" s="52">
        <v>42.048999999999999</v>
      </c>
      <c r="D6" s="53">
        <v>8.5329999999999995</v>
      </c>
      <c r="E6" s="53">
        <v>67.316999999999993</v>
      </c>
      <c r="F6" s="54">
        <v>53.142000000000003</v>
      </c>
      <c r="G6" s="52">
        <v>9.5410000000000004</v>
      </c>
      <c r="H6" s="53">
        <v>8.702</v>
      </c>
      <c r="I6" s="53">
        <v>8.5329999999999995</v>
      </c>
      <c r="J6" s="53">
        <v>8.5540000000000003</v>
      </c>
      <c r="K6" s="54">
        <v>8.593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35" t="s">
        <v>209</v>
      </c>
      <c r="B7" s="40">
        <v>83.272000000000006</v>
      </c>
      <c r="C7" s="45">
        <v>83.272000000000006</v>
      </c>
      <c r="D7" s="3">
        <v>9.8819999999999997</v>
      </c>
      <c r="E7" s="3">
        <v>80.337999999999994</v>
      </c>
      <c r="F7" s="46">
        <v>63.031999999999996</v>
      </c>
      <c r="G7" s="45">
        <v>80.337999999999994</v>
      </c>
      <c r="H7" s="3">
        <v>79.599000000000004</v>
      </c>
      <c r="I7" s="3">
        <v>79.045000000000002</v>
      </c>
      <c r="J7" s="3">
        <v>79.628</v>
      </c>
      <c r="K7" s="46">
        <v>83.272000000000006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35" t="s">
        <v>210</v>
      </c>
      <c r="B8" s="40">
        <v>62.167999999999999</v>
      </c>
      <c r="C8" s="45">
        <v>49.42</v>
      </c>
      <c r="D8" s="3">
        <v>8.94</v>
      </c>
      <c r="E8" s="3">
        <v>72.191000000000003</v>
      </c>
      <c r="F8" s="46">
        <v>56.134999999999998</v>
      </c>
      <c r="G8" s="45">
        <v>62.173000000000002</v>
      </c>
      <c r="H8" s="3">
        <v>65.935000000000002</v>
      </c>
      <c r="I8" s="3">
        <v>64.356999999999999</v>
      </c>
      <c r="J8" s="3">
        <v>60.981999999999999</v>
      </c>
      <c r="K8" s="46">
        <v>60.762999999999998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78" t="s">
        <v>211</v>
      </c>
      <c r="B9" s="48">
        <v>19.274999999999999</v>
      </c>
      <c r="C9" s="47">
        <v>9.1039999999999992</v>
      </c>
      <c r="D9" s="48">
        <v>0.45600000000000002</v>
      </c>
      <c r="E9" s="48">
        <v>3.956</v>
      </c>
      <c r="F9" s="49">
        <v>3.992</v>
      </c>
      <c r="G9" s="47">
        <v>24.55</v>
      </c>
      <c r="H9" s="48">
        <v>19.388999999999999</v>
      </c>
      <c r="I9" s="48">
        <v>19.768999999999998</v>
      </c>
      <c r="J9" s="48">
        <v>18.908999999999999</v>
      </c>
      <c r="K9" s="49">
        <v>17.885999999999999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60" t="s">
        <v>212</v>
      </c>
      <c r="B10" s="14"/>
      <c r="C10" s="61"/>
      <c r="D10" s="14"/>
      <c r="E10" s="14"/>
      <c r="F10" s="62"/>
      <c r="G10" s="61"/>
      <c r="H10" s="14"/>
      <c r="I10" s="14"/>
      <c r="J10" s="14"/>
      <c r="K10" s="6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57" t="s">
        <v>208</v>
      </c>
      <c r="B11" s="77">
        <v>34.83</v>
      </c>
      <c r="C11" s="52">
        <v>72.009</v>
      </c>
      <c r="D11" s="53">
        <v>34.83</v>
      </c>
      <c r="E11" s="53">
        <v>41.518000000000001</v>
      </c>
      <c r="F11" s="54">
        <v>71.304000000000002</v>
      </c>
      <c r="G11" s="52">
        <v>35.33</v>
      </c>
      <c r="H11" s="53">
        <v>40.383000000000003</v>
      </c>
      <c r="I11" s="53">
        <v>34.953000000000003</v>
      </c>
      <c r="J11" s="53">
        <v>34.83</v>
      </c>
      <c r="K11" s="54">
        <v>34.920999999999999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35" t="s">
        <v>209</v>
      </c>
      <c r="B12" s="40">
        <v>137.49700000000001</v>
      </c>
      <c r="C12" s="45">
        <v>137.49700000000001</v>
      </c>
      <c r="D12" s="3">
        <v>46.436999999999998</v>
      </c>
      <c r="E12" s="3">
        <v>85.090999999999994</v>
      </c>
      <c r="F12" s="46">
        <v>92.191000000000003</v>
      </c>
      <c r="G12" s="45">
        <v>63.311</v>
      </c>
      <c r="H12" s="3">
        <v>71.465000000000003</v>
      </c>
      <c r="I12" s="3">
        <v>88.658000000000001</v>
      </c>
      <c r="J12" s="3">
        <v>120.625</v>
      </c>
      <c r="K12" s="46">
        <v>137.49700000000001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 s="35" t="s">
        <v>210</v>
      </c>
      <c r="B13" s="40">
        <v>59.927999999999997</v>
      </c>
      <c r="C13" s="45">
        <v>98.933999999999997</v>
      </c>
      <c r="D13" s="3">
        <v>40.683999999999997</v>
      </c>
      <c r="E13" s="3">
        <v>51.457000000000001</v>
      </c>
      <c r="F13" s="46">
        <v>80.281999999999996</v>
      </c>
      <c r="G13" s="45">
        <v>46.05</v>
      </c>
      <c r="H13" s="3">
        <v>47.508000000000003</v>
      </c>
      <c r="I13" s="3">
        <v>52.631999999999998</v>
      </c>
      <c r="J13" s="3">
        <v>62.081000000000003</v>
      </c>
      <c r="K13" s="46">
        <v>68.406999999999996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 s="78" t="s">
        <v>211</v>
      </c>
      <c r="B14" s="48">
        <v>21.931999999999999</v>
      </c>
      <c r="C14" s="47">
        <v>16.22</v>
      </c>
      <c r="D14" s="48">
        <v>3.1190000000000002</v>
      </c>
      <c r="E14" s="48">
        <v>9.4659999999999993</v>
      </c>
      <c r="F14" s="49">
        <v>6.9580000000000002</v>
      </c>
      <c r="G14" s="47">
        <v>5.8860000000000001</v>
      </c>
      <c r="H14" s="48">
        <v>5.9870000000000001</v>
      </c>
      <c r="I14" s="48">
        <v>12.45</v>
      </c>
      <c r="J14" s="48">
        <v>22.004000000000001</v>
      </c>
      <c r="K14" s="49">
        <v>26.097999999999999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60" t="s">
        <v>226</v>
      </c>
      <c r="B15" s="14"/>
      <c r="C15" s="61"/>
      <c r="D15" s="14"/>
      <c r="E15" s="14"/>
      <c r="F15" s="62"/>
      <c r="G15" s="61"/>
      <c r="H15" s="14"/>
      <c r="I15" s="14"/>
      <c r="J15" s="14"/>
      <c r="K15" s="6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57" t="s">
        <v>208</v>
      </c>
      <c r="B16" s="53">
        <v>43.521000000000001</v>
      </c>
      <c r="C16" s="52">
        <v>115.545</v>
      </c>
      <c r="D16" s="53">
        <v>43.521000000000001</v>
      </c>
      <c r="E16" s="53">
        <v>108.83499999999999</v>
      </c>
      <c r="F16" s="54">
        <v>124.447</v>
      </c>
      <c r="G16" s="52">
        <v>45.036999999999999</v>
      </c>
      <c r="H16" s="53">
        <v>49.085000000000001</v>
      </c>
      <c r="I16" s="53">
        <v>43.677999999999997</v>
      </c>
      <c r="J16" s="53">
        <v>43.521000000000001</v>
      </c>
      <c r="K16" s="54">
        <v>43.622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35" t="s">
        <v>209</v>
      </c>
      <c r="B17" s="3">
        <v>200.143</v>
      </c>
      <c r="C17" s="45">
        <v>200.143</v>
      </c>
      <c r="D17" s="3">
        <v>55.789000000000001</v>
      </c>
      <c r="E17" s="3">
        <v>161.22999999999999</v>
      </c>
      <c r="F17" s="46">
        <v>151.44999999999999</v>
      </c>
      <c r="G17" s="45">
        <v>133.46299999999999</v>
      </c>
      <c r="H17" s="3">
        <v>150.18700000000001</v>
      </c>
      <c r="I17" s="3">
        <v>151.44999999999999</v>
      </c>
      <c r="J17" s="3">
        <v>178.779</v>
      </c>
      <c r="K17" s="46">
        <v>200.143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35" t="s">
        <v>210</v>
      </c>
      <c r="B18" s="3">
        <v>122.096</v>
      </c>
      <c r="C18" s="45">
        <v>148.35400000000001</v>
      </c>
      <c r="D18" s="3">
        <v>49.624000000000002</v>
      </c>
      <c r="E18" s="3">
        <v>123.648</v>
      </c>
      <c r="F18" s="46">
        <v>136.416</v>
      </c>
      <c r="G18" s="45">
        <v>108.224</v>
      </c>
      <c r="H18" s="3">
        <v>113.443</v>
      </c>
      <c r="I18" s="3">
        <v>116.989</v>
      </c>
      <c r="J18" s="3">
        <v>123.063</v>
      </c>
      <c r="K18" s="46">
        <v>129.16999999999999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78" t="s">
        <v>211</v>
      </c>
      <c r="B19" s="48">
        <v>27.49</v>
      </c>
      <c r="C19" s="47">
        <v>22.364999999999998</v>
      </c>
      <c r="D19" s="48">
        <v>3.0950000000000002</v>
      </c>
      <c r="E19" s="48">
        <v>10.54</v>
      </c>
      <c r="F19" s="49">
        <v>9.1440000000000001</v>
      </c>
      <c r="G19" s="47">
        <v>28.411999999999999</v>
      </c>
      <c r="H19" s="48">
        <v>22.274999999999999</v>
      </c>
      <c r="I19" s="48">
        <v>24.504000000000001</v>
      </c>
      <c r="J19" s="48">
        <v>26.643000000000001</v>
      </c>
      <c r="K19" s="49">
        <v>28.670999999999999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60" t="s">
        <v>213</v>
      </c>
      <c r="B20" s="14"/>
      <c r="C20" s="61"/>
      <c r="D20" s="14"/>
      <c r="E20" s="14"/>
      <c r="F20" s="62"/>
      <c r="G20" s="61"/>
      <c r="H20" s="14"/>
      <c r="I20" s="14"/>
      <c r="J20" s="14"/>
      <c r="K20" s="6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57" t="s">
        <v>208</v>
      </c>
      <c r="B21" s="77">
        <v>35.332999999999998</v>
      </c>
      <c r="C21" s="52">
        <v>35.332999999999998</v>
      </c>
      <c r="D21" s="53">
        <v>84.25</v>
      </c>
      <c r="E21" s="53">
        <v>102.765</v>
      </c>
      <c r="F21" s="54">
        <v>124.721</v>
      </c>
      <c r="G21" s="52">
        <v>84.534000000000006</v>
      </c>
      <c r="H21" s="53">
        <v>84.283000000000001</v>
      </c>
      <c r="I21" s="53">
        <v>84.656000000000006</v>
      </c>
      <c r="J21" s="53">
        <v>35.332999999999998</v>
      </c>
      <c r="K21" s="54">
        <v>35.957000000000001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35" t="s">
        <v>209</v>
      </c>
      <c r="B22" s="3">
        <v>144.57499999999999</v>
      </c>
      <c r="C22" s="45">
        <v>39.892000000000003</v>
      </c>
      <c r="D22" s="3">
        <v>106.149</v>
      </c>
      <c r="E22" s="3">
        <v>120.387</v>
      </c>
      <c r="F22" s="46">
        <v>144.57499999999999</v>
      </c>
      <c r="G22" s="45">
        <v>120.387</v>
      </c>
      <c r="H22" s="3">
        <v>119.371</v>
      </c>
      <c r="I22" s="3">
        <v>144.57499999999999</v>
      </c>
      <c r="J22" s="3">
        <v>118.08</v>
      </c>
      <c r="K22" s="46">
        <v>125.402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35" t="s">
        <v>210</v>
      </c>
      <c r="B23" s="40">
        <v>95.236000000000004</v>
      </c>
      <c r="C23" s="45">
        <v>37.671999999999997</v>
      </c>
      <c r="D23" s="3">
        <v>86.664000000000001</v>
      </c>
      <c r="E23" s="3">
        <v>109.467</v>
      </c>
      <c r="F23" s="46">
        <v>130.833</v>
      </c>
      <c r="G23" s="45">
        <v>107.887</v>
      </c>
      <c r="H23" s="3">
        <v>107.511</v>
      </c>
      <c r="I23" s="3">
        <v>110.25700000000001</v>
      </c>
      <c r="J23" s="3">
        <v>89.9</v>
      </c>
      <c r="K23" s="46">
        <v>85.448999999999998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 s="78" t="s">
        <v>211</v>
      </c>
      <c r="B24" s="48">
        <v>28.236000000000001</v>
      </c>
      <c r="C24" s="47">
        <v>1.1120000000000001</v>
      </c>
      <c r="D24" s="48">
        <v>5.992</v>
      </c>
      <c r="E24" s="48">
        <v>3.665</v>
      </c>
      <c r="F24" s="49">
        <v>7.931</v>
      </c>
      <c r="G24" s="47">
        <v>11.353999999999999</v>
      </c>
      <c r="H24" s="48">
        <v>8.5229999999999997</v>
      </c>
      <c r="I24" s="48">
        <v>12.282</v>
      </c>
      <c r="J24" s="48">
        <v>30.292000000000002</v>
      </c>
      <c r="K24" s="49">
        <v>32.792000000000002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 s="60" t="s">
        <v>214</v>
      </c>
      <c r="B25" s="14"/>
      <c r="C25" s="61"/>
      <c r="D25" s="14"/>
      <c r="E25" s="14"/>
      <c r="F25" s="62"/>
      <c r="G25" s="61"/>
      <c r="H25" s="14"/>
      <c r="I25" s="14"/>
      <c r="J25" s="14"/>
      <c r="K25" s="6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 s="57" t="s">
        <v>208</v>
      </c>
      <c r="B26" s="53">
        <v>-56.976999999999997</v>
      </c>
      <c r="C26" s="52">
        <v>77.344999999999999</v>
      </c>
      <c r="D26" s="53">
        <v>-56.976999999999997</v>
      </c>
      <c r="E26" s="53">
        <v>0.61399999999999999</v>
      </c>
      <c r="F26" s="54">
        <v>-1.2729999999999999</v>
      </c>
      <c r="G26" s="52">
        <v>-39.497</v>
      </c>
      <c r="H26" s="53">
        <v>-35.198</v>
      </c>
      <c r="I26" s="53">
        <v>-40.987000000000002</v>
      </c>
      <c r="J26" s="53">
        <v>-56.509</v>
      </c>
      <c r="K26" s="54">
        <v>-56.976999999999997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 s="35" t="s">
        <v>209</v>
      </c>
      <c r="B27" s="3">
        <v>161.428</v>
      </c>
      <c r="C27" s="45">
        <v>161.428</v>
      </c>
      <c r="D27" s="3">
        <v>-29.102</v>
      </c>
      <c r="E27" s="3">
        <v>44.62</v>
      </c>
      <c r="F27" s="46">
        <v>20.149000000000001</v>
      </c>
      <c r="G27" s="45">
        <v>23.805</v>
      </c>
      <c r="H27" s="3">
        <v>30.815999999999999</v>
      </c>
      <c r="I27" s="3">
        <v>31.167999999999999</v>
      </c>
      <c r="J27" s="3">
        <v>139.82900000000001</v>
      </c>
      <c r="K27" s="46">
        <v>161.428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 s="35" t="s">
        <v>210</v>
      </c>
      <c r="B28" s="3">
        <v>26.86</v>
      </c>
      <c r="C28" s="45">
        <v>110.682</v>
      </c>
      <c r="D28" s="3">
        <v>-37.04</v>
      </c>
      <c r="E28" s="3">
        <v>14.180999999999999</v>
      </c>
      <c r="F28" s="46">
        <v>5.5830000000000002</v>
      </c>
      <c r="G28" s="45">
        <v>0.33700000000000002</v>
      </c>
      <c r="H28" s="3">
        <v>5.9320000000000004</v>
      </c>
      <c r="I28" s="3">
        <v>6.7320000000000002</v>
      </c>
      <c r="J28" s="3">
        <v>33.162999999999997</v>
      </c>
      <c r="K28" s="46">
        <v>43.720999999999997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">
      <c r="A29" s="78" t="s">
        <v>211</v>
      </c>
      <c r="B29" s="48">
        <v>43.615000000000002</v>
      </c>
      <c r="C29" s="47">
        <v>22.065000000000001</v>
      </c>
      <c r="D29" s="48">
        <v>6.7469999999999999</v>
      </c>
      <c r="E29" s="48">
        <v>9.8190000000000008</v>
      </c>
      <c r="F29" s="49">
        <v>6.6459999999999999</v>
      </c>
      <c r="G29" s="47">
        <v>17.727</v>
      </c>
      <c r="H29" s="48">
        <v>14.542</v>
      </c>
      <c r="I29" s="48">
        <v>16.195</v>
      </c>
      <c r="J29" s="48">
        <v>45.511000000000003</v>
      </c>
      <c r="K29" s="49">
        <v>51.462000000000003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">
      <c r="A31" s="18" t="s">
        <v>215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">
      <c r="A32" s="1" t="s">
        <v>216</v>
      </c>
      <c r="B32" s="3"/>
      <c r="C32" s="1" t="s">
        <v>150</v>
      </c>
      <c r="D32" s="1" t="s">
        <v>9</v>
      </c>
      <c r="E32" s="1"/>
      <c r="F32" s="1" t="s">
        <v>10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">
      <c r="A33" s="3" t="s">
        <v>217</v>
      </c>
      <c r="B33" s="3"/>
      <c r="C33" s="3">
        <v>100</v>
      </c>
      <c r="D33" s="3" t="s">
        <v>218</v>
      </c>
      <c r="E33" s="3"/>
      <c r="F33" s="3" t="s">
        <v>230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">
      <c r="A34" s="3" t="s">
        <v>219</v>
      </c>
      <c r="B34" s="3"/>
      <c r="C34" s="3">
        <v>0.5</v>
      </c>
      <c r="D34" s="3" t="s">
        <v>220</v>
      </c>
      <c r="E34" s="3"/>
      <c r="F34" s="3" t="s">
        <v>245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">
      <c r="A35" s="3" t="s">
        <v>221</v>
      </c>
      <c r="B35" s="3"/>
      <c r="C35" s="3">
        <v>3.67</v>
      </c>
      <c r="D35" s="3" t="s">
        <v>222</v>
      </c>
      <c r="E35" s="3"/>
      <c r="F35" s="3" t="s">
        <v>270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">
      <c r="A36" s="3" t="s">
        <v>223</v>
      </c>
      <c r="B36" s="3"/>
      <c r="C36" s="3">
        <v>3</v>
      </c>
      <c r="D36" s="3" t="s">
        <v>224</v>
      </c>
      <c r="E36" s="3"/>
      <c r="F36" s="3" t="s">
        <v>236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">
      <c r="A37" s="22" t="s">
        <v>228</v>
      </c>
      <c r="B37" s="3"/>
      <c r="C37" s="3">
        <f>C33*(1/C34)*(1/C35)*C36</f>
        <v>163.48773841961855</v>
      </c>
      <c r="D37" s="3" t="s">
        <v>47</v>
      </c>
      <c r="E37" s="3"/>
      <c r="F37" s="22" t="s">
        <v>269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">
      <c r="A38" s="3" t="s">
        <v>256</v>
      </c>
      <c r="B38" s="3"/>
      <c r="C38" s="3">
        <v>0.80900000000000005</v>
      </c>
      <c r="D38" s="3" t="s">
        <v>255</v>
      </c>
      <c r="E38" s="3"/>
      <c r="F38" s="3" t="s">
        <v>257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">
      <c r="A39" s="22" t="s">
        <v>229</v>
      </c>
      <c r="B39" s="3"/>
      <c r="C39" s="3">
        <f>C37/C38</f>
        <v>202.08620323809461</v>
      </c>
      <c r="D39" s="3" t="s">
        <v>227</v>
      </c>
      <c r="E39" s="3"/>
      <c r="F39" s="22" t="s">
        <v>269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">
      <c r="A40" s="3" t="s">
        <v>258</v>
      </c>
      <c r="B40" s="3"/>
      <c r="C40" s="40">
        <f>C39+E22</f>
        <v>322.47320323809458</v>
      </c>
      <c r="D40" s="3" t="s">
        <v>227</v>
      </c>
      <c r="E40" s="3"/>
      <c r="F40" s="22" t="s">
        <v>269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transport</vt:lpstr>
      <vt:lpstr>forestry+pile_burn</vt:lpstr>
      <vt:lpstr>burial</vt:lpstr>
      <vt:lpstr>biochar</vt:lpstr>
      <vt:lpstr>beccs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Clayton</dc:creator>
  <cp:lastModifiedBy>Leah Clayton</cp:lastModifiedBy>
  <dcterms:created xsi:type="dcterms:W3CDTF">2026-04-28T20:47:08Z</dcterms:created>
  <dcterms:modified xsi:type="dcterms:W3CDTF">2026-05-18T14:33:54Z</dcterms:modified>
</cp:coreProperties>
</file>