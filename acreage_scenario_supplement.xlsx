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ahclayton/Documents/burial_tool_paper/"/>
    </mc:Choice>
  </mc:AlternateContent>
  <xr:revisionPtr revIDLastSave="0" documentId="8_{8438DCA6-A450-E64A-BE33-A933A6E37473}" xr6:coauthVersionLast="47" xr6:coauthVersionMax="47" xr10:uidLastSave="{00000000-0000-0000-0000-000000000000}"/>
  <bookViews>
    <workbookView xWindow="0" yWindow="740" windowWidth="30240" windowHeight="18900" xr2:uid="{4D7A8202-02CC-4F47-BC0D-A28FFF18BECA}"/>
  </bookViews>
  <sheets>
    <sheet name="3.5mil_ac" sheetId="2" r:id="rId1"/>
    <sheet name="all_data" sheetId="1" r:id="rId2"/>
    <sheet name="c_stored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2" l="1"/>
  <c r="B21" i="2"/>
  <c r="B18" i="2"/>
  <c r="B16" i="2"/>
  <c r="B7" i="2"/>
  <c r="B8" i="2" s="1"/>
  <c r="B9" i="2" s="1"/>
  <c r="B20" i="2" s="1"/>
  <c r="B5" i="2"/>
  <c r="B6" i="2" s="1"/>
  <c r="B4" i="2"/>
  <c r="GF174" i="1"/>
  <c r="GB174" i="1"/>
  <c r="FX174" i="1"/>
  <c r="FT174" i="1"/>
  <c r="FP174" i="1"/>
  <c r="FL174" i="1"/>
  <c r="FG174" i="1"/>
  <c r="FC174" i="1"/>
  <c r="EY174" i="1"/>
  <c r="EU174" i="1"/>
  <c r="EQ174" i="1"/>
  <c r="EM174" i="1"/>
  <c r="EH174" i="1"/>
  <c r="ED174" i="1"/>
  <c r="DZ174" i="1"/>
  <c r="DV174" i="1"/>
  <c r="DR174" i="1"/>
  <c r="DN174" i="1"/>
  <c r="DI174" i="1"/>
  <c r="DE174" i="1"/>
  <c r="DA174" i="1"/>
  <c r="CW174" i="1"/>
  <c r="CS174" i="1"/>
  <c r="CO174" i="1"/>
  <c r="CN174" i="1"/>
  <c r="CM174" i="1"/>
  <c r="CL174" i="1"/>
  <c r="CG174" i="1"/>
  <c r="CC174" i="1"/>
  <c r="BY174" i="1"/>
  <c r="BU174" i="1"/>
  <c r="BQ174" i="1"/>
  <c r="BM174" i="1"/>
  <c r="BL174" i="1"/>
  <c r="BK174" i="1"/>
  <c r="BJ174" i="1"/>
  <c r="BI174" i="1"/>
  <c r="BH174" i="1"/>
  <c r="BG174" i="1"/>
  <c r="BF174" i="1"/>
  <c r="BE174" i="1"/>
  <c r="BD174" i="1"/>
  <c r="BC174" i="1"/>
  <c r="BB174" i="1"/>
  <c r="BA174" i="1"/>
  <c r="AZ174" i="1"/>
  <c r="BV174" i="1" s="1"/>
  <c r="AY174" i="1"/>
  <c r="AX174" i="1"/>
  <c r="AW174" i="1"/>
  <c r="AV174" i="1"/>
  <c r="AU174" i="1"/>
  <c r="AT174" i="1"/>
  <c r="Z174" i="1"/>
  <c r="W174" i="1"/>
  <c r="T174" i="1"/>
  <c r="Q174" i="1"/>
  <c r="N174" i="1"/>
  <c r="K174" i="1"/>
  <c r="GF173" i="1"/>
  <c r="GB173" i="1"/>
  <c r="FX173" i="1"/>
  <c r="FT173" i="1"/>
  <c r="FP173" i="1"/>
  <c r="FL173" i="1"/>
  <c r="FG173" i="1"/>
  <c r="FC173" i="1"/>
  <c r="EY173" i="1"/>
  <c r="EU173" i="1"/>
  <c r="EQ173" i="1"/>
  <c r="EM173" i="1"/>
  <c r="EH173" i="1"/>
  <c r="ED173" i="1"/>
  <c r="DZ173" i="1"/>
  <c r="DV173" i="1"/>
  <c r="DR173" i="1"/>
  <c r="DN173" i="1"/>
  <c r="DI173" i="1"/>
  <c r="DE173" i="1"/>
  <c r="DA173" i="1"/>
  <c r="CW173" i="1"/>
  <c r="CS173" i="1"/>
  <c r="CO173" i="1"/>
  <c r="CN173" i="1"/>
  <c r="CM173" i="1"/>
  <c r="CL173" i="1"/>
  <c r="CG173" i="1"/>
  <c r="CC173" i="1"/>
  <c r="BY173" i="1"/>
  <c r="BU173" i="1"/>
  <c r="BQ173" i="1"/>
  <c r="BM173" i="1"/>
  <c r="BL173" i="1"/>
  <c r="BK173" i="1"/>
  <c r="BJ173" i="1"/>
  <c r="BI173" i="1"/>
  <c r="BH173" i="1"/>
  <c r="EG173" i="1" s="1"/>
  <c r="BG173" i="1"/>
  <c r="BF173" i="1"/>
  <c r="BE173" i="1"/>
  <c r="BD173" i="1"/>
  <c r="FZ173" i="1" s="1"/>
  <c r="BC173" i="1"/>
  <c r="BB173" i="1"/>
  <c r="BA173" i="1"/>
  <c r="EW173" i="1" s="1"/>
  <c r="AZ173" i="1"/>
  <c r="AY173" i="1"/>
  <c r="AX173" i="1"/>
  <c r="BS173" i="1" s="1"/>
  <c r="AW173" i="1"/>
  <c r="AV173" i="1"/>
  <c r="AU173" i="1"/>
  <c r="DP173" i="1" s="1"/>
  <c r="AT173" i="1"/>
  <c r="Z173" i="1"/>
  <c r="W173" i="1"/>
  <c r="T173" i="1"/>
  <c r="Q173" i="1"/>
  <c r="N173" i="1"/>
  <c r="K173" i="1"/>
  <c r="GF172" i="1"/>
  <c r="GB172" i="1"/>
  <c r="FX172" i="1"/>
  <c r="FT172" i="1"/>
  <c r="FP172" i="1"/>
  <c r="FL172" i="1"/>
  <c r="FG172" i="1"/>
  <c r="FC172" i="1"/>
  <c r="EY172" i="1"/>
  <c r="EU172" i="1"/>
  <c r="EQ172" i="1"/>
  <c r="EM172" i="1"/>
  <c r="EH172" i="1"/>
  <c r="ED172" i="1"/>
  <c r="DZ172" i="1"/>
  <c r="DV172" i="1"/>
  <c r="DR172" i="1"/>
  <c r="DN172" i="1"/>
  <c r="DI172" i="1"/>
  <c r="DE172" i="1"/>
  <c r="DA172" i="1"/>
  <c r="CW172" i="1"/>
  <c r="CS172" i="1"/>
  <c r="CO172" i="1"/>
  <c r="CN172" i="1"/>
  <c r="CM172" i="1"/>
  <c r="CL172" i="1"/>
  <c r="CG172" i="1"/>
  <c r="CC172" i="1"/>
  <c r="BY172" i="1"/>
  <c r="BU172" i="1"/>
  <c r="BQ172" i="1"/>
  <c r="BM172" i="1"/>
  <c r="BL172" i="1"/>
  <c r="BK172" i="1"/>
  <c r="BJ172" i="1"/>
  <c r="BI172" i="1"/>
  <c r="BH172" i="1"/>
  <c r="BG172" i="1"/>
  <c r="BF172" i="1"/>
  <c r="BE172" i="1"/>
  <c r="BD172" i="1"/>
  <c r="BC172" i="1"/>
  <c r="BB172" i="1"/>
  <c r="BA172" i="1"/>
  <c r="AZ172" i="1"/>
  <c r="AY172" i="1"/>
  <c r="AX172" i="1"/>
  <c r="AW172" i="1"/>
  <c r="AV172" i="1"/>
  <c r="AU172" i="1"/>
  <c r="AT172" i="1"/>
  <c r="Z172" i="1"/>
  <c r="W172" i="1"/>
  <c r="T172" i="1"/>
  <c r="Q172" i="1"/>
  <c r="N172" i="1"/>
  <c r="K172" i="1"/>
  <c r="GF171" i="1"/>
  <c r="GB171" i="1"/>
  <c r="FX171" i="1"/>
  <c r="FT171" i="1"/>
  <c r="FP171" i="1"/>
  <c r="FL171" i="1"/>
  <c r="FG171" i="1"/>
  <c r="FC171" i="1"/>
  <c r="EY171" i="1"/>
  <c r="EU171" i="1"/>
  <c r="EQ171" i="1"/>
  <c r="EM171" i="1"/>
  <c r="EH171" i="1"/>
  <c r="ED171" i="1"/>
  <c r="DZ171" i="1"/>
  <c r="DV171" i="1"/>
  <c r="DR171" i="1"/>
  <c r="DN171" i="1"/>
  <c r="DI171" i="1"/>
  <c r="DE171" i="1"/>
  <c r="DA171" i="1"/>
  <c r="CW171" i="1"/>
  <c r="CS171" i="1"/>
  <c r="CO171" i="1"/>
  <c r="CN171" i="1"/>
  <c r="CM171" i="1"/>
  <c r="CL171" i="1"/>
  <c r="CG171" i="1"/>
  <c r="CC171" i="1"/>
  <c r="BY171" i="1"/>
  <c r="BU171" i="1"/>
  <c r="BQ171" i="1"/>
  <c r="BM171" i="1"/>
  <c r="BL171" i="1"/>
  <c r="BK171" i="1"/>
  <c r="BJ171" i="1"/>
  <c r="BI171" i="1"/>
  <c r="BH171" i="1"/>
  <c r="BG171" i="1"/>
  <c r="BF171" i="1"/>
  <c r="DF171" i="1" s="1"/>
  <c r="BE171" i="1"/>
  <c r="BD171" i="1"/>
  <c r="BC171" i="1"/>
  <c r="BB171" i="1"/>
  <c r="BA171" i="1"/>
  <c r="AZ171" i="1"/>
  <c r="AY171" i="1"/>
  <c r="AX171" i="1"/>
  <c r="AW171" i="1"/>
  <c r="AV171" i="1"/>
  <c r="AU171" i="1"/>
  <c r="AT171" i="1"/>
  <c r="Z171" i="1"/>
  <c r="W171" i="1"/>
  <c r="T171" i="1"/>
  <c r="Q171" i="1"/>
  <c r="N171" i="1"/>
  <c r="K171" i="1"/>
  <c r="GF170" i="1"/>
  <c r="GB170" i="1"/>
  <c r="FX170" i="1"/>
  <c r="FT170" i="1"/>
  <c r="FP170" i="1"/>
  <c r="FL170" i="1"/>
  <c r="FG170" i="1"/>
  <c r="FC170" i="1"/>
  <c r="EY170" i="1"/>
  <c r="EU170" i="1"/>
  <c r="EQ170" i="1"/>
  <c r="EM170" i="1"/>
  <c r="EH170" i="1"/>
  <c r="ED170" i="1"/>
  <c r="DZ170" i="1"/>
  <c r="DV170" i="1"/>
  <c r="DR170" i="1"/>
  <c r="DN170" i="1"/>
  <c r="DI170" i="1"/>
  <c r="DE170" i="1"/>
  <c r="DA170" i="1"/>
  <c r="CW170" i="1"/>
  <c r="CS170" i="1"/>
  <c r="CO170" i="1"/>
  <c r="CN170" i="1"/>
  <c r="CM170" i="1"/>
  <c r="CL170" i="1"/>
  <c r="CG170" i="1"/>
  <c r="CC170" i="1"/>
  <c r="BY170" i="1"/>
  <c r="BU170" i="1"/>
  <c r="BQ170" i="1"/>
  <c r="BM170" i="1"/>
  <c r="BL170" i="1"/>
  <c r="BK170" i="1"/>
  <c r="GI170" i="1" s="1"/>
  <c r="BJ170" i="1"/>
  <c r="BI170" i="1"/>
  <c r="BH170" i="1"/>
  <c r="BG170" i="1"/>
  <c r="BF170" i="1"/>
  <c r="BE170" i="1"/>
  <c r="CB170" i="1" s="1"/>
  <c r="BD170" i="1"/>
  <c r="BC170" i="1"/>
  <c r="FY170" i="1" s="1"/>
  <c r="BB170" i="1"/>
  <c r="BA170" i="1"/>
  <c r="AZ170" i="1"/>
  <c r="AY170" i="1"/>
  <c r="AX170" i="1"/>
  <c r="AW170" i="1"/>
  <c r="AV170" i="1"/>
  <c r="AU170" i="1"/>
  <c r="AT170" i="1"/>
  <c r="Z170" i="1"/>
  <c r="W170" i="1"/>
  <c r="T170" i="1"/>
  <c r="Q170" i="1"/>
  <c r="N170" i="1"/>
  <c r="K170" i="1"/>
  <c r="GF169" i="1"/>
  <c r="GB169" i="1"/>
  <c r="FX169" i="1"/>
  <c r="FT169" i="1"/>
  <c r="FP169" i="1"/>
  <c r="FL169" i="1"/>
  <c r="FG169" i="1"/>
  <c r="FC169" i="1"/>
  <c r="EY169" i="1"/>
  <c r="EU169" i="1"/>
  <c r="EQ169" i="1"/>
  <c r="EM169" i="1"/>
  <c r="EH169" i="1"/>
  <c r="ED169" i="1"/>
  <c r="DZ169" i="1"/>
  <c r="DV169" i="1"/>
  <c r="DR169" i="1"/>
  <c r="DN169" i="1"/>
  <c r="DI169" i="1"/>
  <c r="DE169" i="1"/>
  <c r="DA169" i="1"/>
  <c r="CW169" i="1"/>
  <c r="CS169" i="1"/>
  <c r="CO169" i="1"/>
  <c r="CN169" i="1"/>
  <c r="CM169" i="1"/>
  <c r="CL169" i="1"/>
  <c r="CG169" i="1"/>
  <c r="CC169" i="1"/>
  <c r="BY169" i="1"/>
  <c r="BU169" i="1"/>
  <c r="BQ169" i="1"/>
  <c r="BM169" i="1"/>
  <c r="BL169" i="1"/>
  <c r="BK169" i="1"/>
  <c r="BJ169" i="1"/>
  <c r="BI169" i="1"/>
  <c r="BH169" i="1"/>
  <c r="BG169" i="1"/>
  <c r="BF169" i="1"/>
  <c r="BE169" i="1"/>
  <c r="BD169" i="1"/>
  <c r="BC169" i="1"/>
  <c r="BB169" i="1"/>
  <c r="BA169" i="1"/>
  <c r="AZ169" i="1"/>
  <c r="AY169" i="1"/>
  <c r="AX169" i="1"/>
  <c r="AW169" i="1"/>
  <c r="DS169" i="1" s="1"/>
  <c r="AV169" i="1"/>
  <c r="AU169" i="1"/>
  <c r="AT169" i="1"/>
  <c r="Z169" i="1"/>
  <c r="W169" i="1"/>
  <c r="T169" i="1"/>
  <c r="Q169" i="1"/>
  <c r="N169" i="1"/>
  <c r="K169" i="1"/>
  <c r="GF168" i="1"/>
  <c r="GB168" i="1"/>
  <c r="FX168" i="1"/>
  <c r="FT168" i="1"/>
  <c r="FP168" i="1"/>
  <c r="FL168" i="1"/>
  <c r="FG168" i="1"/>
  <c r="FC168" i="1"/>
  <c r="EY168" i="1"/>
  <c r="EU168" i="1"/>
  <c r="EQ168" i="1"/>
  <c r="EM168" i="1"/>
  <c r="EH168" i="1"/>
  <c r="ED168" i="1"/>
  <c r="DZ168" i="1"/>
  <c r="DV168" i="1"/>
  <c r="DR168" i="1"/>
  <c r="DN168" i="1"/>
  <c r="DI168" i="1"/>
  <c r="DE168" i="1"/>
  <c r="DA168" i="1"/>
  <c r="CW168" i="1"/>
  <c r="CS168" i="1"/>
  <c r="CO168" i="1"/>
  <c r="CN168" i="1"/>
  <c r="CM168" i="1"/>
  <c r="CL168" i="1"/>
  <c r="CG168" i="1"/>
  <c r="CC168" i="1"/>
  <c r="BY168" i="1"/>
  <c r="BU168" i="1"/>
  <c r="BQ168" i="1"/>
  <c r="BM168" i="1"/>
  <c r="BL168" i="1"/>
  <c r="BK168" i="1"/>
  <c r="BJ168" i="1"/>
  <c r="DK168" i="1" s="1"/>
  <c r="BI168" i="1"/>
  <c r="BH168" i="1"/>
  <c r="BG168" i="1"/>
  <c r="FE168" i="1" s="1"/>
  <c r="BF168" i="1"/>
  <c r="BE168" i="1"/>
  <c r="BD168" i="1"/>
  <c r="DC168" i="1" s="1"/>
  <c r="BC168" i="1"/>
  <c r="BB168" i="1"/>
  <c r="BA168" i="1"/>
  <c r="CY168" i="1" s="1"/>
  <c r="AZ168" i="1"/>
  <c r="AY168" i="1"/>
  <c r="AX168" i="1"/>
  <c r="ES168" i="1" s="1"/>
  <c r="AW168" i="1"/>
  <c r="AV168" i="1"/>
  <c r="AU168" i="1"/>
  <c r="CQ168" i="1" s="1"/>
  <c r="AT168" i="1"/>
  <c r="Z168" i="1"/>
  <c r="W168" i="1"/>
  <c r="T168" i="1"/>
  <c r="Q168" i="1"/>
  <c r="N168" i="1"/>
  <c r="K168" i="1"/>
  <c r="GF167" i="1"/>
  <c r="GB167" i="1"/>
  <c r="FX167" i="1"/>
  <c r="FT167" i="1"/>
  <c r="FP167" i="1"/>
  <c r="FL167" i="1"/>
  <c r="FG167" i="1"/>
  <c r="FC167" i="1"/>
  <c r="EY167" i="1"/>
  <c r="EU167" i="1"/>
  <c r="EQ167" i="1"/>
  <c r="EM167" i="1"/>
  <c r="EH167" i="1"/>
  <c r="ED167" i="1"/>
  <c r="DZ167" i="1"/>
  <c r="DV167" i="1"/>
  <c r="DR167" i="1"/>
  <c r="DN167" i="1"/>
  <c r="DI167" i="1"/>
  <c r="DE167" i="1"/>
  <c r="DA167" i="1"/>
  <c r="CW167" i="1"/>
  <c r="CS167" i="1"/>
  <c r="CO167" i="1"/>
  <c r="CN167" i="1"/>
  <c r="CM167" i="1"/>
  <c r="CL167" i="1"/>
  <c r="CG167" i="1"/>
  <c r="CC167" i="1"/>
  <c r="BY167" i="1"/>
  <c r="BU167" i="1"/>
  <c r="BQ167" i="1"/>
  <c r="BM167" i="1"/>
  <c r="BL167" i="1"/>
  <c r="BK167" i="1"/>
  <c r="BJ167" i="1"/>
  <c r="BI167" i="1"/>
  <c r="BH167" i="1"/>
  <c r="BG167" i="1"/>
  <c r="BF167" i="1"/>
  <c r="BE167" i="1"/>
  <c r="BD167" i="1"/>
  <c r="BC167" i="1"/>
  <c r="BB167" i="1"/>
  <c r="BA167" i="1"/>
  <c r="AZ167" i="1"/>
  <c r="AY167" i="1"/>
  <c r="AX167" i="1"/>
  <c r="AW167" i="1"/>
  <c r="AV167" i="1"/>
  <c r="AU167" i="1"/>
  <c r="AT167" i="1"/>
  <c r="Z167" i="1"/>
  <c r="W167" i="1"/>
  <c r="T167" i="1"/>
  <c r="Q167" i="1"/>
  <c r="N167" i="1"/>
  <c r="K167" i="1"/>
  <c r="GF166" i="1"/>
  <c r="GB166" i="1"/>
  <c r="FX166" i="1"/>
  <c r="FT166" i="1"/>
  <c r="FP166" i="1"/>
  <c r="FL166" i="1"/>
  <c r="FG166" i="1"/>
  <c r="FC166" i="1"/>
  <c r="EY166" i="1"/>
  <c r="EU166" i="1"/>
  <c r="EQ166" i="1"/>
  <c r="EM166" i="1"/>
  <c r="EH166" i="1"/>
  <c r="ED166" i="1"/>
  <c r="DZ166" i="1"/>
  <c r="DV166" i="1"/>
  <c r="DR166" i="1"/>
  <c r="DN166" i="1"/>
  <c r="DI166" i="1"/>
  <c r="DE166" i="1"/>
  <c r="DA166" i="1"/>
  <c r="CW166" i="1"/>
  <c r="CS166" i="1"/>
  <c r="CO166" i="1"/>
  <c r="CN166" i="1"/>
  <c r="CM166" i="1"/>
  <c r="CL166" i="1"/>
  <c r="CG166" i="1"/>
  <c r="CC166" i="1"/>
  <c r="BY166" i="1"/>
  <c r="BU166" i="1"/>
  <c r="BQ166" i="1"/>
  <c r="BM166" i="1"/>
  <c r="BL166" i="1"/>
  <c r="BK166" i="1"/>
  <c r="BJ166" i="1"/>
  <c r="BI166" i="1"/>
  <c r="BH166" i="1"/>
  <c r="BG166" i="1"/>
  <c r="CE166" i="1" s="1"/>
  <c r="BF166" i="1"/>
  <c r="BE166" i="1"/>
  <c r="GA166" i="1" s="1"/>
  <c r="BD166" i="1"/>
  <c r="DC166" i="1" s="1"/>
  <c r="BC166" i="1"/>
  <c r="FY166" i="1" s="1"/>
  <c r="BB166" i="1"/>
  <c r="BA166" i="1"/>
  <c r="AZ166" i="1"/>
  <c r="AY166" i="1"/>
  <c r="AX166" i="1"/>
  <c r="BS166" i="1" s="1"/>
  <c r="AW166" i="1"/>
  <c r="AV166" i="1"/>
  <c r="AU166" i="1"/>
  <c r="DP166" i="1" s="1"/>
  <c r="AT166" i="1"/>
  <c r="Z166" i="1"/>
  <c r="W166" i="1"/>
  <c r="T166" i="1"/>
  <c r="Q166" i="1"/>
  <c r="N166" i="1"/>
  <c r="K166" i="1"/>
  <c r="GF165" i="1"/>
  <c r="GB165" i="1"/>
  <c r="FX165" i="1"/>
  <c r="FT165" i="1"/>
  <c r="FP165" i="1"/>
  <c r="FL165" i="1"/>
  <c r="FG165" i="1"/>
  <c r="FC165" i="1"/>
  <c r="EY165" i="1"/>
  <c r="EU165" i="1"/>
  <c r="EQ165" i="1"/>
  <c r="EM165" i="1"/>
  <c r="EH165" i="1"/>
  <c r="ED165" i="1"/>
  <c r="DZ165" i="1"/>
  <c r="DV165" i="1"/>
  <c r="DR165" i="1"/>
  <c r="DN165" i="1"/>
  <c r="DI165" i="1"/>
  <c r="DE165" i="1"/>
  <c r="DA165" i="1"/>
  <c r="CW165" i="1"/>
  <c r="CS165" i="1"/>
  <c r="CO165" i="1"/>
  <c r="CN165" i="1"/>
  <c r="CM165" i="1"/>
  <c r="CL165" i="1"/>
  <c r="CG165" i="1"/>
  <c r="CC165" i="1"/>
  <c r="BY165" i="1"/>
  <c r="BU165" i="1"/>
  <c r="BQ165" i="1"/>
  <c r="BM165" i="1"/>
  <c r="BL165" i="1"/>
  <c r="BK165" i="1"/>
  <c r="BJ165" i="1"/>
  <c r="BI165" i="1"/>
  <c r="BH165" i="1"/>
  <c r="BG165" i="1"/>
  <c r="BF165" i="1"/>
  <c r="BE165" i="1"/>
  <c r="BD165" i="1"/>
  <c r="BC165" i="1"/>
  <c r="BB165" i="1"/>
  <c r="BA165" i="1"/>
  <c r="AZ165" i="1"/>
  <c r="AY165" i="1"/>
  <c r="AX165" i="1"/>
  <c r="AW165" i="1"/>
  <c r="AV165" i="1"/>
  <c r="AU165" i="1"/>
  <c r="AT165" i="1"/>
  <c r="Z165" i="1"/>
  <c r="W165" i="1"/>
  <c r="T165" i="1"/>
  <c r="Q165" i="1"/>
  <c r="N165" i="1"/>
  <c r="K165" i="1"/>
  <c r="GF164" i="1"/>
  <c r="GB164" i="1"/>
  <c r="FX164" i="1"/>
  <c r="FT164" i="1"/>
  <c r="FP164" i="1"/>
  <c r="FL164" i="1"/>
  <c r="FG164" i="1"/>
  <c r="FC164" i="1"/>
  <c r="EY164" i="1"/>
  <c r="EU164" i="1"/>
  <c r="EQ164" i="1"/>
  <c r="EM164" i="1"/>
  <c r="EH164" i="1"/>
  <c r="ED164" i="1"/>
  <c r="DZ164" i="1"/>
  <c r="DV164" i="1"/>
  <c r="DR164" i="1"/>
  <c r="DN164" i="1"/>
  <c r="DI164" i="1"/>
  <c r="DE164" i="1"/>
  <c r="DA164" i="1"/>
  <c r="CW164" i="1"/>
  <c r="CS164" i="1"/>
  <c r="CO164" i="1"/>
  <c r="CN164" i="1"/>
  <c r="CM164" i="1"/>
  <c r="CL164" i="1"/>
  <c r="CG164" i="1"/>
  <c r="CC164" i="1"/>
  <c r="BY164" i="1"/>
  <c r="BU164" i="1"/>
  <c r="BQ164" i="1"/>
  <c r="BM164" i="1"/>
  <c r="BL164" i="1"/>
  <c r="BK164" i="1"/>
  <c r="BJ164" i="1"/>
  <c r="BI164" i="1"/>
  <c r="BH164" i="1"/>
  <c r="BG164" i="1"/>
  <c r="BF164" i="1"/>
  <c r="BE164" i="1"/>
  <c r="BD164" i="1"/>
  <c r="BC164" i="1"/>
  <c r="BB164" i="1"/>
  <c r="BA164" i="1"/>
  <c r="AZ164" i="1"/>
  <c r="AY164" i="1"/>
  <c r="AX164" i="1"/>
  <c r="AW164" i="1"/>
  <c r="AV164" i="1"/>
  <c r="AU164" i="1"/>
  <c r="AT164" i="1"/>
  <c r="EN164" i="1" s="1"/>
  <c r="Z164" i="1"/>
  <c r="W164" i="1"/>
  <c r="T164" i="1"/>
  <c r="Q164" i="1"/>
  <c r="N164" i="1"/>
  <c r="K164" i="1"/>
  <c r="GF163" i="1"/>
  <c r="GB163" i="1"/>
  <c r="FX163" i="1"/>
  <c r="FT163" i="1"/>
  <c r="FP163" i="1"/>
  <c r="FL163" i="1"/>
  <c r="FG163" i="1"/>
  <c r="FC163" i="1"/>
  <c r="EY163" i="1"/>
  <c r="EU163" i="1"/>
  <c r="EQ163" i="1"/>
  <c r="EM163" i="1"/>
  <c r="EH163" i="1"/>
  <c r="ED163" i="1"/>
  <c r="DZ163" i="1"/>
  <c r="DV163" i="1"/>
  <c r="DR163" i="1"/>
  <c r="DN163" i="1"/>
  <c r="DI163" i="1"/>
  <c r="DE163" i="1"/>
  <c r="DA163" i="1"/>
  <c r="CW163" i="1"/>
  <c r="CS163" i="1"/>
  <c r="CO163" i="1"/>
  <c r="CN163" i="1"/>
  <c r="CM163" i="1"/>
  <c r="CL163" i="1"/>
  <c r="CG163" i="1"/>
  <c r="CC163" i="1"/>
  <c r="BY163" i="1"/>
  <c r="BU163" i="1"/>
  <c r="BQ163" i="1"/>
  <c r="BM163" i="1"/>
  <c r="BL163" i="1"/>
  <c r="BK163" i="1"/>
  <c r="BJ163" i="1"/>
  <c r="BI163" i="1"/>
  <c r="BH163" i="1"/>
  <c r="BG163" i="1"/>
  <c r="BF163" i="1"/>
  <c r="BE163" i="1"/>
  <c r="BD163" i="1"/>
  <c r="CA163" i="1" s="1"/>
  <c r="BC163" i="1"/>
  <c r="BB163" i="1"/>
  <c r="BA163" i="1"/>
  <c r="AZ163" i="1"/>
  <c r="DW163" i="1" s="1"/>
  <c r="AY163" i="1"/>
  <c r="AX163" i="1"/>
  <c r="AW163" i="1"/>
  <c r="AV163" i="1"/>
  <c r="AU163" i="1"/>
  <c r="AT163" i="1"/>
  <c r="Z163" i="1"/>
  <c r="W163" i="1"/>
  <c r="T163" i="1"/>
  <c r="Q163" i="1"/>
  <c r="N163" i="1"/>
  <c r="K163" i="1"/>
  <c r="GF162" i="1"/>
  <c r="GB162" i="1"/>
  <c r="FX162" i="1"/>
  <c r="FT162" i="1"/>
  <c r="FP162" i="1"/>
  <c r="FL162" i="1"/>
  <c r="FG162" i="1"/>
  <c r="FC162" i="1"/>
  <c r="EY162" i="1"/>
  <c r="EU162" i="1"/>
  <c r="EQ162" i="1"/>
  <c r="EM162" i="1"/>
  <c r="EH162" i="1"/>
  <c r="ED162" i="1"/>
  <c r="DZ162" i="1"/>
  <c r="DV162" i="1"/>
  <c r="DR162" i="1"/>
  <c r="DN162" i="1"/>
  <c r="DI162" i="1"/>
  <c r="DE162" i="1"/>
  <c r="DA162" i="1"/>
  <c r="CW162" i="1"/>
  <c r="CS162" i="1"/>
  <c r="CO162" i="1"/>
  <c r="CN162" i="1"/>
  <c r="CM162" i="1"/>
  <c r="CL162" i="1"/>
  <c r="CG162" i="1"/>
  <c r="CC162" i="1"/>
  <c r="BY162" i="1"/>
  <c r="BU162" i="1"/>
  <c r="BQ162" i="1"/>
  <c r="BM162" i="1"/>
  <c r="BL162" i="1"/>
  <c r="BK162" i="1"/>
  <c r="BJ162" i="1"/>
  <c r="BI162" i="1"/>
  <c r="BH162" i="1"/>
  <c r="BG162" i="1"/>
  <c r="BF162" i="1"/>
  <c r="BE162" i="1"/>
  <c r="BD162" i="1"/>
  <c r="BC162" i="1"/>
  <c r="BB162" i="1"/>
  <c r="BA162" i="1"/>
  <c r="AZ162" i="1"/>
  <c r="AY162" i="1"/>
  <c r="DU162" i="1" s="1"/>
  <c r="AX162" i="1"/>
  <c r="AW162" i="1"/>
  <c r="AV162" i="1"/>
  <c r="AU162" i="1"/>
  <c r="AT162" i="1"/>
  <c r="Z162" i="1"/>
  <c r="W162" i="1"/>
  <c r="T162" i="1"/>
  <c r="Q162" i="1"/>
  <c r="N162" i="1"/>
  <c r="K162" i="1"/>
  <c r="GF161" i="1"/>
  <c r="GB161" i="1"/>
  <c r="FX161" i="1"/>
  <c r="FT161" i="1"/>
  <c r="FP161" i="1"/>
  <c r="FL161" i="1"/>
  <c r="FG161" i="1"/>
  <c r="FC161" i="1"/>
  <c r="EY161" i="1"/>
  <c r="EU161" i="1"/>
  <c r="EQ161" i="1"/>
  <c r="EM161" i="1"/>
  <c r="EH161" i="1"/>
  <c r="ED161" i="1"/>
  <c r="DZ161" i="1"/>
  <c r="DV161" i="1"/>
  <c r="DR161" i="1"/>
  <c r="DN161" i="1"/>
  <c r="DI161" i="1"/>
  <c r="DE161" i="1"/>
  <c r="DA161" i="1"/>
  <c r="CW161" i="1"/>
  <c r="CS161" i="1"/>
  <c r="CO161" i="1"/>
  <c r="CN161" i="1"/>
  <c r="CM161" i="1"/>
  <c r="CL161" i="1"/>
  <c r="CG161" i="1"/>
  <c r="CC161" i="1"/>
  <c r="BY161" i="1"/>
  <c r="BU161" i="1"/>
  <c r="BQ161" i="1"/>
  <c r="BM161" i="1"/>
  <c r="BL161" i="1"/>
  <c r="BK161" i="1"/>
  <c r="BJ161" i="1"/>
  <c r="BI161" i="1"/>
  <c r="BH161" i="1"/>
  <c r="BG161" i="1"/>
  <c r="BF161" i="1"/>
  <c r="BE161" i="1"/>
  <c r="BD161" i="1"/>
  <c r="BC161" i="1"/>
  <c r="BB161" i="1"/>
  <c r="BA161" i="1"/>
  <c r="AZ161" i="1"/>
  <c r="AY161" i="1"/>
  <c r="AX161" i="1"/>
  <c r="AW161" i="1"/>
  <c r="AV161" i="1"/>
  <c r="AU161" i="1"/>
  <c r="AT161" i="1"/>
  <c r="Z161" i="1"/>
  <c r="W161" i="1"/>
  <c r="T161" i="1"/>
  <c r="Q161" i="1"/>
  <c r="N161" i="1"/>
  <c r="K161" i="1"/>
  <c r="GF160" i="1"/>
  <c r="GB160" i="1"/>
  <c r="FX160" i="1"/>
  <c r="FT160" i="1"/>
  <c r="FP160" i="1"/>
  <c r="FL160" i="1"/>
  <c r="FG160" i="1"/>
  <c r="FC160" i="1"/>
  <c r="EY160" i="1"/>
  <c r="EU160" i="1"/>
  <c r="EX160" i="1" s="1"/>
  <c r="EQ160" i="1"/>
  <c r="EM160" i="1"/>
  <c r="EH160" i="1"/>
  <c r="ED160" i="1"/>
  <c r="DZ160" i="1"/>
  <c r="DV160" i="1"/>
  <c r="DR160" i="1"/>
  <c r="DN160" i="1"/>
  <c r="DI160" i="1"/>
  <c r="DE160" i="1"/>
  <c r="DA160" i="1"/>
  <c r="CW160" i="1"/>
  <c r="CS160" i="1"/>
  <c r="CO160" i="1"/>
  <c r="CN160" i="1"/>
  <c r="CM160" i="1"/>
  <c r="CL160" i="1"/>
  <c r="CG160" i="1"/>
  <c r="CC160" i="1"/>
  <c r="BY160" i="1"/>
  <c r="BU160" i="1"/>
  <c r="BX160" i="1" s="1"/>
  <c r="BQ160" i="1"/>
  <c r="BM160" i="1"/>
  <c r="BL160" i="1"/>
  <c r="BK160" i="1"/>
  <c r="BJ160" i="1"/>
  <c r="FI160" i="1" s="1"/>
  <c r="BI160" i="1"/>
  <c r="BH160" i="1"/>
  <c r="FF160" i="1" s="1"/>
  <c r="BG160" i="1"/>
  <c r="BF160" i="1"/>
  <c r="BE160" i="1"/>
  <c r="BD160" i="1"/>
  <c r="BC160" i="1"/>
  <c r="BB160" i="1"/>
  <c r="BA160" i="1"/>
  <c r="AZ160" i="1"/>
  <c r="AY160" i="1"/>
  <c r="AX160" i="1"/>
  <c r="FR160" i="1" s="1"/>
  <c r="AW160" i="1"/>
  <c r="AV160" i="1"/>
  <c r="AU160" i="1"/>
  <c r="EO160" i="1" s="1"/>
  <c r="AT160" i="1"/>
  <c r="Z160" i="1"/>
  <c r="W160" i="1"/>
  <c r="T160" i="1"/>
  <c r="Q160" i="1"/>
  <c r="N160" i="1"/>
  <c r="K160" i="1"/>
  <c r="GF159" i="1"/>
  <c r="GB159" i="1"/>
  <c r="FX159" i="1"/>
  <c r="FT159" i="1"/>
  <c r="FP159" i="1"/>
  <c r="FL159" i="1"/>
  <c r="FG159" i="1"/>
  <c r="FC159" i="1"/>
  <c r="EY159" i="1"/>
  <c r="EU159" i="1"/>
  <c r="EQ159" i="1"/>
  <c r="EM159" i="1"/>
  <c r="EH159" i="1"/>
  <c r="ED159" i="1"/>
  <c r="DZ159" i="1"/>
  <c r="DV159" i="1"/>
  <c r="DR159" i="1"/>
  <c r="DN159" i="1"/>
  <c r="DI159" i="1"/>
  <c r="DE159" i="1"/>
  <c r="DA159" i="1"/>
  <c r="CW159" i="1"/>
  <c r="CS159" i="1"/>
  <c r="CO159" i="1"/>
  <c r="CN159" i="1"/>
  <c r="CM159" i="1"/>
  <c r="CL159" i="1"/>
  <c r="CG159" i="1"/>
  <c r="CC159" i="1"/>
  <c r="BY159" i="1"/>
  <c r="BU159" i="1"/>
  <c r="BQ159" i="1"/>
  <c r="BM159" i="1"/>
  <c r="BL159" i="1"/>
  <c r="BK159" i="1"/>
  <c r="BJ159" i="1"/>
  <c r="BI159" i="1"/>
  <c r="BH159" i="1"/>
  <c r="BG159" i="1"/>
  <c r="BF159" i="1"/>
  <c r="BE159" i="1"/>
  <c r="BD159" i="1"/>
  <c r="BC159" i="1"/>
  <c r="BB159" i="1"/>
  <c r="BA159" i="1"/>
  <c r="EW159" i="1" s="1"/>
  <c r="AZ159" i="1"/>
  <c r="AY159" i="1"/>
  <c r="AX159" i="1"/>
  <c r="BS159" i="1" s="1"/>
  <c r="AW159" i="1"/>
  <c r="AV159" i="1"/>
  <c r="AU159" i="1"/>
  <c r="AT159" i="1"/>
  <c r="Z159" i="1"/>
  <c r="W159" i="1"/>
  <c r="T159" i="1"/>
  <c r="Q159" i="1"/>
  <c r="N159" i="1"/>
  <c r="K159" i="1"/>
  <c r="GF158" i="1"/>
  <c r="GB158" i="1"/>
  <c r="FX158" i="1"/>
  <c r="FT158" i="1"/>
  <c r="FP158" i="1"/>
  <c r="FL158" i="1"/>
  <c r="FG158" i="1"/>
  <c r="FC158" i="1"/>
  <c r="EY158" i="1"/>
  <c r="EU158" i="1"/>
  <c r="EQ158" i="1"/>
  <c r="EM158" i="1"/>
  <c r="EH158" i="1"/>
  <c r="ED158" i="1"/>
  <c r="DZ158" i="1"/>
  <c r="DV158" i="1"/>
  <c r="DR158" i="1"/>
  <c r="DN158" i="1"/>
  <c r="DI158" i="1"/>
  <c r="DE158" i="1"/>
  <c r="DA158" i="1"/>
  <c r="CW158" i="1"/>
  <c r="CS158" i="1"/>
  <c r="CO158" i="1"/>
  <c r="CN158" i="1"/>
  <c r="CM158" i="1"/>
  <c r="CL158" i="1"/>
  <c r="CG158" i="1"/>
  <c r="CC158" i="1"/>
  <c r="BY158" i="1"/>
  <c r="BU158" i="1"/>
  <c r="BQ158" i="1"/>
  <c r="BM158" i="1"/>
  <c r="BL158" i="1"/>
  <c r="BK158" i="1"/>
  <c r="BJ158" i="1"/>
  <c r="BI158" i="1"/>
  <c r="BH158" i="1"/>
  <c r="DH158" i="1" s="1"/>
  <c r="BG158" i="1"/>
  <c r="BF158" i="1"/>
  <c r="BE158" i="1"/>
  <c r="BD158" i="1"/>
  <c r="BC158" i="1"/>
  <c r="BB158" i="1"/>
  <c r="BA158" i="1"/>
  <c r="CY158" i="1" s="1"/>
  <c r="AZ158" i="1"/>
  <c r="FU158" i="1" s="1"/>
  <c r="AY158" i="1"/>
  <c r="AX158" i="1"/>
  <c r="BS158" i="1" s="1"/>
  <c r="AW158" i="1"/>
  <c r="AV158" i="1"/>
  <c r="AU158" i="1"/>
  <c r="AT158" i="1"/>
  <c r="Z158" i="1"/>
  <c r="W158" i="1"/>
  <c r="T158" i="1"/>
  <c r="Q158" i="1"/>
  <c r="N158" i="1"/>
  <c r="K158" i="1"/>
  <c r="GF157" i="1"/>
  <c r="GB157" i="1"/>
  <c r="FX157" i="1"/>
  <c r="FT157" i="1"/>
  <c r="FP157" i="1"/>
  <c r="FL157" i="1"/>
  <c r="FG157" i="1"/>
  <c r="FC157" i="1"/>
  <c r="EY157" i="1"/>
  <c r="EU157" i="1"/>
  <c r="EQ157" i="1"/>
  <c r="EM157" i="1"/>
  <c r="EH157" i="1"/>
  <c r="ED157" i="1"/>
  <c r="DZ157" i="1"/>
  <c r="DV157" i="1"/>
  <c r="DR157" i="1"/>
  <c r="DN157" i="1"/>
  <c r="DI157" i="1"/>
  <c r="DE157" i="1"/>
  <c r="DA157" i="1"/>
  <c r="CW157" i="1"/>
  <c r="CS157" i="1"/>
  <c r="CO157" i="1"/>
  <c r="CN157" i="1"/>
  <c r="CM157" i="1"/>
  <c r="CL157" i="1"/>
  <c r="CG157" i="1"/>
  <c r="CC157" i="1"/>
  <c r="BY157" i="1"/>
  <c r="BU157" i="1"/>
  <c r="BQ157" i="1"/>
  <c r="BM157" i="1"/>
  <c r="BL157" i="1"/>
  <c r="BK157" i="1"/>
  <c r="BJ157" i="1"/>
  <c r="BI157" i="1"/>
  <c r="EI157" i="1" s="1"/>
  <c r="BH157" i="1"/>
  <c r="BG157" i="1"/>
  <c r="BF157" i="1"/>
  <c r="EE157" i="1" s="1"/>
  <c r="BE157" i="1"/>
  <c r="BD157" i="1"/>
  <c r="BC157" i="1"/>
  <c r="BB157" i="1"/>
  <c r="BA157" i="1"/>
  <c r="AZ157" i="1"/>
  <c r="AY157" i="1"/>
  <c r="AX157" i="1"/>
  <c r="AW157" i="1"/>
  <c r="AV157" i="1"/>
  <c r="AU157" i="1"/>
  <c r="DP157" i="1" s="1"/>
  <c r="AT157" i="1"/>
  <c r="Z157" i="1"/>
  <c r="W157" i="1"/>
  <c r="T157" i="1"/>
  <c r="Q157" i="1"/>
  <c r="N157" i="1"/>
  <c r="K157" i="1"/>
  <c r="GF156" i="1"/>
  <c r="GB156" i="1"/>
  <c r="FX156" i="1"/>
  <c r="FT156" i="1"/>
  <c r="FP156" i="1"/>
  <c r="FL156" i="1"/>
  <c r="FG156" i="1"/>
  <c r="FC156" i="1"/>
  <c r="EY156" i="1"/>
  <c r="EU156" i="1"/>
  <c r="EQ156" i="1"/>
  <c r="EM156" i="1"/>
  <c r="EH156" i="1"/>
  <c r="ED156" i="1"/>
  <c r="DZ156" i="1"/>
  <c r="DV156" i="1"/>
  <c r="DR156" i="1"/>
  <c r="DN156" i="1"/>
  <c r="DI156" i="1"/>
  <c r="DE156" i="1"/>
  <c r="DA156" i="1"/>
  <c r="CW156" i="1"/>
  <c r="CS156" i="1"/>
  <c r="CO156" i="1"/>
  <c r="CN156" i="1"/>
  <c r="CM156" i="1"/>
  <c r="CL156" i="1"/>
  <c r="CG156" i="1"/>
  <c r="CC156" i="1"/>
  <c r="BY156" i="1"/>
  <c r="BU156" i="1"/>
  <c r="BQ156" i="1"/>
  <c r="BM156" i="1"/>
  <c r="BL156" i="1"/>
  <c r="BK156" i="1"/>
  <c r="BJ156" i="1"/>
  <c r="FI156" i="1" s="1"/>
  <c r="BI156" i="1"/>
  <c r="BH156" i="1"/>
  <c r="BG156" i="1"/>
  <c r="CE156" i="1" s="1"/>
  <c r="BF156" i="1"/>
  <c r="BE156" i="1"/>
  <c r="EC156" i="1" s="1"/>
  <c r="BD156" i="1"/>
  <c r="BC156" i="1"/>
  <c r="BB156" i="1"/>
  <c r="BA156" i="1"/>
  <c r="FV156" i="1" s="1"/>
  <c r="AZ156" i="1"/>
  <c r="AY156" i="1"/>
  <c r="AX156" i="1"/>
  <c r="AW156" i="1"/>
  <c r="DS156" i="1" s="1"/>
  <c r="AV156" i="1"/>
  <c r="AU156" i="1"/>
  <c r="AT156" i="1"/>
  <c r="Z156" i="1"/>
  <c r="W156" i="1"/>
  <c r="T156" i="1"/>
  <c r="Q156" i="1"/>
  <c r="N156" i="1"/>
  <c r="K156" i="1"/>
  <c r="GF155" i="1"/>
  <c r="GB155" i="1"/>
  <c r="FX155" i="1"/>
  <c r="FT155" i="1"/>
  <c r="FP155" i="1"/>
  <c r="FL155" i="1"/>
  <c r="FG155" i="1"/>
  <c r="FC155" i="1"/>
  <c r="EY155" i="1"/>
  <c r="EU155" i="1"/>
  <c r="EQ155" i="1"/>
  <c r="EM155" i="1"/>
  <c r="EH155" i="1"/>
  <c r="ED155" i="1"/>
  <c r="DZ155" i="1"/>
  <c r="DV155" i="1"/>
  <c r="DR155" i="1"/>
  <c r="DN155" i="1"/>
  <c r="DI155" i="1"/>
  <c r="DE155" i="1"/>
  <c r="DA155" i="1"/>
  <c r="CW155" i="1"/>
  <c r="CS155" i="1"/>
  <c r="CO155" i="1"/>
  <c r="CN155" i="1"/>
  <c r="CM155" i="1"/>
  <c r="CL155" i="1"/>
  <c r="CG155" i="1"/>
  <c r="CC155" i="1"/>
  <c r="BY155" i="1"/>
  <c r="BU155" i="1"/>
  <c r="BQ155" i="1"/>
  <c r="BM155" i="1"/>
  <c r="BL155" i="1"/>
  <c r="BK155" i="1"/>
  <c r="GI155" i="1" s="1"/>
  <c r="BJ155" i="1"/>
  <c r="FI155" i="1" s="1"/>
  <c r="BI155" i="1"/>
  <c r="BH155" i="1"/>
  <c r="BG155" i="1"/>
  <c r="BF155" i="1"/>
  <c r="BE155" i="1"/>
  <c r="BD155" i="1"/>
  <c r="BC155" i="1"/>
  <c r="EZ155" i="1" s="1"/>
  <c r="BB155" i="1"/>
  <c r="BA155" i="1"/>
  <c r="AZ155" i="1"/>
  <c r="AY155" i="1"/>
  <c r="DU155" i="1" s="1"/>
  <c r="AX155" i="1"/>
  <c r="AW155" i="1"/>
  <c r="AV155" i="1"/>
  <c r="AU155" i="1"/>
  <c r="AT155" i="1"/>
  <c r="Z155" i="1"/>
  <c r="W155" i="1"/>
  <c r="T155" i="1"/>
  <c r="Q155" i="1"/>
  <c r="N155" i="1"/>
  <c r="K155" i="1"/>
  <c r="GF154" i="1"/>
  <c r="GB154" i="1"/>
  <c r="FX154" i="1"/>
  <c r="FT154" i="1"/>
  <c r="FP154" i="1"/>
  <c r="FL154" i="1"/>
  <c r="FG154" i="1"/>
  <c r="FH154" i="1" s="1"/>
  <c r="FC154" i="1"/>
  <c r="EY154" i="1"/>
  <c r="EU154" i="1"/>
  <c r="EQ154" i="1"/>
  <c r="EM154" i="1"/>
  <c r="EH154" i="1"/>
  <c r="ED154" i="1"/>
  <c r="DZ154" i="1"/>
  <c r="DV154" i="1"/>
  <c r="DR154" i="1"/>
  <c r="DN154" i="1"/>
  <c r="DI154" i="1"/>
  <c r="DE154" i="1"/>
  <c r="DA154" i="1"/>
  <c r="CW154" i="1"/>
  <c r="CS154" i="1"/>
  <c r="CO154" i="1"/>
  <c r="CN154" i="1"/>
  <c r="CM154" i="1"/>
  <c r="CL154" i="1"/>
  <c r="CG154" i="1"/>
  <c r="CC154" i="1"/>
  <c r="BY154" i="1"/>
  <c r="BU154" i="1"/>
  <c r="BS154" i="1"/>
  <c r="BQ154" i="1"/>
  <c r="BR154" i="1" s="1"/>
  <c r="BM154" i="1"/>
  <c r="BL154" i="1"/>
  <c r="BK154" i="1"/>
  <c r="EK154" i="1" s="1"/>
  <c r="BJ154" i="1"/>
  <c r="BI154" i="1"/>
  <c r="GG154" i="1" s="1"/>
  <c r="BH154" i="1"/>
  <c r="BG154" i="1"/>
  <c r="DG154" i="1" s="1"/>
  <c r="BF154" i="1"/>
  <c r="BE154" i="1"/>
  <c r="BD154" i="1"/>
  <c r="CA154" i="1" s="1"/>
  <c r="BC154" i="1"/>
  <c r="BB154" i="1"/>
  <c r="BA154" i="1"/>
  <c r="CY154" i="1" s="1"/>
  <c r="AZ154" i="1"/>
  <c r="AY154" i="1"/>
  <c r="AX154" i="1"/>
  <c r="AW154" i="1"/>
  <c r="AV154" i="1"/>
  <c r="AU154" i="1"/>
  <c r="AT154" i="1"/>
  <c r="Z154" i="1"/>
  <c r="W154" i="1"/>
  <c r="T154" i="1"/>
  <c r="Q154" i="1"/>
  <c r="N154" i="1"/>
  <c r="K154" i="1"/>
  <c r="GF153" i="1"/>
  <c r="GB153" i="1"/>
  <c r="FX153" i="1"/>
  <c r="FT153" i="1"/>
  <c r="FP153" i="1"/>
  <c r="FL153" i="1"/>
  <c r="FG153" i="1"/>
  <c r="FC153" i="1"/>
  <c r="EY153" i="1"/>
  <c r="EU153" i="1"/>
  <c r="EQ153" i="1"/>
  <c r="EM153" i="1"/>
  <c r="EH153" i="1"/>
  <c r="ED153" i="1"/>
  <c r="DZ153" i="1"/>
  <c r="DV153" i="1"/>
  <c r="DR153" i="1"/>
  <c r="DN153" i="1"/>
  <c r="DI153" i="1"/>
  <c r="DE153" i="1"/>
  <c r="DA153" i="1"/>
  <c r="CW153" i="1"/>
  <c r="CS153" i="1"/>
  <c r="CO153" i="1"/>
  <c r="CR153" i="1" s="1"/>
  <c r="CN153" i="1"/>
  <c r="CM153" i="1"/>
  <c r="CL153" i="1"/>
  <c r="CG153" i="1"/>
  <c r="CC153" i="1"/>
  <c r="BY153" i="1"/>
  <c r="BU153" i="1"/>
  <c r="BQ153" i="1"/>
  <c r="BM153" i="1"/>
  <c r="BL153" i="1"/>
  <c r="BK153" i="1"/>
  <c r="BJ153" i="1"/>
  <c r="BI153" i="1"/>
  <c r="BH153" i="1"/>
  <c r="BG153" i="1"/>
  <c r="DG153" i="1" s="1"/>
  <c r="BF153" i="1"/>
  <c r="BE153" i="1"/>
  <c r="BD153" i="1"/>
  <c r="BC153" i="1"/>
  <c r="BB153" i="1"/>
  <c r="CZ153" i="1" s="1"/>
  <c r="BA153" i="1"/>
  <c r="CY153" i="1" s="1"/>
  <c r="AZ153" i="1"/>
  <c r="AY153" i="1"/>
  <c r="AX153" i="1"/>
  <c r="AW153" i="1"/>
  <c r="AV153" i="1"/>
  <c r="AU153" i="1"/>
  <c r="AT153" i="1"/>
  <c r="Z153" i="1"/>
  <c r="W153" i="1"/>
  <c r="T153" i="1"/>
  <c r="Q153" i="1"/>
  <c r="N153" i="1"/>
  <c r="K153" i="1"/>
  <c r="GF152" i="1"/>
  <c r="GB152" i="1"/>
  <c r="FX152" i="1"/>
  <c r="FT152" i="1"/>
  <c r="FP152" i="1"/>
  <c r="FL152" i="1"/>
  <c r="FG152" i="1"/>
  <c r="FC152" i="1"/>
  <c r="EY152" i="1"/>
  <c r="EU152" i="1"/>
  <c r="EQ152" i="1"/>
  <c r="EM152" i="1"/>
  <c r="EH152" i="1"/>
  <c r="ED152" i="1"/>
  <c r="DZ152" i="1"/>
  <c r="DV152" i="1"/>
  <c r="DR152" i="1"/>
  <c r="DN152" i="1"/>
  <c r="DI152" i="1"/>
  <c r="DE152" i="1"/>
  <c r="DA152" i="1"/>
  <c r="CW152" i="1"/>
  <c r="CS152" i="1"/>
  <c r="CO152" i="1"/>
  <c r="CN152" i="1"/>
  <c r="CM152" i="1"/>
  <c r="CL152" i="1"/>
  <c r="CG152" i="1"/>
  <c r="CC152" i="1"/>
  <c r="BY152" i="1"/>
  <c r="BU152" i="1"/>
  <c r="BQ152" i="1"/>
  <c r="BM152" i="1"/>
  <c r="BL152" i="1"/>
  <c r="BK152" i="1"/>
  <c r="BJ152" i="1"/>
  <c r="BI152" i="1"/>
  <c r="BH152" i="1"/>
  <c r="BG152" i="1"/>
  <c r="FE152" i="1" s="1"/>
  <c r="BF152" i="1"/>
  <c r="DF152" i="1" s="1"/>
  <c r="BE152" i="1"/>
  <c r="BD152" i="1"/>
  <c r="BC152" i="1"/>
  <c r="BB152" i="1"/>
  <c r="BA152" i="1"/>
  <c r="AZ152" i="1"/>
  <c r="AY152" i="1"/>
  <c r="AX152" i="1"/>
  <c r="AW152" i="1"/>
  <c r="AV152" i="1"/>
  <c r="FO152" i="1" s="1"/>
  <c r="AU152" i="1"/>
  <c r="AT152" i="1"/>
  <c r="Z152" i="1"/>
  <c r="W152" i="1"/>
  <c r="T152" i="1"/>
  <c r="Q152" i="1"/>
  <c r="N152" i="1"/>
  <c r="K152" i="1"/>
  <c r="GF151" i="1"/>
  <c r="GB151" i="1"/>
  <c r="FX151" i="1"/>
  <c r="FT151" i="1"/>
  <c r="FP151" i="1"/>
  <c r="FL151" i="1"/>
  <c r="FG151" i="1"/>
  <c r="FC151" i="1"/>
  <c r="EY151" i="1"/>
  <c r="EU151" i="1"/>
  <c r="EQ151" i="1"/>
  <c r="EM151" i="1"/>
  <c r="EH151" i="1"/>
  <c r="ED151" i="1"/>
  <c r="DZ151" i="1"/>
  <c r="DV151" i="1"/>
  <c r="DR151" i="1"/>
  <c r="DN151" i="1"/>
  <c r="DI151" i="1"/>
  <c r="DE151" i="1"/>
  <c r="DA151" i="1"/>
  <c r="CW151" i="1"/>
  <c r="CS151" i="1"/>
  <c r="CO151" i="1"/>
  <c r="CN151" i="1"/>
  <c r="CM151" i="1"/>
  <c r="CL151" i="1"/>
  <c r="CG151" i="1"/>
  <c r="CC151" i="1"/>
  <c r="BY151" i="1"/>
  <c r="BU151" i="1"/>
  <c r="BQ151" i="1"/>
  <c r="BM151" i="1"/>
  <c r="BL151" i="1"/>
  <c r="BK151" i="1"/>
  <c r="BJ151" i="1"/>
  <c r="BI151" i="1"/>
  <c r="BH151" i="1"/>
  <c r="BG151" i="1"/>
  <c r="BF151" i="1"/>
  <c r="BE151" i="1"/>
  <c r="CB151" i="1" s="1"/>
  <c r="BD151" i="1"/>
  <c r="BC151" i="1"/>
  <c r="BB151" i="1"/>
  <c r="BA151" i="1"/>
  <c r="AZ151" i="1"/>
  <c r="AY151" i="1"/>
  <c r="AX151" i="1"/>
  <c r="AW151" i="1"/>
  <c r="AV151" i="1"/>
  <c r="AU151" i="1"/>
  <c r="AT151" i="1"/>
  <c r="Z151" i="1"/>
  <c r="W151" i="1"/>
  <c r="T151" i="1"/>
  <c r="Q151" i="1"/>
  <c r="N151" i="1"/>
  <c r="K151" i="1"/>
  <c r="GF150" i="1"/>
  <c r="GB150" i="1"/>
  <c r="FX150" i="1"/>
  <c r="FT150" i="1"/>
  <c r="FP150" i="1"/>
  <c r="FL150" i="1"/>
  <c r="FG150" i="1"/>
  <c r="FC150" i="1"/>
  <c r="EY150" i="1"/>
  <c r="EU150" i="1"/>
  <c r="EQ150" i="1"/>
  <c r="EM150" i="1"/>
  <c r="EH150" i="1"/>
  <c r="ED150" i="1"/>
  <c r="DZ150" i="1"/>
  <c r="DV150" i="1"/>
  <c r="DR150" i="1"/>
  <c r="DN150" i="1"/>
  <c r="DI150" i="1"/>
  <c r="DE150" i="1"/>
  <c r="DA150" i="1"/>
  <c r="CW150" i="1"/>
  <c r="CS150" i="1"/>
  <c r="CO150" i="1"/>
  <c r="CN150" i="1"/>
  <c r="CM150" i="1"/>
  <c r="CL150" i="1"/>
  <c r="CG150" i="1"/>
  <c r="CC150" i="1"/>
  <c r="BY150" i="1"/>
  <c r="BU150" i="1"/>
  <c r="BQ150" i="1"/>
  <c r="BM150" i="1"/>
  <c r="BL150" i="1"/>
  <c r="BK150" i="1"/>
  <c r="BJ150" i="1"/>
  <c r="BI150" i="1"/>
  <c r="BH150" i="1"/>
  <c r="BG150" i="1"/>
  <c r="BF150" i="1"/>
  <c r="CD150" i="1" s="1"/>
  <c r="BE150" i="1"/>
  <c r="BD150" i="1"/>
  <c r="BC150" i="1"/>
  <c r="BB150" i="1"/>
  <c r="BA150" i="1"/>
  <c r="AZ150" i="1"/>
  <c r="AY150" i="1"/>
  <c r="DU150" i="1" s="1"/>
  <c r="AX150" i="1"/>
  <c r="DT150" i="1" s="1"/>
  <c r="AW150" i="1"/>
  <c r="AV150" i="1"/>
  <c r="AU150" i="1"/>
  <c r="AT150" i="1"/>
  <c r="Z150" i="1"/>
  <c r="W150" i="1"/>
  <c r="T150" i="1"/>
  <c r="Q150" i="1"/>
  <c r="N150" i="1"/>
  <c r="K150" i="1"/>
  <c r="GF149" i="1"/>
  <c r="GB149" i="1"/>
  <c r="FX149" i="1"/>
  <c r="FT149" i="1"/>
  <c r="FP149" i="1"/>
  <c r="FL149" i="1"/>
  <c r="FG149" i="1"/>
  <c r="FC149" i="1"/>
  <c r="EY149" i="1"/>
  <c r="EU149" i="1"/>
  <c r="EQ149" i="1"/>
  <c r="EM149" i="1"/>
  <c r="EH149" i="1"/>
  <c r="ED149" i="1"/>
  <c r="DZ149" i="1"/>
  <c r="DV149" i="1"/>
  <c r="DR149" i="1"/>
  <c r="DN149" i="1"/>
  <c r="DI149" i="1"/>
  <c r="DE149" i="1"/>
  <c r="DA149" i="1"/>
  <c r="CW149" i="1"/>
  <c r="CS149" i="1"/>
  <c r="CO149" i="1"/>
  <c r="CN149" i="1"/>
  <c r="CM149" i="1"/>
  <c r="CL149" i="1"/>
  <c r="CG149" i="1"/>
  <c r="CC149" i="1"/>
  <c r="BY149" i="1"/>
  <c r="BU149" i="1"/>
  <c r="BQ149" i="1"/>
  <c r="BM149" i="1"/>
  <c r="BL149" i="1"/>
  <c r="BK149" i="1"/>
  <c r="BJ149" i="1"/>
  <c r="BI149" i="1"/>
  <c r="BH149" i="1"/>
  <c r="BG149" i="1"/>
  <c r="BF149" i="1"/>
  <c r="BE149" i="1"/>
  <c r="CB149" i="1" s="1"/>
  <c r="BD149" i="1"/>
  <c r="BC149" i="1"/>
  <c r="BB149" i="1"/>
  <c r="BA149" i="1"/>
  <c r="AZ149" i="1"/>
  <c r="AY149" i="1"/>
  <c r="AX149" i="1"/>
  <c r="AW149" i="1"/>
  <c r="AV149" i="1"/>
  <c r="AU149" i="1"/>
  <c r="AT149" i="1"/>
  <c r="Z149" i="1"/>
  <c r="W149" i="1"/>
  <c r="T149" i="1"/>
  <c r="Q149" i="1"/>
  <c r="N149" i="1"/>
  <c r="K149" i="1"/>
  <c r="GF148" i="1"/>
  <c r="GB148" i="1"/>
  <c r="FX148" i="1"/>
  <c r="FT148" i="1"/>
  <c r="FP148" i="1"/>
  <c r="FL148" i="1"/>
  <c r="FG148" i="1"/>
  <c r="FC148" i="1"/>
  <c r="EY148" i="1"/>
  <c r="EU148" i="1"/>
  <c r="EQ148" i="1"/>
  <c r="EM148" i="1"/>
  <c r="EH148" i="1"/>
  <c r="ED148" i="1"/>
  <c r="DZ148" i="1"/>
  <c r="DV148" i="1"/>
  <c r="DR148" i="1"/>
  <c r="DN148" i="1"/>
  <c r="DI148" i="1"/>
  <c r="DE148" i="1"/>
  <c r="DA148" i="1"/>
  <c r="CW148" i="1"/>
  <c r="CS148" i="1"/>
  <c r="CO148" i="1"/>
  <c r="CN148" i="1"/>
  <c r="CM148" i="1"/>
  <c r="CL148" i="1"/>
  <c r="CG148" i="1"/>
  <c r="CC148" i="1"/>
  <c r="BY148" i="1"/>
  <c r="BU148" i="1"/>
  <c r="BQ148" i="1"/>
  <c r="BM148" i="1"/>
  <c r="BL148" i="1"/>
  <c r="BK148" i="1"/>
  <c r="BJ148" i="1"/>
  <c r="BI148" i="1"/>
  <c r="EI148" i="1" s="1"/>
  <c r="BH148" i="1"/>
  <c r="GE148" i="1" s="1"/>
  <c r="BG148" i="1"/>
  <c r="BF148" i="1"/>
  <c r="BE148" i="1"/>
  <c r="CB148" i="1" s="1"/>
  <c r="BD148" i="1"/>
  <c r="BC148" i="1"/>
  <c r="BB148" i="1"/>
  <c r="BA148" i="1"/>
  <c r="CY148" i="1" s="1"/>
  <c r="AZ148" i="1"/>
  <c r="AY148" i="1"/>
  <c r="AX148" i="1"/>
  <c r="AW148" i="1"/>
  <c r="AV148" i="1"/>
  <c r="AU148" i="1"/>
  <c r="AT148" i="1"/>
  <c r="Z148" i="1"/>
  <c r="W148" i="1"/>
  <c r="T148" i="1"/>
  <c r="Q148" i="1"/>
  <c r="N148" i="1"/>
  <c r="K148" i="1"/>
  <c r="GF147" i="1"/>
  <c r="GB147" i="1"/>
  <c r="FX147" i="1"/>
  <c r="FT147" i="1"/>
  <c r="FP147" i="1"/>
  <c r="FL147" i="1"/>
  <c r="FG147" i="1"/>
  <c r="FC147" i="1"/>
  <c r="EY147" i="1"/>
  <c r="EU147" i="1"/>
  <c r="EQ147" i="1"/>
  <c r="EM147" i="1"/>
  <c r="EH147" i="1"/>
  <c r="ED147" i="1"/>
  <c r="DZ147" i="1"/>
  <c r="DV147" i="1"/>
  <c r="DR147" i="1"/>
  <c r="DN147" i="1"/>
  <c r="DI147" i="1"/>
  <c r="DE147" i="1"/>
  <c r="DA147" i="1"/>
  <c r="CW147" i="1"/>
  <c r="CS147" i="1"/>
  <c r="CO147" i="1"/>
  <c r="CN147" i="1"/>
  <c r="CM147" i="1"/>
  <c r="CL147" i="1"/>
  <c r="CG147" i="1"/>
  <c r="CC147" i="1"/>
  <c r="BY147" i="1"/>
  <c r="BU147" i="1"/>
  <c r="BQ147" i="1"/>
  <c r="BM147" i="1"/>
  <c r="BL147" i="1"/>
  <c r="BK147" i="1"/>
  <c r="BJ147" i="1"/>
  <c r="BI147" i="1"/>
  <c r="BH147" i="1"/>
  <c r="BG147" i="1"/>
  <c r="BF147" i="1"/>
  <c r="BE147" i="1"/>
  <c r="BD147" i="1"/>
  <c r="BC147" i="1"/>
  <c r="BB147" i="1"/>
  <c r="BA147" i="1"/>
  <c r="AZ147" i="1"/>
  <c r="AY147" i="1"/>
  <c r="AX147" i="1"/>
  <c r="AW147" i="1"/>
  <c r="AV147" i="1"/>
  <c r="AU147" i="1"/>
  <c r="AT147" i="1"/>
  <c r="Z147" i="1"/>
  <c r="W147" i="1"/>
  <c r="T147" i="1"/>
  <c r="Q147" i="1"/>
  <c r="N147" i="1"/>
  <c r="K147" i="1"/>
  <c r="GF146" i="1"/>
  <c r="GB146" i="1"/>
  <c r="FX146" i="1"/>
  <c r="FT146" i="1"/>
  <c r="FP146" i="1"/>
  <c r="FL146" i="1"/>
  <c r="FG146" i="1"/>
  <c r="FC146" i="1"/>
  <c r="EY146" i="1"/>
  <c r="EU146" i="1"/>
  <c r="EQ146" i="1"/>
  <c r="EM146" i="1"/>
  <c r="EH146" i="1"/>
  <c r="ED146" i="1"/>
  <c r="DZ146" i="1"/>
  <c r="DV146" i="1"/>
  <c r="DR146" i="1"/>
  <c r="DN146" i="1"/>
  <c r="DI146" i="1"/>
  <c r="DE146" i="1"/>
  <c r="DA146" i="1"/>
  <c r="CW146" i="1"/>
  <c r="CS146" i="1"/>
  <c r="CO146" i="1"/>
  <c r="CN146" i="1"/>
  <c r="CM146" i="1"/>
  <c r="CL146" i="1"/>
  <c r="CG146" i="1"/>
  <c r="CC146" i="1"/>
  <c r="BY146" i="1"/>
  <c r="BU146" i="1"/>
  <c r="BQ146" i="1"/>
  <c r="BM146" i="1"/>
  <c r="BL146" i="1"/>
  <c r="BK146" i="1"/>
  <c r="BJ146" i="1"/>
  <c r="BI146" i="1"/>
  <c r="BH146" i="1"/>
  <c r="BG146" i="1"/>
  <c r="CE146" i="1" s="1"/>
  <c r="BF146" i="1"/>
  <c r="BE146" i="1"/>
  <c r="BD146" i="1"/>
  <c r="BC146" i="1"/>
  <c r="BB146" i="1"/>
  <c r="BA146" i="1"/>
  <c r="AZ146" i="1"/>
  <c r="AY146" i="1"/>
  <c r="AX146" i="1"/>
  <c r="AW146" i="1"/>
  <c r="AV146" i="1"/>
  <c r="AU146" i="1"/>
  <c r="AT146" i="1"/>
  <c r="Z146" i="1"/>
  <c r="W146" i="1"/>
  <c r="T146" i="1"/>
  <c r="Q146" i="1"/>
  <c r="N146" i="1"/>
  <c r="K146" i="1"/>
  <c r="GF145" i="1"/>
  <c r="GB145" i="1"/>
  <c r="FX145" i="1"/>
  <c r="FT145" i="1"/>
  <c r="FP145" i="1"/>
  <c r="FL145" i="1"/>
  <c r="FG145" i="1"/>
  <c r="FC145" i="1"/>
  <c r="EY145" i="1"/>
  <c r="EU145" i="1"/>
  <c r="EQ145" i="1"/>
  <c r="EM145" i="1"/>
  <c r="EH145" i="1"/>
  <c r="ED145" i="1"/>
  <c r="DZ145" i="1"/>
  <c r="DV145" i="1"/>
  <c r="DR145" i="1"/>
  <c r="DN145" i="1"/>
  <c r="DI145" i="1"/>
  <c r="DE145" i="1"/>
  <c r="DA145" i="1"/>
  <c r="CW145" i="1"/>
  <c r="CS145" i="1"/>
  <c r="CO145" i="1"/>
  <c r="CN145" i="1"/>
  <c r="CM145" i="1"/>
  <c r="CL145" i="1"/>
  <c r="CG145" i="1"/>
  <c r="CC145" i="1"/>
  <c r="BY145" i="1"/>
  <c r="BU145" i="1"/>
  <c r="BQ145" i="1"/>
  <c r="BM145" i="1"/>
  <c r="BL145" i="1"/>
  <c r="BK145" i="1"/>
  <c r="BJ145" i="1"/>
  <c r="BI145" i="1"/>
  <c r="CH145" i="1" s="1"/>
  <c r="BH145" i="1"/>
  <c r="BG145" i="1"/>
  <c r="BF145" i="1"/>
  <c r="BE145" i="1"/>
  <c r="BD145" i="1"/>
  <c r="BC145" i="1"/>
  <c r="BB145" i="1"/>
  <c r="BA145" i="1"/>
  <c r="CY145" i="1" s="1"/>
  <c r="AZ145" i="1"/>
  <c r="AY145" i="1"/>
  <c r="AX145" i="1"/>
  <c r="AW145" i="1"/>
  <c r="AV145" i="1"/>
  <c r="DQ145" i="1" s="1"/>
  <c r="AU145" i="1"/>
  <c r="AT145" i="1"/>
  <c r="Z145" i="1"/>
  <c r="W145" i="1"/>
  <c r="T145" i="1"/>
  <c r="Q145" i="1"/>
  <c r="N145" i="1"/>
  <c r="K145" i="1"/>
  <c r="GF144" i="1"/>
  <c r="GB144" i="1"/>
  <c r="FX144" i="1"/>
  <c r="FT144" i="1"/>
  <c r="FP144" i="1"/>
  <c r="FL144" i="1"/>
  <c r="FG144" i="1"/>
  <c r="FC144" i="1"/>
  <c r="EY144" i="1"/>
  <c r="EU144" i="1"/>
  <c r="EQ144" i="1"/>
  <c r="EM144" i="1"/>
  <c r="EH144" i="1"/>
  <c r="ED144" i="1"/>
  <c r="DZ144" i="1"/>
  <c r="DV144" i="1"/>
  <c r="DR144" i="1"/>
  <c r="DN144" i="1"/>
  <c r="DI144" i="1"/>
  <c r="DE144" i="1"/>
  <c r="DA144" i="1"/>
  <c r="CW144" i="1"/>
  <c r="CS144" i="1"/>
  <c r="CO144" i="1"/>
  <c r="CN144" i="1"/>
  <c r="CM144" i="1"/>
  <c r="CL144" i="1"/>
  <c r="CG144" i="1"/>
  <c r="CC144" i="1"/>
  <c r="BY144" i="1"/>
  <c r="BU144" i="1"/>
  <c r="BQ144" i="1"/>
  <c r="BM144" i="1"/>
  <c r="BL144" i="1"/>
  <c r="BK144" i="1"/>
  <c r="BJ144" i="1"/>
  <c r="BI144" i="1"/>
  <c r="BH144" i="1"/>
  <c r="BG144" i="1"/>
  <c r="FE144" i="1" s="1"/>
  <c r="BF144" i="1"/>
  <c r="BE144" i="1"/>
  <c r="BD144" i="1"/>
  <c r="BC144" i="1"/>
  <c r="BB144" i="1"/>
  <c r="BA144" i="1"/>
  <c r="AZ144" i="1"/>
  <c r="AY144" i="1"/>
  <c r="AX144" i="1"/>
  <c r="AW144" i="1"/>
  <c r="AV144" i="1"/>
  <c r="AU144" i="1"/>
  <c r="AT144" i="1"/>
  <c r="Z144" i="1"/>
  <c r="W144" i="1"/>
  <c r="T144" i="1"/>
  <c r="Q144" i="1"/>
  <c r="N144" i="1"/>
  <c r="K144" i="1"/>
  <c r="GF143" i="1"/>
  <c r="GB143" i="1"/>
  <c r="FX143" i="1"/>
  <c r="FT143" i="1"/>
  <c r="FP143" i="1"/>
  <c r="FL143" i="1"/>
  <c r="FG143" i="1"/>
  <c r="FC143" i="1"/>
  <c r="EY143" i="1"/>
  <c r="EU143" i="1"/>
  <c r="EQ143" i="1"/>
  <c r="EM143" i="1"/>
  <c r="EH143" i="1"/>
  <c r="ED143" i="1"/>
  <c r="DZ143" i="1"/>
  <c r="DV143" i="1"/>
  <c r="DR143" i="1"/>
  <c r="DN143" i="1"/>
  <c r="DI143" i="1"/>
  <c r="DE143" i="1"/>
  <c r="DA143" i="1"/>
  <c r="CW143" i="1"/>
  <c r="CS143" i="1"/>
  <c r="CO143" i="1"/>
  <c r="CN143" i="1"/>
  <c r="CM143" i="1"/>
  <c r="CL143" i="1"/>
  <c r="CG143" i="1"/>
  <c r="CC143" i="1"/>
  <c r="BY143" i="1"/>
  <c r="BU143" i="1"/>
  <c r="BQ143" i="1"/>
  <c r="BM143" i="1"/>
  <c r="BL143" i="1"/>
  <c r="BK143" i="1"/>
  <c r="BJ143" i="1"/>
  <c r="BI143" i="1"/>
  <c r="BH143" i="1"/>
  <c r="BG143" i="1"/>
  <c r="BF143" i="1"/>
  <c r="CD143" i="1" s="1"/>
  <c r="BE143" i="1"/>
  <c r="BD143" i="1"/>
  <c r="BC143" i="1"/>
  <c r="BB143" i="1"/>
  <c r="BA143" i="1"/>
  <c r="AZ143" i="1"/>
  <c r="AY143" i="1"/>
  <c r="AX143" i="1"/>
  <c r="AW143" i="1"/>
  <c r="AV143" i="1"/>
  <c r="AU143" i="1"/>
  <c r="AT143" i="1"/>
  <c r="Z143" i="1"/>
  <c r="W143" i="1"/>
  <c r="T143" i="1"/>
  <c r="Q143" i="1"/>
  <c r="N143" i="1"/>
  <c r="K143" i="1"/>
  <c r="GF142" i="1"/>
  <c r="GB142" i="1"/>
  <c r="FX142" i="1"/>
  <c r="FT142" i="1"/>
  <c r="FP142" i="1"/>
  <c r="FL142" i="1"/>
  <c r="FG142" i="1"/>
  <c r="FC142" i="1"/>
  <c r="EY142" i="1"/>
  <c r="EU142" i="1"/>
  <c r="EQ142" i="1"/>
  <c r="EM142" i="1"/>
  <c r="EH142" i="1"/>
  <c r="ED142" i="1"/>
  <c r="DZ142" i="1"/>
  <c r="DV142" i="1"/>
  <c r="DR142" i="1"/>
  <c r="DN142" i="1"/>
  <c r="DI142" i="1"/>
  <c r="DE142" i="1"/>
  <c r="DA142" i="1"/>
  <c r="CW142" i="1"/>
  <c r="CS142" i="1"/>
  <c r="CO142" i="1"/>
  <c r="CN142" i="1"/>
  <c r="CM142" i="1"/>
  <c r="CL142" i="1"/>
  <c r="CG142" i="1"/>
  <c r="CC142" i="1"/>
  <c r="BY142" i="1"/>
  <c r="BU142" i="1"/>
  <c r="BQ142" i="1"/>
  <c r="BM142" i="1"/>
  <c r="BL142" i="1"/>
  <c r="BK142" i="1"/>
  <c r="BJ142" i="1"/>
  <c r="BI142" i="1"/>
  <c r="BH142" i="1"/>
  <c r="BG142" i="1"/>
  <c r="DG142" i="1" s="1"/>
  <c r="BF142" i="1"/>
  <c r="BE142" i="1"/>
  <c r="BD142" i="1"/>
  <c r="BC142" i="1"/>
  <c r="BB142" i="1"/>
  <c r="BA142" i="1"/>
  <c r="AZ142" i="1"/>
  <c r="AY142" i="1"/>
  <c r="FS142" i="1" s="1"/>
  <c r="AX142" i="1"/>
  <c r="AW142" i="1"/>
  <c r="AV142" i="1"/>
  <c r="AU142" i="1"/>
  <c r="AT142" i="1"/>
  <c r="Z142" i="1"/>
  <c r="W142" i="1"/>
  <c r="T142" i="1"/>
  <c r="Q142" i="1"/>
  <c r="N142" i="1"/>
  <c r="K142" i="1"/>
  <c r="GF141" i="1"/>
  <c r="GB141" i="1"/>
  <c r="FX141" i="1"/>
  <c r="FT141" i="1"/>
  <c r="FP141" i="1"/>
  <c r="FL141" i="1"/>
  <c r="FG141" i="1"/>
  <c r="FC141" i="1"/>
  <c r="EY141" i="1"/>
  <c r="EU141" i="1"/>
  <c r="EQ141" i="1"/>
  <c r="EM141" i="1"/>
  <c r="EH141" i="1"/>
  <c r="ED141" i="1"/>
  <c r="DZ141" i="1"/>
  <c r="DV141" i="1"/>
  <c r="DR141" i="1"/>
  <c r="DN141" i="1"/>
  <c r="DI141" i="1"/>
  <c r="DE141" i="1"/>
  <c r="DA141" i="1"/>
  <c r="CW141" i="1"/>
  <c r="CS141" i="1"/>
  <c r="CO141" i="1"/>
  <c r="CN141" i="1"/>
  <c r="CM141" i="1"/>
  <c r="CL141" i="1"/>
  <c r="CG141" i="1"/>
  <c r="CC141" i="1"/>
  <c r="BY141" i="1"/>
  <c r="BU141" i="1"/>
  <c r="BQ141" i="1"/>
  <c r="BM141" i="1"/>
  <c r="BL141" i="1"/>
  <c r="BK141" i="1"/>
  <c r="BJ141" i="1"/>
  <c r="BI141" i="1"/>
  <c r="BH141" i="1"/>
  <c r="BG141" i="1"/>
  <c r="FE141" i="1" s="1"/>
  <c r="BF141" i="1"/>
  <c r="BE141" i="1"/>
  <c r="BD141" i="1"/>
  <c r="BC141" i="1"/>
  <c r="BB141" i="1"/>
  <c r="BA141" i="1"/>
  <c r="CY141" i="1" s="1"/>
  <c r="AZ141" i="1"/>
  <c r="AY141" i="1"/>
  <c r="AX141" i="1"/>
  <c r="AW141" i="1"/>
  <c r="AV141" i="1"/>
  <c r="AU141" i="1"/>
  <c r="BO141" i="1" s="1"/>
  <c r="AT141" i="1"/>
  <c r="Z141" i="1"/>
  <c r="W141" i="1"/>
  <c r="T141" i="1"/>
  <c r="Q141" i="1"/>
  <c r="N141" i="1"/>
  <c r="K141" i="1"/>
  <c r="GF140" i="1"/>
  <c r="GB140" i="1"/>
  <c r="FX140" i="1"/>
  <c r="FT140" i="1"/>
  <c r="FP140" i="1"/>
  <c r="FL140" i="1"/>
  <c r="FG140" i="1"/>
  <c r="FC140" i="1"/>
  <c r="EY140" i="1"/>
  <c r="EU140" i="1"/>
  <c r="EQ140" i="1"/>
  <c r="EM140" i="1"/>
  <c r="EH140" i="1"/>
  <c r="ED140" i="1"/>
  <c r="DZ140" i="1"/>
  <c r="DV140" i="1"/>
  <c r="DR140" i="1"/>
  <c r="DN140" i="1"/>
  <c r="DI140" i="1"/>
  <c r="DE140" i="1"/>
  <c r="DA140" i="1"/>
  <c r="CW140" i="1"/>
  <c r="CS140" i="1"/>
  <c r="CO140" i="1"/>
  <c r="CN140" i="1"/>
  <c r="CM140" i="1"/>
  <c r="CL140" i="1"/>
  <c r="CG140" i="1"/>
  <c r="CC140" i="1"/>
  <c r="BY140" i="1"/>
  <c r="BU140" i="1"/>
  <c r="BQ140" i="1"/>
  <c r="BM140" i="1"/>
  <c r="BL140" i="1"/>
  <c r="BK140" i="1"/>
  <c r="BJ140" i="1"/>
  <c r="BI140" i="1"/>
  <c r="BH140" i="1"/>
  <c r="BG140" i="1"/>
  <c r="BF140" i="1"/>
  <c r="BE140" i="1"/>
  <c r="BD140" i="1"/>
  <c r="BC140" i="1"/>
  <c r="BB140" i="1"/>
  <c r="BA140" i="1"/>
  <c r="AZ140" i="1"/>
  <c r="AY140" i="1"/>
  <c r="AX140" i="1"/>
  <c r="AW140" i="1"/>
  <c r="DS140" i="1" s="1"/>
  <c r="AV140" i="1"/>
  <c r="AU140" i="1"/>
  <c r="AT140" i="1"/>
  <c r="Z140" i="1"/>
  <c r="W140" i="1"/>
  <c r="T140" i="1"/>
  <c r="Q140" i="1"/>
  <c r="N140" i="1"/>
  <c r="K140" i="1"/>
  <c r="GF139" i="1"/>
  <c r="GB139" i="1"/>
  <c r="FX139" i="1"/>
  <c r="FT139" i="1"/>
  <c r="FP139" i="1"/>
  <c r="FL139" i="1"/>
  <c r="FG139" i="1"/>
  <c r="FC139" i="1"/>
  <c r="EY139" i="1"/>
  <c r="EU139" i="1"/>
  <c r="EQ139" i="1"/>
  <c r="EM139" i="1"/>
  <c r="EH139" i="1"/>
  <c r="ED139" i="1"/>
  <c r="DZ139" i="1"/>
  <c r="DV139" i="1"/>
  <c r="DR139" i="1"/>
  <c r="DN139" i="1"/>
  <c r="DI139" i="1"/>
  <c r="DE139" i="1"/>
  <c r="DA139" i="1"/>
  <c r="CW139" i="1"/>
  <c r="CS139" i="1"/>
  <c r="CO139" i="1"/>
  <c r="CN139" i="1"/>
  <c r="CM139" i="1"/>
  <c r="CL139" i="1"/>
  <c r="CG139" i="1"/>
  <c r="CC139" i="1"/>
  <c r="BY139" i="1"/>
  <c r="BU139" i="1"/>
  <c r="BQ139" i="1"/>
  <c r="BM139" i="1"/>
  <c r="BL139" i="1"/>
  <c r="BK139" i="1"/>
  <c r="BJ139" i="1"/>
  <c r="BI139" i="1"/>
  <c r="BH139" i="1"/>
  <c r="FF139" i="1" s="1"/>
  <c r="BG139" i="1"/>
  <c r="FE139" i="1" s="1"/>
  <c r="BF139" i="1"/>
  <c r="BE139" i="1"/>
  <c r="BD139" i="1"/>
  <c r="BC139" i="1"/>
  <c r="BB139" i="1"/>
  <c r="BA139" i="1"/>
  <c r="AZ139" i="1"/>
  <c r="AY139" i="1"/>
  <c r="AX139" i="1"/>
  <c r="AW139" i="1"/>
  <c r="DS139" i="1" s="1"/>
  <c r="AV139" i="1"/>
  <c r="FO139" i="1" s="1"/>
  <c r="AU139" i="1"/>
  <c r="AT139" i="1"/>
  <c r="Z139" i="1"/>
  <c r="W139" i="1"/>
  <c r="T139" i="1"/>
  <c r="Q139" i="1"/>
  <c r="N139" i="1"/>
  <c r="K139" i="1"/>
  <c r="GF138" i="1"/>
  <c r="GB138" i="1"/>
  <c r="FX138" i="1"/>
  <c r="FT138" i="1"/>
  <c r="FP138" i="1"/>
  <c r="FL138" i="1"/>
  <c r="FG138" i="1"/>
  <c r="FC138" i="1"/>
  <c r="EY138" i="1"/>
  <c r="EU138" i="1"/>
  <c r="EQ138" i="1"/>
  <c r="EM138" i="1"/>
  <c r="EH138" i="1"/>
  <c r="ED138" i="1"/>
  <c r="DZ138" i="1"/>
  <c r="DV138" i="1"/>
  <c r="DR138" i="1"/>
  <c r="DN138" i="1"/>
  <c r="DI138" i="1"/>
  <c r="DE138" i="1"/>
  <c r="DA138" i="1"/>
  <c r="CW138" i="1"/>
  <c r="CS138" i="1"/>
  <c r="CO138" i="1"/>
  <c r="CN138" i="1"/>
  <c r="CM138" i="1"/>
  <c r="CL138" i="1"/>
  <c r="CG138" i="1"/>
  <c r="CC138" i="1"/>
  <c r="BY138" i="1"/>
  <c r="BU138" i="1"/>
  <c r="BQ138" i="1"/>
  <c r="BM138" i="1"/>
  <c r="BL138" i="1"/>
  <c r="BK138" i="1"/>
  <c r="BJ138" i="1"/>
  <c r="BI138" i="1"/>
  <c r="BH138" i="1"/>
  <c r="BG138" i="1"/>
  <c r="BF138" i="1"/>
  <c r="BE138" i="1"/>
  <c r="BD138" i="1"/>
  <c r="BC138" i="1"/>
  <c r="BB138" i="1"/>
  <c r="BA138" i="1"/>
  <c r="AZ138" i="1"/>
  <c r="AY138" i="1"/>
  <c r="AX138" i="1"/>
  <c r="AW138" i="1"/>
  <c r="AV138" i="1"/>
  <c r="AU138" i="1"/>
  <c r="AT138" i="1"/>
  <c r="Z138" i="1"/>
  <c r="W138" i="1"/>
  <c r="T138" i="1"/>
  <c r="Q138" i="1"/>
  <c r="N138" i="1"/>
  <c r="K138" i="1"/>
  <c r="GF137" i="1"/>
  <c r="GB137" i="1"/>
  <c r="FX137" i="1"/>
  <c r="FT137" i="1"/>
  <c r="FP137" i="1"/>
  <c r="FL137" i="1"/>
  <c r="FG137" i="1"/>
  <c r="FC137" i="1"/>
  <c r="EY137" i="1"/>
  <c r="EU137" i="1"/>
  <c r="EQ137" i="1"/>
  <c r="EM137" i="1"/>
  <c r="EH137" i="1"/>
  <c r="ED137" i="1"/>
  <c r="DZ137" i="1"/>
  <c r="DV137" i="1"/>
  <c r="DR137" i="1"/>
  <c r="DN137" i="1"/>
  <c r="DI137" i="1"/>
  <c r="DE137" i="1"/>
  <c r="DA137" i="1"/>
  <c r="CW137" i="1"/>
  <c r="CS137" i="1"/>
  <c r="CO137" i="1"/>
  <c r="CN137" i="1"/>
  <c r="CM137" i="1"/>
  <c r="CL137" i="1"/>
  <c r="CG137" i="1"/>
  <c r="CC137" i="1"/>
  <c r="BY137" i="1"/>
  <c r="BU137" i="1"/>
  <c r="BQ137" i="1"/>
  <c r="BM137" i="1"/>
  <c r="BL137" i="1"/>
  <c r="BK137" i="1"/>
  <c r="BJ137" i="1"/>
  <c r="BI137" i="1"/>
  <c r="BH137" i="1"/>
  <c r="BG137" i="1"/>
  <c r="BF137" i="1"/>
  <c r="BE137" i="1"/>
  <c r="BD137" i="1"/>
  <c r="BC137" i="1"/>
  <c r="BB137" i="1"/>
  <c r="BA137" i="1"/>
  <c r="AZ137" i="1"/>
  <c r="AY137" i="1"/>
  <c r="AX137" i="1"/>
  <c r="AW137" i="1"/>
  <c r="AV137" i="1"/>
  <c r="AU137" i="1"/>
  <c r="AT137" i="1"/>
  <c r="Z137" i="1"/>
  <c r="W137" i="1"/>
  <c r="T137" i="1"/>
  <c r="Q137" i="1"/>
  <c r="N137" i="1"/>
  <c r="K137" i="1"/>
  <c r="GF136" i="1"/>
  <c r="GB136" i="1"/>
  <c r="FX136" i="1"/>
  <c r="FT136" i="1"/>
  <c r="FP136" i="1"/>
  <c r="FL136" i="1"/>
  <c r="FG136" i="1"/>
  <c r="FC136" i="1"/>
  <c r="EY136" i="1"/>
  <c r="EU136" i="1"/>
  <c r="EQ136" i="1"/>
  <c r="EM136" i="1"/>
  <c r="EH136" i="1"/>
  <c r="ED136" i="1"/>
  <c r="DZ136" i="1"/>
  <c r="DV136" i="1"/>
  <c r="DR136" i="1"/>
  <c r="DN136" i="1"/>
  <c r="DI136" i="1"/>
  <c r="DE136" i="1"/>
  <c r="DA136" i="1"/>
  <c r="CW136" i="1"/>
  <c r="CS136" i="1"/>
  <c r="CO136" i="1"/>
  <c r="CN136" i="1"/>
  <c r="CM136" i="1"/>
  <c r="CL136" i="1"/>
  <c r="CG136" i="1"/>
  <c r="CC136" i="1"/>
  <c r="BY136" i="1"/>
  <c r="BU136" i="1"/>
  <c r="BQ136" i="1"/>
  <c r="BM136" i="1"/>
  <c r="BL136" i="1"/>
  <c r="BK136" i="1"/>
  <c r="BJ136" i="1"/>
  <c r="BI136" i="1"/>
  <c r="BH136" i="1"/>
  <c r="BG136" i="1"/>
  <c r="BF136" i="1"/>
  <c r="BE136" i="1"/>
  <c r="BD136" i="1"/>
  <c r="BC136" i="1"/>
  <c r="FY136" i="1" s="1"/>
  <c r="BB136" i="1"/>
  <c r="BA136" i="1"/>
  <c r="AZ136" i="1"/>
  <c r="EV136" i="1" s="1"/>
  <c r="AY136" i="1"/>
  <c r="AX136" i="1"/>
  <c r="AW136" i="1"/>
  <c r="AV136" i="1"/>
  <c r="AU136" i="1"/>
  <c r="AT136" i="1"/>
  <c r="Z136" i="1"/>
  <c r="W136" i="1"/>
  <c r="T136" i="1"/>
  <c r="Q136" i="1"/>
  <c r="N136" i="1"/>
  <c r="K136" i="1"/>
  <c r="GF135" i="1"/>
  <c r="GB135" i="1"/>
  <c r="FX135" i="1"/>
  <c r="FT135" i="1"/>
  <c r="FP135" i="1"/>
  <c r="FL135" i="1"/>
  <c r="FG135" i="1"/>
  <c r="FC135" i="1"/>
  <c r="EY135" i="1"/>
  <c r="EU135" i="1"/>
  <c r="EQ135" i="1"/>
  <c r="EM135" i="1"/>
  <c r="EH135" i="1"/>
  <c r="ED135" i="1"/>
  <c r="DZ135" i="1"/>
  <c r="EA135" i="1" s="1"/>
  <c r="DV135" i="1"/>
  <c r="DR135" i="1"/>
  <c r="DN135" i="1"/>
  <c r="DI135" i="1"/>
  <c r="DE135" i="1"/>
  <c r="DA135" i="1"/>
  <c r="CW135" i="1"/>
  <c r="CS135" i="1"/>
  <c r="CO135" i="1"/>
  <c r="CN135" i="1"/>
  <c r="CM135" i="1"/>
  <c r="CL135" i="1"/>
  <c r="CG135" i="1"/>
  <c r="CC135" i="1"/>
  <c r="BY135" i="1"/>
  <c r="BU135" i="1"/>
  <c r="BQ135" i="1"/>
  <c r="BM135" i="1"/>
  <c r="BL135" i="1"/>
  <c r="BK135" i="1"/>
  <c r="BJ135" i="1"/>
  <c r="EJ135" i="1" s="1"/>
  <c r="BI135" i="1"/>
  <c r="BH135" i="1"/>
  <c r="BG135" i="1"/>
  <c r="BF135" i="1"/>
  <c r="BE135" i="1"/>
  <c r="BD135" i="1"/>
  <c r="BC135" i="1"/>
  <c r="BB135" i="1"/>
  <c r="BA135" i="1"/>
  <c r="AZ135" i="1"/>
  <c r="BV135" i="1" s="1"/>
  <c r="AY135" i="1"/>
  <c r="AX135" i="1"/>
  <c r="ES135" i="1" s="1"/>
  <c r="AW135" i="1"/>
  <c r="AV135" i="1"/>
  <c r="AU135" i="1"/>
  <c r="CQ135" i="1" s="1"/>
  <c r="AT135" i="1"/>
  <c r="Z135" i="1"/>
  <c r="W135" i="1"/>
  <c r="T135" i="1"/>
  <c r="Q135" i="1"/>
  <c r="N135" i="1"/>
  <c r="K135" i="1"/>
  <c r="GF134" i="1"/>
  <c r="GB134" i="1"/>
  <c r="FX134" i="1"/>
  <c r="FT134" i="1"/>
  <c r="FP134" i="1"/>
  <c r="FL134" i="1"/>
  <c r="FG134" i="1"/>
  <c r="FC134" i="1"/>
  <c r="EY134" i="1"/>
  <c r="EU134" i="1"/>
  <c r="EQ134" i="1"/>
  <c r="EM134" i="1"/>
  <c r="EH134" i="1"/>
  <c r="ED134" i="1"/>
  <c r="DZ134" i="1"/>
  <c r="DV134" i="1"/>
  <c r="DR134" i="1"/>
  <c r="DN134" i="1"/>
  <c r="DI134" i="1"/>
  <c r="DE134" i="1"/>
  <c r="DA134" i="1"/>
  <c r="CW134" i="1"/>
  <c r="CS134" i="1"/>
  <c r="CO134" i="1"/>
  <c r="CN134" i="1"/>
  <c r="CM134" i="1"/>
  <c r="CL134" i="1"/>
  <c r="CG134" i="1"/>
  <c r="CC134" i="1"/>
  <c r="BY134" i="1"/>
  <c r="BU134" i="1"/>
  <c r="BQ134" i="1"/>
  <c r="BM134" i="1"/>
  <c r="BL134" i="1"/>
  <c r="BK134" i="1"/>
  <c r="BJ134" i="1"/>
  <c r="BI134" i="1"/>
  <c r="BH134" i="1"/>
  <c r="BG134" i="1"/>
  <c r="BF134" i="1"/>
  <c r="BE134" i="1"/>
  <c r="BD134" i="1"/>
  <c r="BC134" i="1"/>
  <c r="BB134" i="1"/>
  <c r="BA134" i="1"/>
  <c r="AZ134" i="1"/>
  <c r="AY134" i="1"/>
  <c r="CV134" i="1" s="1"/>
  <c r="AX134" i="1"/>
  <c r="AW134" i="1"/>
  <c r="AV134" i="1"/>
  <c r="AU134" i="1"/>
  <c r="AT134" i="1"/>
  <c r="Z134" i="1"/>
  <c r="W134" i="1"/>
  <c r="T134" i="1"/>
  <c r="Q134" i="1"/>
  <c r="N134" i="1"/>
  <c r="K134" i="1"/>
  <c r="GF133" i="1"/>
  <c r="GB133" i="1"/>
  <c r="GE133" i="1" s="1"/>
  <c r="FX133" i="1"/>
  <c r="FT133" i="1"/>
  <c r="FP133" i="1"/>
  <c r="FL133" i="1"/>
  <c r="FG133" i="1"/>
  <c r="FC133" i="1"/>
  <c r="EY133" i="1"/>
  <c r="EU133" i="1"/>
  <c r="EQ133" i="1"/>
  <c r="EM133" i="1"/>
  <c r="EH133" i="1"/>
  <c r="ED133" i="1"/>
  <c r="DZ133" i="1"/>
  <c r="DV133" i="1"/>
  <c r="DR133" i="1"/>
  <c r="DN133" i="1"/>
  <c r="DI133" i="1"/>
  <c r="DE133" i="1"/>
  <c r="DH133" i="1" s="1"/>
  <c r="DA133" i="1"/>
  <c r="CW133" i="1"/>
  <c r="CS133" i="1"/>
  <c r="CO133" i="1"/>
  <c r="CN133" i="1"/>
  <c r="CM133" i="1"/>
  <c r="CL133" i="1"/>
  <c r="CG133" i="1"/>
  <c r="CC133" i="1"/>
  <c r="BY133" i="1"/>
  <c r="BU133" i="1"/>
  <c r="BQ133" i="1"/>
  <c r="BM133" i="1"/>
  <c r="BL133" i="1"/>
  <c r="BK133" i="1"/>
  <c r="BJ133" i="1"/>
  <c r="BI133" i="1"/>
  <c r="BH133" i="1"/>
  <c r="BG133" i="1"/>
  <c r="BF133" i="1"/>
  <c r="BE133" i="1"/>
  <c r="BD133" i="1"/>
  <c r="DC133" i="1" s="1"/>
  <c r="BC133" i="1"/>
  <c r="BB133" i="1"/>
  <c r="BA133" i="1"/>
  <c r="AZ133" i="1"/>
  <c r="AY133" i="1"/>
  <c r="AX133" i="1"/>
  <c r="AW133" i="1"/>
  <c r="AV133" i="1"/>
  <c r="AU133" i="1"/>
  <c r="AT133" i="1"/>
  <c r="Z133" i="1"/>
  <c r="W133" i="1"/>
  <c r="T133" i="1"/>
  <c r="Q133" i="1"/>
  <c r="N133" i="1"/>
  <c r="K133" i="1"/>
  <c r="GF132" i="1"/>
  <c r="GB132" i="1"/>
  <c r="GE132" i="1" s="1"/>
  <c r="FX132" i="1"/>
  <c r="FT132" i="1"/>
  <c r="FP132" i="1"/>
  <c r="FL132" i="1"/>
  <c r="FG132" i="1"/>
  <c r="FC132" i="1"/>
  <c r="EY132" i="1"/>
  <c r="EU132" i="1"/>
  <c r="EQ132" i="1"/>
  <c r="EM132" i="1"/>
  <c r="EH132" i="1"/>
  <c r="ED132" i="1"/>
  <c r="DZ132" i="1"/>
  <c r="DV132" i="1"/>
  <c r="DR132" i="1"/>
  <c r="DN132" i="1"/>
  <c r="DI132" i="1"/>
  <c r="DE132" i="1"/>
  <c r="DA132" i="1"/>
  <c r="CW132" i="1"/>
  <c r="CS132" i="1"/>
  <c r="CO132" i="1"/>
  <c r="CN132" i="1"/>
  <c r="CM132" i="1"/>
  <c r="CL132" i="1"/>
  <c r="CG132" i="1"/>
  <c r="CC132" i="1"/>
  <c r="BY132" i="1"/>
  <c r="BU132" i="1"/>
  <c r="BQ132" i="1"/>
  <c r="BS132" i="1" s="1"/>
  <c r="BM132" i="1"/>
  <c r="BL132" i="1"/>
  <c r="BK132" i="1"/>
  <c r="DL132" i="1" s="1"/>
  <c r="BJ132" i="1"/>
  <c r="BI132" i="1"/>
  <c r="BH132" i="1"/>
  <c r="BG132" i="1"/>
  <c r="BF132" i="1"/>
  <c r="BE132" i="1"/>
  <c r="BD132" i="1"/>
  <c r="BC132" i="1"/>
  <c r="BB132" i="1"/>
  <c r="BA132" i="1"/>
  <c r="AZ132" i="1"/>
  <c r="AY132" i="1"/>
  <c r="AX132" i="1"/>
  <c r="AW132" i="1"/>
  <c r="AV132" i="1"/>
  <c r="AU132" i="1"/>
  <c r="DP132" i="1" s="1"/>
  <c r="AT132" i="1"/>
  <c r="Z132" i="1"/>
  <c r="W132" i="1"/>
  <c r="T132" i="1"/>
  <c r="Q132" i="1"/>
  <c r="N132" i="1"/>
  <c r="K132" i="1"/>
  <c r="GF131" i="1"/>
  <c r="GB131" i="1"/>
  <c r="FX131" i="1"/>
  <c r="FT131" i="1"/>
  <c r="FP131" i="1"/>
  <c r="FL131" i="1"/>
  <c r="FG131" i="1"/>
  <c r="FC131" i="1"/>
  <c r="EY131" i="1"/>
  <c r="EU131" i="1"/>
  <c r="EQ131" i="1"/>
  <c r="EM131" i="1"/>
  <c r="EH131" i="1"/>
  <c r="ED131" i="1"/>
  <c r="DZ131" i="1"/>
  <c r="DV131" i="1"/>
  <c r="DR131" i="1"/>
  <c r="DN131" i="1"/>
  <c r="DI131" i="1"/>
  <c r="DE131" i="1"/>
  <c r="DA131" i="1"/>
  <c r="CW131" i="1"/>
  <c r="CS131" i="1"/>
  <c r="CO131" i="1"/>
  <c r="CN131" i="1"/>
  <c r="CM131" i="1"/>
  <c r="CL131" i="1"/>
  <c r="CG131" i="1"/>
  <c r="CC131" i="1"/>
  <c r="BY131" i="1"/>
  <c r="BU131" i="1"/>
  <c r="BQ131" i="1"/>
  <c r="BM131" i="1"/>
  <c r="BL131" i="1"/>
  <c r="BK131" i="1"/>
  <c r="BJ131" i="1"/>
  <c r="BI131" i="1"/>
  <c r="BH131" i="1"/>
  <c r="BG131" i="1"/>
  <c r="BF131" i="1"/>
  <c r="BE131" i="1"/>
  <c r="BD131" i="1"/>
  <c r="CA131" i="1" s="1"/>
  <c r="BC131" i="1"/>
  <c r="BB131" i="1"/>
  <c r="BA131" i="1"/>
  <c r="AZ131" i="1"/>
  <c r="AY131" i="1"/>
  <c r="AX131" i="1"/>
  <c r="DT131" i="1" s="1"/>
  <c r="AW131" i="1"/>
  <c r="AV131" i="1"/>
  <c r="AU131" i="1"/>
  <c r="BO131" i="1" s="1"/>
  <c r="AT131" i="1"/>
  <c r="Z131" i="1"/>
  <c r="W131" i="1"/>
  <c r="T131" i="1"/>
  <c r="Q131" i="1"/>
  <c r="N131" i="1"/>
  <c r="K131" i="1"/>
  <c r="GF130" i="1"/>
  <c r="GB130" i="1"/>
  <c r="FX130" i="1"/>
  <c r="FT130" i="1"/>
  <c r="FP130" i="1"/>
  <c r="FL130" i="1"/>
  <c r="FG130" i="1"/>
  <c r="FC130" i="1"/>
  <c r="EY130" i="1"/>
  <c r="EU130" i="1"/>
  <c r="EQ130" i="1"/>
  <c r="EM130" i="1"/>
  <c r="EH130" i="1"/>
  <c r="ED130" i="1"/>
  <c r="DZ130" i="1"/>
  <c r="DV130" i="1"/>
  <c r="DR130" i="1"/>
  <c r="DN130" i="1"/>
  <c r="DI130" i="1"/>
  <c r="DE130" i="1"/>
  <c r="DA130" i="1"/>
  <c r="CW130" i="1"/>
  <c r="CS130" i="1"/>
  <c r="CO130" i="1"/>
  <c r="CN130" i="1"/>
  <c r="CM130" i="1"/>
  <c r="CL130" i="1"/>
  <c r="CG130" i="1"/>
  <c r="CC130" i="1"/>
  <c r="BY130" i="1"/>
  <c r="BU130" i="1"/>
  <c r="BQ130" i="1"/>
  <c r="BM130" i="1"/>
  <c r="BL130" i="1"/>
  <c r="BK130" i="1"/>
  <c r="BJ130" i="1"/>
  <c r="FI130" i="1" s="1"/>
  <c r="BI130" i="1"/>
  <c r="BH130" i="1"/>
  <c r="BG130" i="1"/>
  <c r="GD130" i="1" s="1"/>
  <c r="BF130" i="1"/>
  <c r="BE130" i="1"/>
  <c r="BD130" i="1"/>
  <c r="BC130" i="1"/>
  <c r="BB130" i="1"/>
  <c r="BA130" i="1"/>
  <c r="AZ130" i="1"/>
  <c r="AY130" i="1"/>
  <c r="AX130" i="1"/>
  <c r="AW130" i="1"/>
  <c r="AV130" i="1"/>
  <c r="AU130" i="1"/>
  <c r="AT130" i="1"/>
  <c r="Z130" i="1"/>
  <c r="W130" i="1"/>
  <c r="T130" i="1"/>
  <c r="Q130" i="1"/>
  <c r="N130" i="1"/>
  <c r="K130" i="1"/>
  <c r="GF129" i="1"/>
  <c r="GB129" i="1"/>
  <c r="FX129" i="1"/>
  <c r="FT129" i="1"/>
  <c r="FP129" i="1"/>
  <c r="FL129" i="1"/>
  <c r="FG129" i="1"/>
  <c r="FC129" i="1"/>
  <c r="EY129" i="1"/>
  <c r="EU129" i="1"/>
  <c r="EQ129" i="1"/>
  <c r="EM129" i="1"/>
  <c r="EH129" i="1"/>
  <c r="ED129" i="1"/>
  <c r="DZ129" i="1"/>
  <c r="DV129" i="1"/>
  <c r="DR129" i="1"/>
  <c r="DN129" i="1"/>
  <c r="DI129" i="1"/>
  <c r="DE129" i="1"/>
  <c r="DA129" i="1"/>
  <c r="CW129" i="1"/>
  <c r="CS129" i="1"/>
  <c r="CO129" i="1"/>
  <c r="CN129" i="1"/>
  <c r="CM129" i="1"/>
  <c r="CL129" i="1"/>
  <c r="CG129" i="1"/>
  <c r="CC129" i="1"/>
  <c r="CB129" i="1"/>
  <c r="BY129" i="1"/>
  <c r="BU129" i="1"/>
  <c r="BQ129" i="1"/>
  <c r="BM129" i="1"/>
  <c r="BL129" i="1"/>
  <c r="BK129" i="1"/>
  <c r="BJ129" i="1"/>
  <c r="BI129" i="1"/>
  <c r="BH129" i="1"/>
  <c r="BG129" i="1"/>
  <c r="BF129" i="1"/>
  <c r="BE129" i="1"/>
  <c r="BD129" i="1"/>
  <c r="BC129" i="1"/>
  <c r="BB129" i="1"/>
  <c r="BA129" i="1"/>
  <c r="BW129" i="1" s="1"/>
  <c r="AZ129" i="1"/>
  <c r="AY129" i="1"/>
  <c r="FS129" i="1" s="1"/>
  <c r="AX129" i="1"/>
  <c r="DT129" i="1" s="1"/>
  <c r="AW129" i="1"/>
  <c r="AV129" i="1"/>
  <c r="EP129" i="1" s="1"/>
  <c r="AU129" i="1"/>
  <c r="EO129" i="1" s="1"/>
  <c r="AT129" i="1"/>
  <c r="Z129" i="1"/>
  <c r="W129" i="1"/>
  <c r="T129" i="1"/>
  <c r="Q129" i="1"/>
  <c r="N129" i="1"/>
  <c r="K129" i="1"/>
  <c r="GF128" i="1"/>
  <c r="GB128" i="1"/>
  <c r="FX128" i="1"/>
  <c r="FT128" i="1"/>
  <c r="FP128" i="1"/>
  <c r="FL128" i="1"/>
  <c r="FG128" i="1"/>
  <c r="FC128" i="1"/>
  <c r="EY128" i="1"/>
  <c r="EU128" i="1"/>
  <c r="EQ128" i="1"/>
  <c r="EM128" i="1"/>
  <c r="EH128" i="1"/>
  <c r="ED128" i="1"/>
  <c r="DZ128" i="1"/>
  <c r="DV128" i="1"/>
  <c r="DR128" i="1"/>
  <c r="DN128" i="1"/>
  <c r="DI128" i="1"/>
  <c r="DE128" i="1"/>
  <c r="DA128" i="1"/>
  <c r="CW128" i="1"/>
  <c r="CS128" i="1"/>
  <c r="CO128" i="1"/>
  <c r="CN128" i="1"/>
  <c r="CM128" i="1"/>
  <c r="CL128" i="1"/>
  <c r="CG128" i="1"/>
  <c r="CC128" i="1"/>
  <c r="BY128" i="1"/>
  <c r="BU128" i="1"/>
  <c r="BQ128" i="1"/>
  <c r="BM128" i="1"/>
  <c r="BL128" i="1"/>
  <c r="BK128" i="1"/>
  <c r="BJ128" i="1"/>
  <c r="BI128" i="1"/>
  <c r="BH128" i="1"/>
  <c r="BG128" i="1"/>
  <c r="FE128" i="1" s="1"/>
  <c r="BF128" i="1"/>
  <c r="FD128" i="1" s="1"/>
  <c r="BE128" i="1"/>
  <c r="BD128" i="1"/>
  <c r="BC128" i="1"/>
  <c r="FY128" i="1" s="1"/>
  <c r="BB128" i="1"/>
  <c r="BA128" i="1"/>
  <c r="AZ128" i="1"/>
  <c r="AY128" i="1"/>
  <c r="AX128" i="1"/>
  <c r="AW128" i="1"/>
  <c r="AV128" i="1"/>
  <c r="FO128" i="1" s="1"/>
  <c r="AU128" i="1"/>
  <c r="AT128" i="1"/>
  <c r="Z128" i="1"/>
  <c r="W128" i="1"/>
  <c r="T128" i="1"/>
  <c r="Q128" i="1"/>
  <c r="N128" i="1"/>
  <c r="K128" i="1"/>
  <c r="GF127" i="1"/>
  <c r="GB127" i="1"/>
  <c r="FX127" i="1"/>
  <c r="FT127" i="1"/>
  <c r="FP127" i="1"/>
  <c r="FL127" i="1"/>
  <c r="FG127" i="1"/>
  <c r="FC127" i="1"/>
  <c r="EY127" i="1"/>
  <c r="EU127" i="1"/>
  <c r="EQ127" i="1"/>
  <c r="EM127" i="1"/>
  <c r="EH127" i="1"/>
  <c r="ED127" i="1"/>
  <c r="DZ127" i="1"/>
  <c r="DV127" i="1"/>
  <c r="DR127" i="1"/>
  <c r="DN127" i="1"/>
  <c r="DI127" i="1"/>
  <c r="DE127" i="1"/>
  <c r="DA127" i="1"/>
  <c r="CW127" i="1"/>
  <c r="CS127" i="1"/>
  <c r="CO127" i="1"/>
  <c r="CN127" i="1"/>
  <c r="CM127" i="1"/>
  <c r="CL127" i="1"/>
  <c r="CG127" i="1"/>
  <c r="CC127" i="1"/>
  <c r="BY127" i="1"/>
  <c r="BU127" i="1"/>
  <c r="BQ127" i="1"/>
  <c r="BM127" i="1"/>
  <c r="BL127" i="1"/>
  <c r="BK127" i="1"/>
  <c r="BJ127" i="1"/>
  <c r="BI127" i="1"/>
  <c r="BH127" i="1"/>
  <c r="BG127" i="1"/>
  <c r="BF127" i="1"/>
  <c r="BE127" i="1"/>
  <c r="BD127" i="1"/>
  <c r="BC127" i="1"/>
  <c r="BB127" i="1"/>
  <c r="BA127" i="1"/>
  <c r="AZ127" i="1"/>
  <c r="AY127" i="1"/>
  <c r="DU127" i="1" s="1"/>
  <c r="AX127" i="1"/>
  <c r="AW127" i="1"/>
  <c r="AV127" i="1"/>
  <c r="AU127" i="1"/>
  <c r="AT127" i="1"/>
  <c r="Z127" i="1"/>
  <c r="W127" i="1"/>
  <c r="T127" i="1"/>
  <c r="Q127" i="1"/>
  <c r="N127" i="1"/>
  <c r="K127" i="1"/>
  <c r="GF126" i="1"/>
  <c r="GB126" i="1"/>
  <c r="GE126" i="1" s="1"/>
  <c r="FX126" i="1"/>
  <c r="FT126" i="1"/>
  <c r="FP126" i="1"/>
  <c r="FS126" i="1" s="1"/>
  <c r="FL126" i="1"/>
  <c r="FG126" i="1"/>
  <c r="FC126" i="1"/>
  <c r="EY126" i="1"/>
  <c r="EU126" i="1"/>
  <c r="EQ126" i="1"/>
  <c r="EM126" i="1"/>
  <c r="EH126" i="1"/>
  <c r="EI126" i="1" s="1"/>
  <c r="ED126" i="1"/>
  <c r="DZ126" i="1"/>
  <c r="DV126" i="1"/>
  <c r="DR126" i="1"/>
  <c r="DN126" i="1"/>
  <c r="DI126" i="1"/>
  <c r="DE126" i="1"/>
  <c r="DA126" i="1"/>
  <c r="CW126" i="1"/>
  <c r="CS126" i="1"/>
  <c r="CV126" i="1" s="1"/>
  <c r="CO126" i="1"/>
  <c r="CN126" i="1"/>
  <c r="CM126" i="1"/>
  <c r="CL126" i="1"/>
  <c r="CG126" i="1"/>
  <c r="CC126" i="1"/>
  <c r="BY126" i="1"/>
  <c r="BU126" i="1"/>
  <c r="BQ126" i="1"/>
  <c r="BM126" i="1"/>
  <c r="BL126" i="1"/>
  <c r="BK126" i="1"/>
  <c r="EK126" i="1" s="1"/>
  <c r="BJ126" i="1"/>
  <c r="BI126" i="1"/>
  <c r="BH126" i="1"/>
  <c r="BG126" i="1"/>
  <c r="BF126" i="1"/>
  <c r="BE126" i="1"/>
  <c r="CB126" i="1" s="1"/>
  <c r="BD126" i="1"/>
  <c r="BC126" i="1"/>
  <c r="BB126" i="1"/>
  <c r="BA126" i="1"/>
  <c r="AZ126" i="1"/>
  <c r="AY126" i="1"/>
  <c r="AX126" i="1"/>
  <c r="DT126" i="1" s="1"/>
  <c r="AW126" i="1"/>
  <c r="AV126" i="1"/>
  <c r="AU126" i="1"/>
  <c r="EO126" i="1" s="1"/>
  <c r="AT126" i="1"/>
  <c r="DO126" i="1" s="1"/>
  <c r="Z126" i="1"/>
  <c r="W126" i="1"/>
  <c r="T126" i="1"/>
  <c r="Q126" i="1"/>
  <c r="N126" i="1"/>
  <c r="K126" i="1"/>
  <c r="GF125" i="1"/>
  <c r="GB125" i="1"/>
  <c r="FX125" i="1"/>
  <c r="FT125" i="1"/>
  <c r="FP125" i="1"/>
  <c r="FL125" i="1"/>
  <c r="FO125" i="1" s="1"/>
  <c r="FG125" i="1"/>
  <c r="FC125" i="1"/>
  <c r="EY125" i="1"/>
  <c r="EU125" i="1"/>
  <c r="EQ125" i="1"/>
  <c r="EM125" i="1"/>
  <c r="EH125" i="1"/>
  <c r="ED125" i="1"/>
  <c r="DZ125" i="1"/>
  <c r="DV125" i="1"/>
  <c r="DY125" i="1" s="1"/>
  <c r="DR125" i="1"/>
  <c r="DN125" i="1"/>
  <c r="DI125" i="1"/>
  <c r="DE125" i="1"/>
  <c r="DA125" i="1"/>
  <c r="CW125" i="1"/>
  <c r="CS125" i="1"/>
  <c r="CO125" i="1"/>
  <c r="CN125" i="1"/>
  <c r="CM125" i="1"/>
  <c r="CL125" i="1"/>
  <c r="CG125" i="1"/>
  <c r="CC125" i="1"/>
  <c r="BY125" i="1"/>
  <c r="BU125" i="1"/>
  <c r="BQ125" i="1"/>
  <c r="BM125" i="1"/>
  <c r="BL125" i="1"/>
  <c r="BK125" i="1"/>
  <c r="BJ125" i="1"/>
  <c r="BI125" i="1"/>
  <c r="BH125" i="1"/>
  <c r="BG125" i="1"/>
  <c r="BF125" i="1"/>
  <c r="BE125" i="1"/>
  <c r="BD125" i="1"/>
  <c r="BC125" i="1"/>
  <c r="BB125" i="1"/>
  <c r="BA125" i="1"/>
  <c r="AZ125" i="1"/>
  <c r="AY125" i="1"/>
  <c r="ET125" i="1" s="1"/>
  <c r="AX125" i="1"/>
  <c r="ES125" i="1" s="1"/>
  <c r="AW125" i="1"/>
  <c r="AV125" i="1"/>
  <c r="AU125" i="1"/>
  <c r="AT125" i="1"/>
  <c r="Z125" i="1"/>
  <c r="W125" i="1"/>
  <c r="T125" i="1"/>
  <c r="Q125" i="1"/>
  <c r="N125" i="1"/>
  <c r="K125" i="1"/>
  <c r="GF124" i="1"/>
  <c r="GB124" i="1"/>
  <c r="FX124" i="1"/>
  <c r="FT124" i="1"/>
  <c r="FP124" i="1"/>
  <c r="FL124" i="1"/>
  <c r="FG124" i="1"/>
  <c r="FC124" i="1"/>
  <c r="EY124" i="1"/>
  <c r="EU124" i="1"/>
  <c r="EQ124" i="1"/>
  <c r="EM124" i="1"/>
  <c r="EH124" i="1"/>
  <c r="ED124" i="1"/>
  <c r="DZ124" i="1"/>
  <c r="DV124" i="1"/>
  <c r="DR124" i="1"/>
  <c r="DN124" i="1"/>
  <c r="DI124" i="1"/>
  <c r="DE124" i="1"/>
  <c r="DA124" i="1"/>
  <c r="CW124" i="1"/>
  <c r="CS124" i="1"/>
  <c r="CO124" i="1"/>
  <c r="CN124" i="1"/>
  <c r="CM124" i="1"/>
  <c r="CL124" i="1"/>
  <c r="CG124" i="1"/>
  <c r="CC124" i="1"/>
  <c r="BY124" i="1"/>
  <c r="BU124" i="1"/>
  <c r="BQ124" i="1"/>
  <c r="BM124" i="1"/>
  <c r="BL124" i="1"/>
  <c r="BK124" i="1"/>
  <c r="BJ124" i="1"/>
  <c r="GH124" i="1" s="1"/>
  <c r="BI124" i="1"/>
  <c r="BH124" i="1"/>
  <c r="BG124" i="1"/>
  <c r="GD124" i="1" s="1"/>
  <c r="BF124" i="1"/>
  <c r="BE124" i="1"/>
  <c r="BD124" i="1"/>
  <c r="BC124" i="1"/>
  <c r="BB124" i="1"/>
  <c r="BA124" i="1"/>
  <c r="AZ124" i="1"/>
  <c r="AY124" i="1"/>
  <c r="AX124" i="1"/>
  <c r="AW124" i="1"/>
  <c r="AV124" i="1"/>
  <c r="AU124" i="1"/>
  <c r="AT124" i="1"/>
  <c r="Z124" i="1"/>
  <c r="W124" i="1"/>
  <c r="T124" i="1"/>
  <c r="Q124" i="1"/>
  <c r="N124" i="1"/>
  <c r="K124" i="1"/>
  <c r="GF123" i="1"/>
  <c r="GB123" i="1"/>
  <c r="FX123" i="1"/>
  <c r="FT123" i="1"/>
  <c r="FP123" i="1"/>
  <c r="FL123" i="1"/>
  <c r="FG123" i="1"/>
  <c r="FC123" i="1"/>
  <c r="EY123" i="1"/>
  <c r="EU123" i="1"/>
  <c r="EQ123" i="1"/>
  <c r="EM123" i="1"/>
  <c r="EH123" i="1"/>
  <c r="ED123" i="1"/>
  <c r="DZ123" i="1"/>
  <c r="DV123" i="1"/>
  <c r="DR123" i="1"/>
  <c r="DN123" i="1"/>
  <c r="DI123" i="1"/>
  <c r="DE123" i="1"/>
  <c r="DA123" i="1"/>
  <c r="CW123" i="1"/>
  <c r="CS123" i="1"/>
  <c r="CO123" i="1"/>
  <c r="CN123" i="1"/>
  <c r="CM123" i="1"/>
  <c r="CL123" i="1"/>
  <c r="CG123" i="1"/>
  <c r="CC123" i="1"/>
  <c r="BY123" i="1"/>
  <c r="BU123" i="1"/>
  <c r="BQ123" i="1"/>
  <c r="BM123" i="1"/>
  <c r="BL123" i="1"/>
  <c r="BK123" i="1"/>
  <c r="BJ123" i="1"/>
  <c r="BI123" i="1"/>
  <c r="BH123" i="1"/>
  <c r="BG123" i="1"/>
  <c r="BF123" i="1"/>
  <c r="BE123" i="1"/>
  <c r="CB123" i="1" s="1"/>
  <c r="BD123" i="1"/>
  <c r="BC123" i="1"/>
  <c r="BB123" i="1"/>
  <c r="BA123" i="1"/>
  <c r="CY123" i="1" s="1"/>
  <c r="AZ123" i="1"/>
  <c r="AY123" i="1"/>
  <c r="DU123" i="1" s="1"/>
  <c r="AX123" i="1"/>
  <c r="AW123" i="1"/>
  <c r="AV123" i="1"/>
  <c r="AU123" i="1"/>
  <c r="AT123" i="1"/>
  <c r="Z123" i="1"/>
  <c r="W123" i="1"/>
  <c r="T123" i="1"/>
  <c r="Q123" i="1"/>
  <c r="N123" i="1"/>
  <c r="K123" i="1"/>
  <c r="GF122" i="1"/>
  <c r="GB122" i="1"/>
  <c r="FX122" i="1"/>
  <c r="FT122" i="1"/>
  <c r="FP122" i="1"/>
  <c r="FL122" i="1"/>
  <c r="FG122" i="1"/>
  <c r="FC122" i="1"/>
  <c r="EY122" i="1"/>
  <c r="EU122" i="1"/>
  <c r="EQ122" i="1"/>
  <c r="EM122" i="1"/>
  <c r="EH122" i="1"/>
  <c r="ED122" i="1"/>
  <c r="DZ122" i="1"/>
  <c r="DV122" i="1"/>
  <c r="DR122" i="1"/>
  <c r="DN122" i="1"/>
  <c r="DI122" i="1"/>
  <c r="DE122" i="1"/>
  <c r="DA122" i="1"/>
  <c r="CW122" i="1"/>
  <c r="CS122" i="1"/>
  <c r="CO122" i="1"/>
  <c r="CN122" i="1"/>
  <c r="CM122" i="1"/>
  <c r="CL122" i="1"/>
  <c r="CG122" i="1"/>
  <c r="CC122" i="1"/>
  <c r="BY122" i="1"/>
  <c r="BU122" i="1"/>
  <c r="BQ122" i="1"/>
  <c r="BR122" i="1" s="1"/>
  <c r="BM122" i="1"/>
  <c r="BL122" i="1"/>
  <c r="BK122" i="1"/>
  <c r="BJ122" i="1"/>
  <c r="BI122" i="1"/>
  <c r="BH122" i="1"/>
  <c r="BG122" i="1"/>
  <c r="BF122" i="1"/>
  <c r="BE122" i="1"/>
  <c r="EC122" i="1" s="1"/>
  <c r="BD122" i="1"/>
  <c r="FA122" i="1" s="1"/>
  <c r="BC122" i="1"/>
  <c r="BB122" i="1"/>
  <c r="BA122" i="1"/>
  <c r="AZ122" i="1"/>
  <c r="AY122" i="1"/>
  <c r="AX122" i="1"/>
  <c r="AW122" i="1"/>
  <c r="AV122" i="1"/>
  <c r="AU122" i="1"/>
  <c r="AT122" i="1"/>
  <c r="Z122" i="1"/>
  <c r="W122" i="1"/>
  <c r="T122" i="1"/>
  <c r="Q122" i="1"/>
  <c r="N122" i="1"/>
  <c r="K122" i="1"/>
  <c r="GF121" i="1"/>
  <c r="GB121" i="1"/>
  <c r="FX121" i="1"/>
  <c r="FT121" i="1"/>
  <c r="FP121" i="1"/>
  <c r="FQ121" i="1" s="1"/>
  <c r="FL121" i="1"/>
  <c r="FG121" i="1"/>
  <c r="FC121" i="1"/>
  <c r="EY121" i="1"/>
  <c r="EU121" i="1"/>
  <c r="EQ121" i="1"/>
  <c r="EM121" i="1"/>
  <c r="EH121" i="1"/>
  <c r="EF121" i="1"/>
  <c r="ED121" i="1"/>
  <c r="DZ121" i="1"/>
  <c r="DV121" i="1"/>
  <c r="DR121" i="1"/>
  <c r="DN121" i="1"/>
  <c r="DI121" i="1"/>
  <c r="DE121" i="1"/>
  <c r="DA121" i="1"/>
  <c r="CW121" i="1"/>
  <c r="CS121" i="1"/>
  <c r="CT121" i="1" s="1"/>
  <c r="CO121" i="1"/>
  <c r="CN121" i="1"/>
  <c r="CM121" i="1"/>
  <c r="CL121" i="1"/>
  <c r="CG121" i="1"/>
  <c r="CC121" i="1"/>
  <c r="BY121" i="1"/>
  <c r="BU121" i="1"/>
  <c r="BQ121" i="1"/>
  <c r="BR121" i="1" s="1"/>
  <c r="BM121" i="1"/>
  <c r="BL121" i="1"/>
  <c r="BK121" i="1"/>
  <c r="CJ121" i="1" s="1"/>
  <c r="BJ121" i="1"/>
  <c r="CI121" i="1" s="1"/>
  <c r="BI121" i="1"/>
  <c r="BH121" i="1"/>
  <c r="BG121" i="1"/>
  <c r="CE121" i="1" s="1"/>
  <c r="BF121" i="1"/>
  <c r="BE121" i="1"/>
  <c r="BD121" i="1"/>
  <c r="DC121" i="1" s="1"/>
  <c r="BC121" i="1"/>
  <c r="BB121" i="1"/>
  <c r="BA121" i="1"/>
  <c r="EW121" i="1" s="1"/>
  <c r="AZ121" i="1"/>
  <c r="AY121" i="1"/>
  <c r="AX121" i="1"/>
  <c r="DT121" i="1" s="1"/>
  <c r="AW121" i="1"/>
  <c r="AV121" i="1"/>
  <c r="AU121" i="1"/>
  <c r="BO121" i="1" s="1"/>
  <c r="AT121" i="1"/>
  <c r="Z121" i="1"/>
  <c r="W121" i="1"/>
  <c r="T121" i="1"/>
  <c r="Q121" i="1"/>
  <c r="N121" i="1"/>
  <c r="K121" i="1"/>
  <c r="GF120" i="1"/>
  <c r="GB120" i="1"/>
  <c r="FX120" i="1"/>
  <c r="FT120" i="1"/>
  <c r="FP120" i="1"/>
  <c r="FL120" i="1"/>
  <c r="FG120" i="1"/>
  <c r="FC120" i="1"/>
  <c r="EY120" i="1"/>
  <c r="EU120" i="1"/>
  <c r="EQ120" i="1"/>
  <c r="EM120" i="1"/>
  <c r="EH120" i="1"/>
  <c r="ED120" i="1"/>
  <c r="DZ120" i="1"/>
  <c r="DV120" i="1"/>
  <c r="DR120" i="1"/>
  <c r="DN120" i="1"/>
  <c r="DI120" i="1"/>
  <c r="DE120" i="1"/>
  <c r="DA120" i="1"/>
  <c r="CW120" i="1"/>
  <c r="CS120" i="1"/>
  <c r="CO120" i="1"/>
  <c r="CN120" i="1"/>
  <c r="CM120" i="1"/>
  <c r="CL120" i="1"/>
  <c r="CG120" i="1"/>
  <c r="CC120" i="1"/>
  <c r="BY120" i="1"/>
  <c r="BU120" i="1"/>
  <c r="BQ120" i="1"/>
  <c r="BM120" i="1"/>
  <c r="BP120" i="1" s="1"/>
  <c r="BL120" i="1"/>
  <c r="BK120" i="1"/>
  <c r="BJ120" i="1"/>
  <c r="BI120" i="1"/>
  <c r="BH120" i="1"/>
  <c r="BG120" i="1"/>
  <c r="BF120" i="1"/>
  <c r="BE120" i="1"/>
  <c r="BD120" i="1"/>
  <c r="BC120" i="1"/>
  <c r="BB120" i="1"/>
  <c r="BA120" i="1"/>
  <c r="AZ120" i="1"/>
  <c r="AY120" i="1"/>
  <c r="AX120" i="1"/>
  <c r="AW120" i="1"/>
  <c r="AV120" i="1"/>
  <c r="AU120" i="1"/>
  <c r="AT120" i="1"/>
  <c r="Z120" i="1"/>
  <c r="W120" i="1"/>
  <c r="T120" i="1"/>
  <c r="Q120" i="1"/>
  <c r="N120" i="1"/>
  <c r="K120" i="1"/>
  <c r="GF119" i="1"/>
  <c r="GB119" i="1"/>
  <c r="FX119" i="1"/>
  <c r="FT119" i="1"/>
  <c r="FP119" i="1"/>
  <c r="FL119" i="1"/>
  <c r="FG119" i="1"/>
  <c r="FC119" i="1"/>
  <c r="EY119" i="1"/>
  <c r="EU119" i="1"/>
  <c r="EQ119" i="1"/>
  <c r="EM119" i="1"/>
  <c r="EH119" i="1"/>
  <c r="ED119" i="1"/>
  <c r="DZ119" i="1"/>
  <c r="DV119" i="1"/>
  <c r="DR119" i="1"/>
  <c r="DN119" i="1"/>
  <c r="DI119" i="1"/>
  <c r="DE119" i="1"/>
  <c r="DA119" i="1"/>
  <c r="CW119" i="1"/>
  <c r="CS119" i="1"/>
  <c r="CO119" i="1"/>
  <c r="CN119" i="1"/>
  <c r="CM119" i="1"/>
  <c r="CL119" i="1"/>
  <c r="CG119" i="1"/>
  <c r="CC119" i="1"/>
  <c r="BY119" i="1"/>
  <c r="BU119" i="1"/>
  <c r="BQ119" i="1"/>
  <c r="BM119" i="1"/>
  <c r="BL119" i="1"/>
  <c r="BK119" i="1"/>
  <c r="BJ119" i="1"/>
  <c r="BI119" i="1"/>
  <c r="BH119" i="1"/>
  <c r="BG119" i="1"/>
  <c r="BF119" i="1"/>
  <c r="BE119" i="1"/>
  <c r="BD119" i="1"/>
  <c r="DC119" i="1" s="1"/>
  <c r="BC119" i="1"/>
  <c r="BB119" i="1"/>
  <c r="BA119" i="1"/>
  <c r="AZ119" i="1"/>
  <c r="AY119" i="1"/>
  <c r="AX119" i="1"/>
  <c r="AW119" i="1"/>
  <c r="AV119" i="1"/>
  <c r="AU119" i="1"/>
  <c r="AT119" i="1"/>
  <c r="Z119" i="1"/>
  <c r="W119" i="1"/>
  <c r="T119" i="1"/>
  <c r="Q119" i="1"/>
  <c r="N119" i="1"/>
  <c r="K119" i="1"/>
  <c r="GF118" i="1"/>
  <c r="GB118" i="1"/>
  <c r="FX118" i="1"/>
  <c r="FT118" i="1"/>
  <c r="FP118" i="1"/>
  <c r="FL118" i="1"/>
  <c r="FG118" i="1"/>
  <c r="FC118" i="1"/>
  <c r="EY118" i="1"/>
  <c r="EU118" i="1"/>
  <c r="EQ118" i="1"/>
  <c r="EM118" i="1"/>
  <c r="EH118" i="1"/>
  <c r="ED118" i="1"/>
  <c r="DZ118" i="1"/>
  <c r="DV118" i="1"/>
  <c r="DR118" i="1"/>
  <c r="DN118" i="1"/>
  <c r="DI118" i="1"/>
  <c r="DE118" i="1"/>
  <c r="DA118" i="1"/>
  <c r="CW118" i="1"/>
  <c r="CS118" i="1"/>
  <c r="CO118" i="1"/>
  <c r="CN118" i="1"/>
  <c r="CM118" i="1"/>
  <c r="CL118" i="1"/>
  <c r="CG118" i="1"/>
  <c r="CC118" i="1"/>
  <c r="BY118" i="1"/>
  <c r="BU118" i="1"/>
  <c r="BQ118" i="1"/>
  <c r="BM118" i="1"/>
  <c r="BL118" i="1"/>
  <c r="BK118" i="1"/>
  <c r="BJ118" i="1"/>
  <c r="BI118" i="1"/>
  <c r="BH118" i="1"/>
  <c r="BG118" i="1"/>
  <c r="BF118" i="1"/>
  <c r="BE118" i="1"/>
  <c r="BD118" i="1"/>
  <c r="BC118" i="1"/>
  <c r="BB118" i="1"/>
  <c r="BA118" i="1"/>
  <c r="AZ118" i="1"/>
  <c r="AY118" i="1"/>
  <c r="AX118" i="1"/>
  <c r="AW118" i="1"/>
  <c r="AV118" i="1"/>
  <c r="AU118" i="1"/>
  <c r="AT118" i="1"/>
  <c r="Z118" i="1"/>
  <c r="W118" i="1"/>
  <c r="T118" i="1"/>
  <c r="Q118" i="1"/>
  <c r="N118" i="1"/>
  <c r="K118" i="1"/>
  <c r="GF117" i="1"/>
  <c r="GB117" i="1"/>
  <c r="FX117" i="1"/>
  <c r="FT117" i="1"/>
  <c r="FP117" i="1"/>
  <c r="FL117" i="1"/>
  <c r="FG117" i="1"/>
  <c r="FC117" i="1"/>
  <c r="EY117" i="1"/>
  <c r="EU117" i="1"/>
  <c r="EQ117" i="1"/>
  <c r="EM117" i="1"/>
  <c r="EH117" i="1"/>
  <c r="ED117" i="1"/>
  <c r="DZ117" i="1"/>
  <c r="DV117" i="1"/>
  <c r="DR117" i="1"/>
  <c r="DN117" i="1"/>
  <c r="DI117" i="1"/>
  <c r="DE117" i="1"/>
  <c r="DA117" i="1"/>
  <c r="CW117" i="1"/>
  <c r="CS117" i="1"/>
  <c r="CO117" i="1"/>
  <c r="CN117" i="1"/>
  <c r="CM117" i="1"/>
  <c r="CL117" i="1"/>
  <c r="CG117" i="1"/>
  <c r="CC117" i="1"/>
  <c r="BY117" i="1"/>
  <c r="BU117" i="1"/>
  <c r="BQ117" i="1"/>
  <c r="BM117" i="1"/>
  <c r="BL117" i="1"/>
  <c r="BK117" i="1"/>
  <c r="BJ117" i="1"/>
  <c r="BI117" i="1"/>
  <c r="BH117" i="1"/>
  <c r="BG117" i="1"/>
  <c r="BF117" i="1"/>
  <c r="BE117" i="1"/>
  <c r="BD117" i="1"/>
  <c r="BC117" i="1"/>
  <c r="BB117" i="1"/>
  <c r="BA117" i="1"/>
  <c r="CY117" i="1" s="1"/>
  <c r="AZ117" i="1"/>
  <c r="DW117" i="1" s="1"/>
  <c r="AY117" i="1"/>
  <c r="AX117" i="1"/>
  <c r="DT117" i="1" s="1"/>
  <c r="AW117" i="1"/>
  <c r="AV117" i="1"/>
  <c r="AU117" i="1"/>
  <c r="AT117" i="1"/>
  <c r="Z117" i="1"/>
  <c r="W117" i="1"/>
  <c r="T117" i="1"/>
  <c r="Q117" i="1"/>
  <c r="N117" i="1"/>
  <c r="K117" i="1"/>
  <c r="GF116" i="1"/>
  <c r="GB116" i="1"/>
  <c r="FX116" i="1"/>
  <c r="FT116" i="1"/>
  <c r="FP116" i="1"/>
  <c r="FL116" i="1"/>
  <c r="FG116" i="1"/>
  <c r="FC116" i="1"/>
  <c r="EY116" i="1"/>
  <c r="EU116" i="1"/>
  <c r="EQ116" i="1"/>
  <c r="EM116" i="1"/>
  <c r="EH116" i="1"/>
  <c r="ED116" i="1"/>
  <c r="DZ116" i="1"/>
  <c r="DV116" i="1"/>
  <c r="DR116" i="1"/>
  <c r="DN116" i="1"/>
  <c r="DI116" i="1"/>
  <c r="DE116" i="1"/>
  <c r="DA116" i="1"/>
  <c r="CW116" i="1"/>
  <c r="CS116" i="1"/>
  <c r="CO116" i="1"/>
  <c r="CN116" i="1"/>
  <c r="CM116" i="1"/>
  <c r="CL116" i="1"/>
  <c r="CG116" i="1"/>
  <c r="CC116" i="1"/>
  <c r="BY116" i="1"/>
  <c r="BU116" i="1"/>
  <c r="BQ116" i="1"/>
  <c r="BM116" i="1"/>
  <c r="BL116" i="1"/>
  <c r="BK116" i="1"/>
  <c r="BJ116" i="1"/>
  <c r="BI116" i="1"/>
  <c r="BH116" i="1"/>
  <c r="BG116" i="1"/>
  <c r="BF116" i="1"/>
  <c r="BE116" i="1"/>
  <c r="BD116" i="1"/>
  <c r="BC116" i="1"/>
  <c r="BB116" i="1"/>
  <c r="BA116" i="1"/>
  <c r="AZ116" i="1"/>
  <c r="AY116" i="1"/>
  <c r="AX116" i="1"/>
  <c r="AW116" i="1"/>
  <c r="AV116" i="1"/>
  <c r="AU116" i="1"/>
  <c r="BO116" i="1" s="1"/>
  <c r="AT116" i="1"/>
  <c r="Z116" i="1"/>
  <c r="W116" i="1"/>
  <c r="T116" i="1"/>
  <c r="Q116" i="1"/>
  <c r="N116" i="1"/>
  <c r="K116" i="1"/>
  <c r="GF115" i="1"/>
  <c r="GB115" i="1"/>
  <c r="FX115" i="1"/>
  <c r="FT115" i="1"/>
  <c r="FP115" i="1"/>
  <c r="FL115" i="1"/>
  <c r="FG115" i="1"/>
  <c r="FC115" i="1"/>
  <c r="EY115" i="1"/>
  <c r="EU115" i="1"/>
  <c r="EQ115" i="1"/>
  <c r="EM115" i="1"/>
  <c r="EH115" i="1"/>
  <c r="ED115" i="1"/>
  <c r="DZ115" i="1"/>
  <c r="DV115" i="1"/>
  <c r="DR115" i="1"/>
  <c r="DN115" i="1"/>
  <c r="DI115" i="1"/>
  <c r="DE115" i="1"/>
  <c r="DA115" i="1"/>
  <c r="CW115" i="1"/>
  <c r="CS115" i="1"/>
  <c r="CO115" i="1"/>
  <c r="CN115" i="1"/>
  <c r="CM115" i="1"/>
  <c r="CL115" i="1"/>
  <c r="CG115" i="1"/>
  <c r="CC115" i="1"/>
  <c r="BY115" i="1"/>
  <c r="BU115" i="1"/>
  <c r="BQ115" i="1"/>
  <c r="BM115" i="1"/>
  <c r="BL115" i="1"/>
  <c r="BK115" i="1"/>
  <c r="BJ115" i="1"/>
  <c r="BI115" i="1"/>
  <c r="BH115" i="1"/>
  <c r="BG115" i="1"/>
  <c r="BF115" i="1"/>
  <c r="BE115" i="1"/>
  <c r="BD115" i="1"/>
  <c r="DC115" i="1" s="1"/>
  <c r="BC115" i="1"/>
  <c r="BB115" i="1"/>
  <c r="BA115" i="1"/>
  <c r="AZ115" i="1"/>
  <c r="AY115" i="1"/>
  <c r="AX115" i="1"/>
  <c r="AW115" i="1"/>
  <c r="AV115" i="1"/>
  <c r="AU115" i="1"/>
  <c r="AT115" i="1"/>
  <c r="Z115" i="1"/>
  <c r="W115" i="1"/>
  <c r="T115" i="1"/>
  <c r="Q115" i="1"/>
  <c r="N115" i="1"/>
  <c r="K115" i="1"/>
  <c r="GF114" i="1"/>
  <c r="GB114" i="1"/>
  <c r="FX114" i="1"/>
  <c r="FT114" i="1"/>
  <c r="FP114" i="1"/>
  <c r="FL114" i="1"/>
  <c r="FG114" i="1"/>
  <c r="FC114" i="1"/>
  <c r="EY114" i="1"/>
  <c r="EU114" i="1"/>
  <c r="EQ114" i="1"/>
  <c r="EM114" i="1"/>
  <c r="EH114" i="1"/>
  <c r="ED114" i="1"/>
  <c r="DZ114" i="1"/>
  <c r="DV114" i="1"/>
  <c r="DR114" i="1"/>
  <c r="DN114" i="1"/>
  <c r="DI114" i="1"/>
  <c r="DE114" i="1"/>
  <c r="DA114" i="1"/>
  <c r="CW114" i="1"/>
  <c r="CS114" i="1"/>
  <c r="CQ114" i="1"/>
  <c r="CO114" i="1"/>
  <c r="CN114" i="1"/>
  <c r="CM114" i="1"/>
  <c r="CL114" i="1"/>
  <c r="CG114" i="1"/>
  <c r="CC114" i="1"/>
  <c r="BY114" i="1"/>
  <c r="BU114" i="1"/>
  <c r="BQ114" i="1"/>
  <c r="BM114" i="1"/>
  <c r="BL114" i="1"/>
  <c r="BK114" i="1"/>
  <c r="BJ114" i="1"/>
  <c r="BI114" i="1"/>
  <c r="BH114" i="1"/>
  <c r="BG114" i="1"/>
  <c r="BF114" i="1"/>
  <c r="BE114" i="1"/>
  <c r="BD114" i="1"/>
  <c r="BC114" i="1"/>
  <c r="BB114" i="1"/>
  <c r="BA114" i="1"/>
  <c r="DX114" i="1" s="1"/>
  <c r="AZ114" i="1"/>
  <c r="AY114" i="1"/>
  <c r="AX114" i="1"/>
  <c r="AW114" i="1"/>
  <c r="AV114" i="1"/>
  <c r="AU114" i="1"/>
  <c r="AT114" i="1"/>
  <c r="CP114" i="1" s="1"/>
  <c r="Z114" i="1"/>
  <c r="W114" i="1"/>
  <c r="T114" i="1"/>
  <c r="Q114" i="1"/>
  <c r="N114" i="1"/>
  <c r="K114" i="1"/>
  <c r="GF113" i="1"/>
  <c r="GB113" i="1"/>
  <c r="FX113" i="1"/>
  <c r="FT113" i="1"/>
  <c r="FP113" i="1"/>
  <c r="FL113" i="1"/>
  <c r="FG113" i="1"/>
  <c r="FC113" i="1"/>
  <c r="EY113" i="1"/>
  <c r="EU113" i="1"/>
  <c r="EQ113" i="1"/>
  <c r="EM113" i="1"/>
  <c r="EH113" i="1"/>
  <c r="ED113" i="1"/>
  <c r="DZ113" i="1"/>
  <c r="DV113" i="1"/>
  <c r="DR113" i="1"/>
  <c r="DN113" i="1"/>
  <c r="DI113" i="1"/>
  <c r="DE113" i="1"/>
  <c r="DA113" i="1"/>
  <c r="CW113" i="1"/>
  <c r="CS113" i="1"/>
  <c r="CO113" i="1"/>
  <c r="CN113" i="1"/>
  <c r="CM113" i="1"/>
  <c r="CL113" i="1"/>
  <c r="CG113" i="1"/>
  <c r="CC113" i="1"/>
  <c r="BY113" i="1"/>
  <c r="BU113" i="1"/>
  <c r="BQ113" i="1"/>
  <c r="BM113" i="1"/>
  <c r="BL113" i="1"/>
  <c r="BK113" i="1"/>
  <c r="BJ113" i="1"/>
  <c r="BI113" i="1"/>
  <c r="BH113" i="1"/>
  <c r="BG113" i="1"/>
  <c r="BF113" i="1"/>
  <c r="BE113" i="1"/>
  <c r="BD113" i="1"/>
  <c r="BC113" i="1"/>
  <c r="DB113" i="1" s="1"/>
  <c r="BB113" i="1"/>
  <c r="BA113" i="1"/>
  <c r="AZ113" i="1"/>
  <c r="AY113" i="1"/>
  <c r="AX113" i="1"/>
  <c r="AW113" i="1"/>
  <c r="AV113" i="1"/>
  <c r="AU113" i="1"/>
  <c r="AT113" i="1"/>
  <c r="Z113" i="1"/>
  <c r="W113" i="1"/>
  <c r="T113" i="1"/>
  <c r="Q113" i="1"/>
  <c r="N113" i="1"/>
  <c r="K113" i="1"/>
  <c r="GF112" i="1"/>
  <c r="GB112" i="1"/>
  <c r="FX112" i="1"/>
  <c r="FT112" i="1"/>
  <c r="FP112" i="1"/>
  <c r="FL112" i="1"/>
  <c r="FG112" i="1"/>
  <c r="FC112" i="1"/>
  <c r="EY112" i="1"/>
  <c r="EU112" i="1"/>
  <c r="EQ112" i="1"/>
  <c r="EM112" i="1"/>
  <c r="EH112" i="1"/>
  <c r="ED112" i="1"/>
  <c r="DZ112" i="1"/>
  <c r="DV112" i="1"/>
  <c r="DR112" i="1"/>
  <c r="DN112" i="1"/>
  <c r="DI112" i="1"/>
  <c r="DE112" i="1"/>
  <c r="DA112" i="1"/>
  <c r="CW112" i="1"/>
  <c r="CS112" i="1"/>
  <c r="CO112" i="1"/>
  <c r="CN112" i="1"/>
  <c r="CM112" i="1"/>
  <c r="CL112" i="1"/>
  <c r="CG112" i="1"/>
  <c r="CC112" i="1"/>
  <c r="BY112" i="1"/>
  <c r="BU112" i="1"/>
  <c r="BQ112" i="1"/>
  <c r="BM112" i="1"/>
  <c r="BL112" i="1"/>
  <c r="BK112" i="1"/>
  <c r="BJ112" i="1"/>
  <c r="BI112" i="1"/>
  <c r="BH112" i="1"/>
  <c r="BG112" i="1"/>
  <c r="BF112" i="1"/>
  <c r="BE112" i="1"/>
  <c r="BD112" i="1"/>
  <c r="BC112" i="1"/>
  <c r="BB112" i="1"/>
  <c r="BA112" i="1"/>
  <c r="FV112" i="1" s="1"/>
  <c r="AZ112" i="1"/>
  <c r="AY112" i="1"/>
  <c r="AX112" i="1"/>
  <c r="AW112" i="1"/>
  <c r="AV112" i="1"/>
  <c r="AU112" i="1"/>
  <c r="EO112" i="1" s="1"/>
  <c r="AT112" i="1"/>
  <c r="Z112" i="1"/>
  <c r="W112" i="1"/>
  <c r="T112" i="1"/>
  <c r="Q112" i="1"/>
  <c r="N112" i="1"/>
  <c r="K112" i="1"/>
  <c r="GF111" i="1"/>
  <c r="GB111" i="1"/>
  <c r="FX111" i="1"/>
  <c r="FT111" i="1"/>
  <c r="FP111" i="1"/>
  <c r="FL111" i="1"/>
  <c r="FG111" i="1"/>
  <c r="FC111" i="1"/>
  <c r="EY111" i="1"/>
  <c r="EU111" i="1"/>
  <c r="EQ111" i="1"/>
  <c r="EM111" i="1"/>
  <c r="EH111" i="1"/>
  <c r="ED111" i="1"/>
  <c r="DZ111" i="1"/>
  <c r="DV111" i="1"/>
  <c r="DR111" i="1"/>
  <c r="DN111" i="1"/>
  <c r="DI111" i="1"/>
  <c r="DE111" i="1"/>
  <c r="DA111" i="1"/>
  <c r="CW111" i="1"/>
  <c r="CS111" i="1"/>
  <c r="CO111" i="1"/>
  <c r="CN111" i="1"/>
  <c r="CM111" i="1"/>
  <c r="CL111" i="1"/>
  <c r="CG111" i="1"/>
  <c r="CJ111" i="1" s="1"/>
  <c r="CC111" i="1"/>
  <c r="BY111" i="1"/>
  <c r="BU111" i="1"/>
  <c r="BQ111" i="1"/>
  <c r="BM111" i="1"/>
  <c r="BL111" i="1"/>
  <c r="BK111" i="1"/>
  <c r="BJ111" i="1"/>
  <c r="BI111" i="1"/>
  <c r="BH111" i="1"/>
  <c r="BG111" i="1"/>
  <c r="EF111" i="1" s="1"/>
  <c r="BF111" i="1"/>
  <c r="BE111" i="1"/>
  <c r="BD111" i="1"/>
  <c r="BC111" i="1"/>
  <c r="BB111" i="1"/>
  <c r="BA111" i="1"/>
  <c r="AZ111" i="1"/>
  <c r="AY111" i="1"/>
  <c r="FS111" i="1" s="1"/>
  <c r="AX111" i="1"/>
  <c r="AW111" i="1"/>
  <c r="AV111" i="1"/>
  <c r="AU111" i="1"/>
  <c r="AT111" i="1"/>
  <c r="EN111" i="1" s="1"/>
  <c r="Z111" i="1"/>
  <c r="W111" i="1"/>
  <c r="T111" i="1"/>
  <c r="Q111" i="1"/>
  <c r="N111" i="1"/>
  <c r="K111" i="1"/>
  <c r="GF110" i="1"/>
  <c r="GB110" i="1"/>
  <c r="FX110" i="1"/>
  <c r="FT110" i="1"/>
  <c r="FP110" i="1"/>
  <c r="FL110" i="1"/>
  <c r="FG110" i="1"/>
  <c r="FC110" i="1"/>
  <c r="EY110" i="1"/>
  <c r="EU110" i="1"/>
  <c r="EQ110" i="1"/>
  <c r="ET110" i="1" s="1"/>
  <c r="EM110" i="1"/>
  <c r="EH110" i="1"/>
  <c r="ED110" i="1"/>
  <c r="DZ110" i="1"/>
  <c r="DV110" i="1"/>
  <c r="DR110" i="1"/>
  <c r="DN110" i="1"/>
  <c r="DI110" i="1"/>
  <c r="DJ110" i="1" s="1"/>
  <c r="DE110" i="1"/>
  <c r="DA110" i="1"/>
  <c r="CW110" i="1"/>
  <c r="CS110" i="1"/>
  <c r="CO110" i="1"/>
  <c r="CN110" i="1"/>
  <c r="CM110" i="1"/>
  <c r="CL110" i="1"/>
  <c r="CG110" i="1"/>
  <c r="CC110" i="1"/>
  <c r="BY110" i="1"/>
  <c r="BU110" i="1"/>
  <c r="BQ110" i="1"/>
  <c r="BM110" i="1"/>
  <c r="BL110" i="1"/>
  <c r="BK110" i="1"/>
  <c r="BJ110" i="1"/>
  <c r="EJ110" i="1" s="1"/>
  <c r="BI110" i="1"/>
  <c r="BH110" i="1"/>
  <c r="BG110" i="1"/>
  <c r="CE110" i="1" s="1"/>
  <c r="BF110" i="1"/>
  <c r="BE110" i="1"/>
  <c r="BD110" i="1"/>
  <c r="FA110" i="1" s="1"/>
  <c r="BC110" i="1"/>
  <c r="BB110" i="1"/>
  <c r="FW110" i="1" s="1"/>
  <c r="BA110" i="1"/>
  <c r="AZ110" i="1"/>
  <c r="AY110" i="1"/>
  <c r="DU110" i="1" s="1"/>
  <c r="AX110" i="1"/>
  <c r="BS110" i="1" s="1"/>
  <c r="AW110" i="1"/>
  <c r="AV110" i="1"/>
  <c r="DQ110" i="1" s="1"/>
  <c r="AU110" i="1"/>
  <c r="AT110" i="1"/>
  <c r="Z110" i="1"/>
  <c r="W110" i="1"/>
  <c r="T110" i="1"/>
  <c r="Q110" i="1"/>
  <c r="N110" i="1"/>
  <c r="K110" i="1"/>
  <c r="GF109" i="1"/>
  <c r="GD109" i="1"/>
  <c r="GB109" i="1"/>
  <c r="FX109" i="1"/>
  <c r="FT109" i="1"/>
  <c r="FP109" i="1"/>
  <c r="FL109" i="1"/>
  <c r="FG109" i="1"/>
  <c r="FC109" i="1"/>
  <c r="EY109" i="1"/>
  <c r="EU109" i="1"/>
  <c r="EQ109" i="1"/>
  <c r="EM109" i="1"/>
  <c r="EH109" i="1"/>
  <c r="ED109" i="1"/>
  <c r="DZ109" i="1"/>
  <c r="DV109" i="1"/>
  <c r="DR109" i="1"/>
  <c r="DN109" i="1"/>
  <c r="DI109" i="1"/>
  <c r="DE109" i="1"/>
  <c r="DA109" i="1"/>
  <c r="CW109" i="1"/>
  <c r="CS109" i="1"/>
  <c r="CO109" i="1"/>
  <c r="CN109" i="1"/>
  <c r="CM109" i="1"/>
  <c r="CL109" i="1"/>
  <c r="CG109" i="1"/>
  <c r="CC109" i="1"/>
  <c r="BY109" i="1"/>
  <c r="BU109" i="1"/>
  <c r="BQ109" i="1"/>
  <c r="BM109" i="1"/>
  <c r="BL109" i="1"/>
  <c r="BK109" i="1"/>
  <c r="BJ109" i="1"/>
  <c r="DK109" i="1" s="1"/>
  <c r="BI109" i="1"/>
  <c r="BH109" i="1"/>
  <c r="FF109" i="1" s="1"/>
  <c r="BG109" i="1"/>
  <c r="FE109" i="1" s="1"/>
  <c r="BF109" i="1"/>
  <c r="BE109" i="1"/>
  <c r="BD109" i="1"/>
  <c r="BC109" i="1"/>
  <c r="BZ109" i="1" s="1"/>
  <c r="BB109" i="1"/>
  <c r="BA109" i="1"/>
  <c r="AZ109" i="1"/>
  <c r="AY109" i="1"/>
  <c r="AX109" i="1"/>
  <c r="AW109" i="1"/>
  <c r="AV109" i="1"/>
  <c r="AU109" i="1"/>
  <c r="CQ109" i="1" s="1"/>
  <c r="AT109" i="1"/>
  <c r="Z109" i="1"/>
  <c r="W109" i="1"/>
  <c r="T109" i="1"/>
  <c r="Q109" i="1"/>
  <c r="N109" i="1"/>
  <c r="K109" i="1"/>
  <c r="GF108" i="1"/>
  <c r="GB108" i="1"/>
  <c r="FX108" i="1"/>
  <c r="FT108" i="1"/>
  <c r="FP108" i="1"/>
  <c r="FL108" i="1"/>
  <c r="FG108" i="1"/>
  <c r="FC108" i="1"/>
  <c r="EY108" i="1"/>
  <c r="EU108" i="1"/>
  <c r="EQ108" i="1"/>
  <c r="EM108" i="1"/>
  <c r="EH108" i="1"/>
  <c r="ED108" i="1"/>
  <c r="DZ108" i="1"/>
  <c r="DV108" i="1"/>
  <c r="DR108" i="1"/>
  <c r="DN108" i="1"/>
  <c r="DI108" i="1"/>
  <c r="DE108" i="1"/>
  <c r="DA108" i="1"/>
  <c r="CW108" i="1"/>
  <c r="CS108" i="1"/>
  <c r="CO108" i="1"/>
  <c r="CN108" i="1"/>
  <c r="CM108" i="1"/>
  <c r="CL108" i="1"/>
  <c r="CG108" i="1"/>
  <c r="CH108" i="1" s="1"/>
  <c r="CC108" i="1"/>
  <c r="BY108" i="1"/>
  <c r="BU108" i="1"/>
  <c r="BQ108" i="1"/>
  <c r="BM108" i="1"/>
  <c r="BL108" i="1"/>
  <c r="BK108" i="1"/>
  <c r="BJ108" i="1"/>
  <c r="BI108" i="1"/>
  <c r="BH108" i="1"/>
  <c r="BG108" i="1"/>
  <c r="GD108" i="1" s="1"/>
  <c r="BF108" i="1"/>
  <c r="BE108" i="1"/>
  <c r="BD108" i="1"/>
  <c r="BC108" i="1"/>
  <c r="BB108" i="1"/>
  <c r="FW108" i="1" s="1"/>
  <c r="BA108" i="1"/>
  <c r="AZ108" i="1"/>
  <c r="DW108" i="1" s="1"/>
  <c r="AY108" i="1"/>
  <c r="AX108" i="1"/>
  <c r="AW108" i="1"/>
  <c r="AV108" i="1"/>
  <c r="AU108" i="1"/>
  <c r="AT108" i="1"/>
  <c r="Z108" i="1"/>
  <c r="W108" i="1"/>
  <c r="T108" i="1"/>
  <c r="Q108" i="1"/>
  <c r="N108" i="1"/>
  <c r="K108" i="1"/>
  <c r="GF107" i="1"/>
  <c r="GB107" i="1"/>
  <c r="FX107" i="1"/>
  <c r="FT107" i="1"/>
  <c r="FP107" i="1"/>
  <c r="FL107" i="1"/>
  <c r="FG107" i="1"/>
  <c r="FC107" i="1"/>
  <c r="EY107" i="1"/>
  <c r="EU107" i="1"/>
  <c r="EQ107" i="1"/>
  <c r="EM107" i="1"/>
  <c r="EH107" i="1"/>
  <c r="ED107" i="1"/>
  <c r="DZ107" i="1"/>
  <c r="DV107" i="1"/>
  <c r="DR107" i="1"/>
  <c r="DN107" i="1"/>
  <c r="DI107" i="1"/>
  <c r="DE107" i="1"/>
  <c r="DA107" i="1"/>
  <c r="CW107" i="1"/>
  <c r="CS107" i="1"/>
  <c r="CO107" i="1"/>
  <c r="CN107" i="1"/>
  <c r="CM107" i="1"/>
  <c r="CL107" i="1"/>
  <c r="CG107" i="1"/>
  <c r="CC107" i="1"/>
  <c r="BY107" i="1"/>
  <c r="BU107" i="1"/>
  <c r="BQ107" i="1"/>
  <c r="BM107" i="1"/>
  <c r="BL107" i="1"/>
  <c r="BK107" i="1"/>
  <c r="BJ107" i="1"/>
  <c r="FI107" i="1" s="1"/>
  <c r="BI107" i="1"/>
  <c r="BH107" i="1"/>
  <c r="BG107" i="1"/>
  <c r="FE107" i="1" s="1"/>
  <c r="BF107" i="1"/>
  <c r="BE107" i="1"/>
  <c r="BD107" i="1"/>
  <c r="BC107" i="1"/>
  <c r="BB107" i="1"/>
  <c r="BA107" i="1"/>
  <c r="AZ107" i="1"/>
  <c r="AY107" i="1"/>
  <c r="AX107" i="1"/>
  <c r="DT107" i="1" s="1"/>
  <c r="AW107" i="1"/>
  <c r="BR107" i="1" s="1"/>
  <c r="AV107" i="1"/>
  <c r="BP107" i="1" s="1"/>
  <c r="AU107" i="1"/>
  <c r="AT107" i="1"/>
  <c r="EN107" i="1" s="1"/>
  <c r="Z107" i="1"/>
  <c r="W107" i="1"/>
  <c r="T107" i="1"/>
  <c r="Q107" i="1"/>
  <c r="N107" i="1"/>
  <c r="K107" i="1"/>
  <c r="GF106" i="1"/>
  <c r="GH106" i="1" s="1"/>
  <c r="GB106" i="1"/>
  <c r="FX106" i="1"/>
  <c r="FT106" i="1"/>
  <c r="FP106" i="1"/>
  <c r="FL106" i="1"/>
  <c r="FG106" i="1"/>
  <c r="FC106" i="1"/>
  <c r="EY106" i="1"/>
  <c r="EU106" i="1"/>
  <c r="EQ106" i="1"/>
  <c r="EM106" i="1"/>
  <c r="EH106" i="1"/>
  <c r="EJ106" i="1" s="1"/>
  <c r="ED106" i="1"/>
  <c r="DZ106" i="1"/>
  <c r="DV106" i="1"/>
  <c r="DR106" i="1"/>
  <c r="DN106" i="1"/>
  <c r="DI106" i="1"/>
  <c r="DE106" i="1"/>
  <c r="DA106" i="1"/>
  <c r="CW106" i="1"/>
  <c r="CS106" i="1"/>
  <c r="CO106" i="1"/>
  <c r="CN106" i="1"/>
  <c r="CM106" i="1"/>
  <c r="CL106" i="1"/>
  <c r="CG106" i="1"/>
  <c r="CC106" i="1"/>
  <c r="BY106" i="1"/>
  <c r="BU106" i="1"/>
  <c r="BQ106" i="1"/>
  <c r="BM106" i="1"/>
  <c r="BL106" i="1"/>
  <c r="BK106" i="1"/>
  <c r="BJ106" i="1"/>
  <c r="BI106" i="1"/>
  <c r="BH106" i="1"/>
  <c r="BG106" i="1"/>
  <c r="BF106" i="1"/>
  <c r="BE106" i="1"/>
  <c r="BD106" i="1"/>
  <c r="BC106" i="1"/>
  <c r="BB106" i="1"/>
  <c r="BA106" i="1"/>
  <c r="AZ106" i="1"/>
  <c r="AY106" i="1"/>
  <c r="AX106" i="1"/>
  <c r="AW106" i="1"/>
  <c r="AV106" i="1"/>
  <c r="AU106" i="1"/>
  <c r="DP106" i="1" s="1"/>
  <c r="AT106" i="1"/>
  <c r="Z106" i="1"/>
  <c r="W106" i="1"/>
  <c r="T106" i="1"/>
  <c r="Q106" i="1"/>
  <c r="N106" i="1"/>
  <c r="K106" i="1"/>
  <c r="GF105" i="1"/>
  <c r="GB105" i="1"/>
  <c r="FX105" i="1"/>
  <c r="FV105" i="1"/>
  <c r="FT105" i="1"/>
  <c r="FP105" i="1"/>
  <c r="FL105" i="1"/>
  <c r="FG105" i="1"/>
  <c r="FC105" i="1"/>
  <c r="EY105" i="1"/>
  <c r="EU105" i="1"/>
  <c r="EQ105" i="1"/>
  <c r="EM105" i="1"/>
  <c r="EH105" i="1"/>
  <c r="ED105" i="1"/>
  <c r="DZ105" i="1"/>
  <c r="DV105" i="1"/>
  <c r="DR105" i="1"/>
  <c r="DN105" i="1"/>
  <c r="DI105" i="1"/>
  <c r="DE105" i="1"/>
  <c r="DA105" i="1"/>
  <c r="CW105" i="1"/>
  <c r="CS105" i="1"/>
  <c r="CO105" i="1"/>
  <c r="CN105" i="1"/>
  <c r="CM105" i="1"/>
  <c r="CL105" i="1"/>
  <c r="CG105" i="1"/>
  <c r="CC105" i="1"/>
  <c r="BY105" i="1"/>
  <c r="BU105" i="1"/>
  <c r="BQ105" i="1"/>
  <c r="BM105" i="1"/>
  <c r="BL105" i="1"/>
  <c r="BK105" i="1"/>
  <c r="BJ105" i="1"/>
  <c r="CI105" i="1" s="1"/>
  <c r="BI105" i="1"/>
  <c r="BH105" i="1"/>
  <c r="BG105" i="1"/>
  <c r="BF105" i="1"/>
  <c r="BE105" i="1"/>
  <c r="FB105" i="1" s="1"/>
  <c r="BD105" i="1"/>
  <c r="EB105" i="1" s="1"/>
  <c r="BC105" i="1"/>
  <c r="EZ105" i="1" s="1"/>
  <c r="BB105" i="1"/>
  <c r="BA105" i="1"/>
  <c r="DX105" i="1" s="1"/>
  <c r="AZ105" i="1"/>
  <c r="AY105" i="1"/>
  <c r="AX105" i="1"/>
  <c r="AW105" i="1"/>
  <c r="AV105" i="1"/>
  <c r="AU105" i="1"/>
  <c r="BO105" i="1" s="1"/>
  <c r="AT105" i="1"/>
  <c r="CP105" i="1" s="1"/>
  <c r="Z105" i="1"/>
  <c r="W105" i="1"/>
  <c r="T105" i="1"/>
  <c r="Q105" i="1"/>
  <c r="N105" i="1"/>
  <c r="K105" i="1"/>
  <c r="GF104" i="1"/>
  <c r="GB104" i="1"/>
  <c r="FX104" i="1"/>
  <c r="FT104" i="1"/>
  <c r="FP104" i="1"/>
  <c r="FL104" i="1"/>
  <c r="FG104" i="1"/>
  <c r="FC104" i="1"/>
  <c r="EY104" i="1"/>
  <c r="EU104" i="1"/>
  <c r="EQ104" i="1"/>
  <c r="EM104" i="1"/>
  <c r="EH104" i="1"/>
  <c r="ED104" i="1"/>
  <c r="DZ104" i="1"/>
  <c r="DV104" i="1"/>
  <c r="DR104" i="1"/>
  <c r="DN104" i="1"/>
  <c r="DI104" i="1"/>
  <c r="DE104" i="1"/>
  <c r="DA104" i="1"/>
  <c r="CW104" i="1"/>
  <c r="CS104" i="1"/>
  <c r="CO104" i="1"/>
  <c r="CN104" i="1"/>
  <c r="CM104" i="1"/>
  <c r="CL104" i="1"/>
  <c r="CG104" i="1"/>
  <c r="CC104" i="1"/>
  <c r="BY104" i="1"/>
  <c r="BU104" i="1"/>
  <c r="BQ104" i="1"/>
  <c r="BM104" i="1"/>
  <c r="BL104" i="1"/>
  <c r="BK104" i="1"/>
  <c r="BJ104" i="1"/>
  <c r="FI104" i="1" s="1"/>
  <c r="BI104" i="1"/>
  <c r="BH104" i="1"/>
  <c r="BG104" i="1"/>
  <c r="EF104" i="1" s="1"/>
  <c r="BF104" i="1"/>
  <c r="BE104" i="1"/>
  <c r="BD104" i="1"/>
  <c r="BC104" i="1"/>
  <c r="BB104" i="1"/>
  <c r="BA104" i="1"/>
  <c r="AZ104" i="1"/>
  <c r="AY104" i="1"/>
  <c r="AX104" i="1"/>
  <c r="BS104" i="1" s="1"/>
  <c r="AW104" i="1"/>
  <c r="AV104" i="1"/>
  <c r="AU104" i="1"/>
  <c r="CQ104" i="1" s="1"/>
  <c r="AT104" i="1"/>
  <c r="Z104" i="1"/>
  <c r="W104" i="1"/>
  <c r="T104" i="1"/>
  <c r="Q104" i="1"/>
  <c r="N104" i="1"/>
  <c r="K104" i="1"/>
  <c r="GF103" i="1"/>
  <c r="GB103" i="1"/>
  <c r="FX103" i="1"/>
  <c r="FT103" i="1"/>
  <c r="FP103" i="1"/>
  <c r="FR103" i="1" s="1"/>
  <c r="FL103" i="1"/>
  <c r="FG103" i="1"/>
  <c r="FC103" i="1"/>
  <c r="EY103" i="1"/>
  <c r="EU103" i="1"/>
  <c r="EQ103" i="1"/>
  <c r="EM103" i="1"/>
  <c r="EH103" i="1"/>
  <c r="ED103" i="1"/>
  <c r="DZ103" i="1"/>
  <c r="DV103" i="1"/>
  <c r="DR103" i="1"/>
  <c r="DN103" i="1"/>
  <c r="DI103" i="1"/>
  <c r="DE103" i="1"/>
  <c r="DA103" i="1"/>
  <c r="CW103" i="1"/>
  <c r="CS103" i="1"/>
  <c r="CO103" i="1"/>
  <c r="CN103" i="1"/>
  <c r="CM103" i="1"/>
  <c r="CL103" i="1"/>
  <c r="CG103" i="1"/>
  <c r="CC103" i="1"/>
  <c r="BY103" i="1"/>
  <c r="BU103" i="1"/>
  <c r="BQ103" i="1"/>
  <c r="BM103" i="1"/>
  <c r="BL103" i="1"/>
  <c r="BK103" i="1"/>
  <c r="BJ103" i="1"/>
  <c r="BI103" i="1"/>
  <c r="BH103" i="1"/>
  <c r="BG103" i="1"/>
  <c r="BF103" i="1"/>
  <c r="BE103" i="1"/>
  <c r="BD103" i="1"/>
  <c r="BC103" i="1"/>
  <c r="EZ103" i="1" s="1"/>
  <c r="BB103" i="1"/>
  <c r="BA103" i="1"/>
  <c r="BW103" i="1" s="1"/>
  <c r="AZ103" i="1"/>
  <c r="AY103" i="1"/>
  <c r="AX103" i="1"/>
  <c r="DT103" i="1" s="1"/>
  <c r="AW103" i="1"/>
  <c r="AV103" i="1"/>
  <c r="AU103" i="1"/>
  <c r="AT103" i="1"/>
  <c r="Z103" i="1"/>
  <c r="W103" i="1"/>
  <c r="T103" i="1"/>
  <c r="Q103" i="1"/>
  <c r="N103" i="1"/>
  <c r="K103" i="1"/>
  <c r="GF102" i="1"/>
  <c r="GB102" i="1"/>
  <c r="FX102" i="1"/>
  <c r="FT102" i="1"/>
  <c r="FP102" i="1"/>
  <c r="FL102" i="1"/>
  <c r="FG102" i="1"/>
  <c r="FC102" i="1"/>
  <c r="EY102" i="1"/>
  <c r="EU102" i="1"/>
  <c r="EQ102" i="1"/>
  <c r="EM102" i="1"/>
  <c r="EH102" i="1"/>
  <c r="ED102" i="1"/>
  <c r="EF102" i="1" s="1"/>
  <c r="DZ102" i="1"/>
  <c r="EB102" i="1" s="1"/>
  <c r="DV102" i="1"/>
  <c r="DR102" i="1"/>
  <c r="DN102" i="1"/>
  <c r="DI102" i="1"/>
  <c r="DE102" i="1"/>
  <c r="DA102" i="1"/>
  <c r="CW102" i="1"/>
  <c r="CS102" i="1"/>
  <c r="CT102" i="1" s="1"/>
  <c r="CO102" i="1"/>
  <c r="CN102" i="1"/>
  <c r="CM102" i="1"/>
  <c r="CL102" i="1"/>
  <c r="CG102" i="1"/>
  <c r="CC102" i="1"/>
  <c r="BY102" i="1"/>
  <c r="BU102" i="1"/>
  <c r="BQ102" i="1"/>
  <c r="BM102" i="1"/>
  <c r="BL102" i="1"/>
  <c r="BK102" i="1"/>
  <c r="BJ102" i="1"/>
  <c r="BI102" i="1"/>
  <c r="FH102" i="1" s="1"/>
  <c r="BH102" i="1"/>
  <c r="BG102" i="1"/>
  <c r="CE102" i="1" s="1"/>
  <c r="BF102" i="1"/>
  <c r="BE102" i="1"/>
  <c r="BD102" i="1"/>
  <c r="BC102" i="1"/>
  <c r="BB102" i="1"/>
  <c r="BA102" i="1"/>
  <c r="AZ102" i="1"/>
  <c r="AY102" i="1"/>
  <c r="AX102" i="1"/>
  <c r="AW102" i="1"/>
  <c r="AV102" i="1"/>
  <c r="AU102" i="1"/>
  <c r="AT102" i="1"/>
  <c r="Z102" i="1"/>
  <c r="W102" i="1"/>
  <c r="T102" i="1"/>
  <c r="Q102" i="1"/>
  <c r="N102" i="1"/>
  <c r="K102" i="1"/>
  <c r="GF101" i="1"/>
  <c r="GB101" i="1"/>
  <c r="FX101" i="1"/>
  <c r="FT101" i="1"/>
  <c r="FP101" i="1"/>
  <c r="FL101" i="1"/>
  <c r="FG101" i="1"/>
  <c r="FC101" i="1"/>
  <c r="EY101" i="1"/>
  <c r="EU101" i="1"/>
  <c r="EQ101" i="1"/>
  <c r="EM101" i="1"/>
  <c r="EH101" i="1"/>
  <c r="ED101" i="1"/>
  <c r="DZ101" i="1"/>
  <c r="DV101" i="1"/>
  <c r="DR101" i="1"/>
  <c r="DN101" i="1"/>
  <c r="DI101" i="1"/>
  <c r="DE101" i="1"/>
  <c r="DA101" i="1"/>
  <c r="CW101" i="1"/>
  <c r="CS101" i="1"/>
  <c r="CO101" i="1"/>
  <c r="CN101" i="1"/>
  <c r="CM101" i="1"/>
  <c r="CL101" i="1"/>
  <c r="CG101" i="1"/>
  <c r="CC101" i="1"/>
  <c r="BY101" i="1"/>
  <c r="BU101" i="1"/>
  <c r="BQ101" i="1"/>
  <c r="BM101" i="1"/>
  <c r="BL101" i="1"/>
  <c r="BK101" i="1"/>
  <c r="BJ101" i="1"/>
  <c r="CI101" i="1" s="1"/>
  <c r="BI101" i="1"/>
  <c r="BH101" i="1"/>
  <c r="BG101" i="1"/>
  <c r="DG101" i="1" s="1"/>
  <c r="BF101" i="1"/>
  <c r="BE101" i="1"/>
  <c r="BD101" i="1"/>
  <c r="BC101" i="1"/>
  <c r="BB101" i="1"/>
  <c r="BA101" i="1"/>
  <c r="BW101" i="1" s="1"/>
  <c r="AZ101" i="1"/>
  <c r="AY101" i="1"/>
  <c r="AX101" i="1"/>
  <c r="AW101" i="1"/>
  <c r="AV101" i="1"/>
  <c r="EP101" i="1" s="1"/>
  <c r="AU101" i="1"/>
  <c r="AT101" i="1"/>
  <c r="Z101" i="1"/>
  <c r="W101" i="1"/>
  <c r="T101" i="1"/>
  <c r="Q101" i="1"/>
  <c r="N101" i="1"/>
  <c r="K101" i="1"/>
  <c r="GF100" i="1"/>
  <c r="GB100" i="1"/>
  <c r="FX100" i="1"/>
  <c r="FT100" i="1"/>
  <c r="FP100" i="1"/>
  <c r="FL100" i="1"/>
  <c r="FG100" i="1"/>
  <c r="FC100" i="1"/>
  <c r="EY100" i="1"/>
  <c r="EU100" i="1"/>
  <c r="EQ100" i="1"/>
  <c r="EM100" i="1"/>
  <c r="EH100" i="1"/>
  <c r="ED100" i="1"/>
  <c r="DZ100" i="1"/>
  <c r="DV100" i="1"/>
  <c r="DR100" i="1"/>
  <c r="DN100" i="1"/>
  <c r="DI100" i="1"/>
  <c r="DE100" i="1"/>
  <c r="DA100" i="1"/>
  <c r="DD100" i="1" s="1"/>
  <c r="CW100" i="1"/>
  <c r="CS100" i="1"/>
  <c r="CO100" i="1"/>
  <c r="CN100" i="1"/>
  <c r="CM100" i="1"/>
  <c r="CL100" i="1"/>
  <c r="CG100" i="1"/>
  <c r="CC100" i="1"/>
  <c r="BY100" i="1"/>
  <c r="BU100" i="1"/>
  <c r="BQ100" i="1"/>
  <c r="BM100" i="1"/>
  <c r="BL100" i="1"/>
  <c r="BK100" i="1"/>
  <c r="BJ100" i="1"/>
  <c r="DK100" i="1" s="1"/>
  <c r="BI100" i="1"/>
  <c r="BH100" i="1"/>
  <c r="BG100" i="1"/>
  <c r="BF100" i="1"/>
  <c r="BE100" i="1"/>
  <c r="GA100" i="1" s="1"/>
  <c r="BD100" i="1"/>
  <c r="FA100" i="1" s="1"/>
  <c r="BC100" i="1"/>
  <c r="BB100" i="1"/>
  <c r="BA100" i="1"/>
  <c r="AZ100" i="1"/>
  <c r="AY100" i="1"/>
  <c r="AX100" i="1"/>
  <c r="CU100" i="1" s="1"/>
  <c r="AW100" i="1"/>
  <c r="AV100" i="1"/>
  <c r="AU100" i="1"/>
  <c r="AT100" i="1"/>
  <c r="CP100" i="1" s="1"/>
  <c r="Z100" i="1"/>
  <c r="W100" i="1"/>
  <c r="T100" i="1"/>
  <c r="Q100" i="1"/>
  <c r="N100" i="1"/>
  <c r="K100" i="1"/>
  <c r="GF99" i="1"/>
  <c r="GB99" i="1"/>
  <c r="GD99" i="1" s="1"/>
  <c r="FX99" i="1"/>
  <c r="FT99" i="1"/>
  <c r="FP99" i="1"/>
  <c r="FL99" i="1"/>
  <c r="FG99" i="1"/>
  <c r="FC99" i="1"/>
  <c r="EY99" i="1"/>
  <c r="EU99" i="1"/>
  <c r="EQ99" i="1"/>
  <c r="EM99" i="1"/>
  <c r="EH99" i="1"/>
  <c r="ED99" i="1"/>
  <c r="EF99" i="1" s="1"/>
  <c r="DZ99" i="1"/>
  <c r="DV99" i="1"/>
  <c r="DR99" i="1"/>
  <c r="DN99" i="1"/>
  <c r="DI99" i="1"/>
  <c r="DE99" i="1"/>
  <c r="DA99" i="1"/>
  <c r="CW99" i="1"/>
  <c r="CS99" i="1"/>
  <c r="CO99" i="1"/>
  <c r="CN99" i="1"/>
  <c r="CM99" i="1"/>
  <c r="CL99" i="1"/>
  <c r="CG99" i="1"/>
  <c r="CC99" i="1"/>
  <c r="BY99" i="1"/>
  <c r="BU99" i="1"/>
  <c r="BQ99" i="1"/>
  <c r="BM99" i="1"/>
  <c r="BL99" i="1"/>
  <c r="BK99" i="1"/>
  <c r="BJ99" i="1"/>
  <c r="BI99" i="1"/>
  <c r="BH99" i="1"/>
  <c r="BG99" i="1"/>
  <c r="BF99" i="1"/>
  <c r="BE99" i="1"/>
  <c r="BD99" i="1"/>
  <c r="BC99" i="1"/>
  <c r="BB99" i="1"/>
  <c r="DY99" i="1" s="1"/>
  <c r="BA99" i="1"/>
  <c r="AZ99" i="1"/>
  <c r="AY99" i="1"/>
  <c r="AX99" i="1"/>
  <c r="AW99" i="1"/>
  <c r="AV99" i="1"/>
  <c r="AU99" i="1"/>
  <c r="AT99" i="1"/>
  <c r="Z99" i="1"/>
  <c r="W99" i="1"/>
  <c r="T99" i="1"/>
  <c r="Q99" i="1"/>
  <c r="N99" i="1"/>
  <c r="K99" i="1"/>
  <c r="GF98" i="1"/>
  <c r="GB98" i="1"/>
  <c r="FX98" i="1"/>
  <c r="FT98" i="1"/>
  <c r="FP98" i="1"/>
  <c r="FL98" i="1"/>
  <c r="FG98" i="1"/>
  <c r="FC98" i="1"/>
  <c r="EY98" i="1"/>
  <c r="EU98" i="1"/>
  <c r="EQ98" i="1"/>
  <c r="EM98" i="1"/>
  <c r="EH98" i="1"/>
  <c r="ED98" i="1"/>
  <c r="DZ98" i="1"/>
  <c r="DV98" i="1"/>
  <c r="DR98" i="1"/>
  <c r="DN98" i="1"/>
  <c r="DI98" i="1"/>
  <c r="DE98" i="1"/>
  <c r="DA98" i="1"/>
  <c r="CW98" i="1"/>
  <c r="CS98" i="1"/>
  <c r="CO98" i="1"/>
  <c r="CN98" i="1"/>
  <c r="CM98" i="1"/>
  <c r="CL98" i="1"/>
  <c r="CG98" i="1"/>
  <c r="CC98" i="1"/>
  <c r="BY98" i="1"/>
  <c r="BU98" i="1"/>
  <c r="BQ98" i="1"/>
  <c r="BM98" i="1"/>
  <c r="BL98" i="1"/>
  <c r="BK98" i="1"/>
  <c r="BJ98" i="1"/>
  <c r="BI98" i="1"/>
  <c r="BH98" i="1"/>
  <c r="BG98" i="1"/>
  <c r="CE98" i="1" s="1"/>
  <c r="BF98" i="1"/>
  <c r="DF98" i="1" s="1"/>
  <c r="BE98" i="1"/>
  <c r="BD98" i="1"/>
  <c r="BC98" i="1"/>
  <c r="BB98" i="1"/>
  <c r="BA98" i="1"/>
  <c r="AZ98" i="1"/>
  <c r="AY98" i="1"/>
  <c r="AX98" i="1"/>
  <c r="AW98" i="1"/>
  <c r="AV98" i="1"/>
  <c r="AU98" i="1"/>
  <c r="AT98" i="1"/>
  <c r="Z98" i="1"/>
  <c r="W98" i="1"/>
  <c r="T98" i="1"/>
  <c r="Q98" i="1"/>
  <c r="N98" i="1"/>
  <c r="K98" i="1"/>
  <c r="GF97" i="1"/>
  <c r="GB97" i="1"/>
  <c r="FX97" i="1"/>
  <c r="FT97" i="1"/>
  <c r="FP97" i="1"/>
  <c r="FL97" i="1"/>
  <c r="FG97" i="1"/>
  <c r="FC97" i="1"/>
  <c r="EY97" i="1"/>
  <c r="EU97" i="1"/>
  <c r="EQ97" i="1"/>
  <c r="EM97" i="1"/>
  <c r="EH97" i="1"/>
  <c r="ED97" i="1"/>
  <c r="DZ97" i="1"/>
  <c r="DV97" i="1"/>
  <c r="DR97" i="1"/>
  <c r="DN97" i="1"/>
  <c r="DI97" i="1"/>
  <c r="DE97" i="1"/>
  <c r="DA97" i="1"/>
  <c r="CW97" i="1"/>
  <c r="CS97" i="1"/>
  <c r="CO97" i="1"/>
  <c r="CN97" i="1"/>
  <c r="CM97" i="1"/>
  <c r="CL97" i="1"/>
  <c r="CG97" i="1"/>
  <c r="CC97" i="1"/>
  <c r="BY97" i="1"/>
  <c r="BU97" i="1"/>
  <c r="BQ97" i="1"/>
  <c r="BM97" i="1"/>
  <c r="BL97" i="1"/>
  <c r="BK97" i="1"/>
  <c r="BJ97" i="1"/>
  <c r="EJ97" i="1" s="1"/>
  <c r="BI97" i="1"/>
  <c r="BH97" i="1"/>
  <c r="BG97" i="1"/>
  <c r="BF97" i="1"/>
  <c r="BE97" i="1"/>
  <c r="CB97" i="1" s="1"/>
  <c r="BD97" i="1"/>
  <c r="BC97" i="1"/>
  <c r="BB97" i="1"/>
  <c r="BA97" i="1"/>
  <c r="AZ97" i="1"/>
  <c r="FU97" i="1" s="1"/>
  <c r="AY97" i="1"/>
  <c r="AX97" i="1"/>
  <c r="AW97" i="1"/>
  <c r="AV97" i="1"/>
  <c r="AU97" i="1"/>
  <c r="AT97" i="1"/>
  <c r="Z97" i="1"/>
  <c r="W97" i="1"/>
  <c r="T97" i="1"/>
  <c r="Q97" i="1"/>
  <c r="N97" i="1"/>
  <c r="K97" i="1"/>
  <c r="GF96" i="1"/>
  <c r="GB96" i="1"/>
  <c r="FX96" i="1"/>
  <c r="FT96" i="1"/>
  <c r="FP96" i="1"/>
  <c r="FL96" i="1"/>
  <c r="FG96" i="1"/>
  <c r="FC96" i="1"/>
  <c r="EY96" i="1"/>
  <c r="EU96" i="1"/>
  <c r="EQ96" i="1"/>
  <c r="EM96" i="1"/>
  <c r="EH96" i="1"/>
  <c r="ED96" i="1"/>
  <c r="DZ96" i="1"/>
  <c r="DV96" i="1"/>
  <c r="DR96" i="1"/>
  <c r="DN96" i="1"/>
  <c r="DI96" i="1"/>
  <c r="DE96" i="1"/>
  <c r="DA96" i="1"/>
  <c r="CW96" i="1"/>
  <c r="CS96" i="1"/>
  <c r="CO96" i="1"/>
  <c r="CN96" i="1"/>
  <c r="CM96" i="1"/>
  <c r="CL96" i="1"/>
  <c r="CG96" i="1"/>
  <c r="CC96" i="1"/>
  <c r="CE96" i="1" s="1"/>
  <c r="BY96" i="1"/>
  <c r="BU96" i="1"/>
  <c r="BQ96" i="1"/>
  <c r="BM96" i="1"/>
  <c r="BL96" i="1"/>
  <c r="BK96" i="1"/>
  <c r="BJ96" i="1"/>
  <c r="BI96" i="1"/>
  <c r="BH96" i="1"/>
  <c r="BG96" i="1"/>
  <c r="BF96" i="1"/>
  <c r="BE96" i="1"/>
  <c r="BD96" i="1"/>
  <c r="BC96" i="1"/>
  <c r="BB96" i="1"/>
  <c r="BA96" i="1"/>
  <c r="AZ96" i="1"/>
  <c r="FU96" i="1" s="1"/>
  <c r="AY96" i="1"/>
  <c r="AX96" i="1"/>
  <c r="AW96" i="1"/>
  <c r="DS96" i="1" s="1"/>
  <c r="AV96" i="1"/>
  <c r="AU96" i="1"/>
  <c r="AT96" i="1"/>
  <c r="Z96" i="1"/>
  <c r="W96" i="1"/>
  <c r="T96" i="1"/>
  <c r="Q96" i="1"/>
  <c r="N96" i="1"/>
  <c r="K96" i="1"/>
  <c r="GF95" i="1"/>
  <c r="GB95" i="1"/>
  <c r="FX95" i="1"/>
  <c r="FT95" i="1"/>
  <c r="FP95" i="1"/>
  <c r="FL95" i="1"/>
  <c r="FG95" i="1"/>
  <c r="FC95" i="1"/>
  <c r="EY95" i="1"/>
  <c r="EU95" i="1"/>
  <c r="EQ95" i="1"/>
  <c r="EM95" i="1"/>
  <c r="EH95" i="1"/>
  <c r="ED95" i="1"/>
  <c r="DZ95" i="1"/>
  <c r="DV95" i="1"/>
  <c r="DR95" i="1"/>
  <c r="DN95" i="1"/>
  <c r="DI95" i="1"/>
  <c r="DE95" i="1"/>
  <c r="DA95" i="1"/>
  <c r="CW95" i="1"/>
  <c r="CS95" i="1"/>
  <c r="CO95" i="1"/>
  <c r="CN95" i="1"/>
  <c r="CM95" i="1"/>
  <c r="CL95" i="1"/>
  <c r="CG95" i="1"/>
  <c r="CC95" i="1"/>
  <c r="BY95" i="1"/>
  <c r="BU95" i="1"/>
  <c r="BQ95" i="1"/>
  <c r="BM95" i="1"/>
  <c r="BL95" i="1"/>
  <c r="BK95" i="1"/>
  <c r="BJ95" i="1"/>
  <c r="BI95" i="1"/>
  <c r="BH95" i="1"/>
  <c r="BG95" i="1"/>
  <c r="BF95" i="1"/>
  <c r="BE95" i="1"/>
  <c r="BD95" i="1"/>
  <c r="BC95" i="1"/>
  <c r="BB95" i="1"/>
  <c r="BA95" i="1"/>
  <c r="AZ95" i="1"/>
  <c r="AY95" i="1"/>
  <c r="AX95" i="1"/>
  <c r="AW95" i="1"/>
  <c r="AV95" i="1"/>
  <c r="AU95" i="1"/>
  <c r="AT95" i="1"/>
  <c r="Z95" i="1"/>
  <c r="W95" i="1"/>
  <c r="T95" i="1"/>
  <c r="Q95" i="1"/>
  <c r="N95" i="1"/>
  <c r="K95" i="1"/>
  <c r="GF94" i="1"/>
  <c r="GB94" i="1"/>
  <c r="FX94" i="1"/>
  <c r="FT94" i="1"/>
  <c r="FP94" i="1"/>
  <c r="FL94" i="1"/>
  <c r="FG94" i="1"/>
  <c r="FC94" i="1"/>
  <c r="EY94" i="1"/>
  <c r="EU94" i="1"/>
  <c r="EQ94" i="1"/>
  <c r="EM94" i="1"/>
  <c r="EH94" i="1"/>
  <c r="EI94" i="1" s="1"/>
  <c r="ED94" i="1"/>
  <c r="DZ94" i="1"/>
  <c r="DV94" i="1"/>
  <c r="DR94" i="1"/>
  <c r="DN94" i="1"/>
  <c r="DI94" i="1"/>
  <c r="DE94" i="1"/>
  <c r="DA94" i="1"/>
  <c r="CW94" i="1"/>
  <c r="CS94" i="1"/>
  <c r="CO94" i="1"/>
  <c r="CN94" i="1"/>
  <c r="CM94" i="1"/>
  <c r="CL94" i="1"/>
  <c r="CG94" i="1"/>
  <c r="CC94" i="1"/>
  <c r="BY94" i="1"/>
  <c r="BU94" i="1"/>
  <c r="BQ94" i="1"/>
  <c r="BM94" i="1"/>
  <c r="BL94" i="1"/>
  <c r="BK94" i="1"/>
  <c r="BJ94" i="1"/>
  <c r="BI94" i="1"/>
  <c r="BH94" i="1"/>
  <c r="BG94" i="1"/>
  <c r="BF94" i="1"/>
  <c r="FD94" i="1" s="1"/>
  <c r="BE94" i="1"/>
  <c r="CB94" i="1" s="1"/>
  <c r="BD94" i="1"/>
  <c r="BC94" i="1"/>
  <c r="BB94" i="1"/>
  <c r="BA94" i="1"/>
  <c r="AZ94" i="1"/>
  <c r="AY94" i="1"/>
  <c r="AX94" i="1"/>
  <c r="AW94" i="1"/>
  <c r="AV94" i="1"/>
  <c r="AU94" i="1"/>
  <c r="DP94" i="1" s="1"/>
  <c r="AT94" i="1"/>
  <c r="Z94" i="1"/>
  <c r="W94" i="1"/>
  <c r="T94" i="1"/>
  <c r="Q94" i="1"/>
  <c r="N94" i="1"/>
  <c r="K94" i="1"/>
  <c r="GF93" i="1"/>
  <c r="GB93" i="1"/>
  <c r="FX93" i="1"/>
  <c r="FT93" i="1"/>
  <c r="FP93" i="1"/>
  <c r="FL93" i="1"/>
  <c r="FG93" i="1"/>
  <c r="FC93" i="1"/>
  <c r="EY93" i="1"/>
  <c r="EU93" i="1"/>
  <c r="EQ93" i="1"/>
  <c r="EM93" i="1"/>
  <c r="EH93" i="1"/>
  <c r="ED93" i="1"/>
  <c r="DZ93" i="1"/>
  <c r="DV93" i="1"/>
  <c r="DR93" i="1"/>
  <c r="DN93" i="1"/>
  <c r="DI93" i="1"/>
  <c r="DE93" i="1"/>
  <c r="DA93" i="1"/>
  <c r="CW93" i="1"/>
  <c r="CS93" i="1"/>
  <c r="CO93" i="1"/>
  <c r="CN93" i="1"/>
  <c r="CM93" i="1"/>
  <c r="CL93" i="1"/>
  <c r="CG93" i="1"/>
  <c r="CC93" i="1"/>
  <c r="BY93" i="1"/>
  <c r="BU93" i="1"/>
  <c r="BQ93" i="1"/>
  <c r="BM93" i="1"/>
  <c r="BL93" i="1"/>
  <c r="BK93" i="1"/>
  <c r="BJ93" i="1"/>
  <c r="BI93" i="1"/>
  <c r="BH93" i="1"/>
  <c r="BG93" i="1"/>
  <c r="BF93" i="1"/>
  <c r="BE93" i="1"/>
  <c r="DD93" i="1" s="1"/>
  <c r="BD93" i="1"/>
  <c r="BC93" i="1"/>
  <c r="BB93" i="1"/>
  <c r="BA93" i="1"/>
  <c r="AZ93" i="1"/>
  <c r="AY93" i="1"/>
  <c r="AX93" i="1"/>
  <c r="AW93" i="1"/>
  <c r="AV93" i="1"/>
  <c r="AU93" i="1"/>
  <c r="AT93" i="1"/>
  <c r="Z93" i="1"/>
  <c r="W93" i="1"/>
  <c r="T93" i="1"/>
  <c r="Q93" i="1"/>
  <c r="N93" i="1"/>
  <c r="K93" i="1"/>
  <c r="GF92" i="1"/>
  <c r="GB92" i="1"/>
  <c r="FX92" i="1"/>
  <c r="FT92" i="1"/>
  <c r="FP92" i="1"/>
  <c r="FL92" i="1"/>
  <c r="FG92" i="1"/>
  <c r="FC92" i="1"/>
  <c r="EY92" i="1"/>
  <c r="EU92" i="1"/>
  <c r="EQ92" i="1"/>
  <c r="EM92" i="1"/>
  <c r="EH92" i="1"/>
  <c r="ED92" i="1"/>
  <c r="DZ92" i="1"/>
  <c r="DV92" i="1"/>
  <c r="DR92" i="1"/>
  <c r="DN92" i="1"/>
  <c r="DI92" i="1"/>
  <c r="DE92" i="1"/>
  <c r="DA92" i="1"/>
  <c r="CW92" i="1"/>
  <c r="CS92" i="1"/>
  <c r="CO92" i="1"/>
  <c r="CN92" i="1"/>
  <c r="CM92" i="1"/>
  <c r="CL92" i="1"/>
  <c r="CG92" i="1"/>
  <c r="CC92" i="1"/>
  <c r="BY92" i="1"/>
  <c r="BU92" i="1"/>
  <c r="BQ92" i="1"/>
  <c r="BM92" i="1"/>
  <c r="BL92" i="1"/>
  <c r="BK92" i="1"/>
  <c r="BJ92" i="1"/>
  <c r="BI92" i="1"/>
  <c r="BH92" i="1"/>
  <c r="BG92" i="1"/>
  <c r="BF92" i="1"/>
  <c r="BE92" i="1"/>
  <c r="BD92" i="1"/>
  <c r="BC92" i="1"/>
  <c r="BB92" i="1"/>
  <c r="BA92" i="1"/>
  <c r="EW92" i="1" s="1"/>
  <c r="AZ92" i="1"/>
  <c r="AY92" i="1"/>
  <c r="AX92" i="1"/>
  <c r="FR92" i="1" s="1"/>
  <c r="AW92" i="1"/>
  <c r="AV92" i="1"/>
  <c r="AU92" i="1"/>
  <c r="DP92" i="1" s="1"/>
  <c r="AT92" i="1"/>
  <c r="Z92" i="1"/>
  <c r="W92" i="1"/>
  <c r="T92" i="1"/>
  <c r="Q92" i="1"/>
  <c r="N92" i="1"/>
  <c r="K92" i="1"/>
  <c r="GF91" i="1"/>
  <c r="GB91" i="1"/>
  <c r="FX91" i="1"/>
  <c r="FT91" i="1"/>
  <c r="FP91" i="1"/>
  <c r="FL91" i="1"/>
  <c r="FG91" i="1"/>
  <c r="FC91" i="1"/>
  <c r="EY91" i="1"/>
  <c r="EU91" i="1"/>
  <c r="EQ91" i="1"/>
  <c r="EM91" i="1"/>
  <c r="EH91" i="1"/>
  <c r="ED91" i="1"/>
  <c r="DZ91" i="1"/>
  <c r="DV91" i="1"/>
  <c r="DR91" i="1"/>
  <c r="DN91" i="1"/>
  <c r="DI91" i="1"/>
  <c r="DE91" i="1"/>
  <c r="DA91" i="1"/>
  <c r="CW91" i="1"/>
  <c r="CS91" i="1"/>
  <c r="CO91" i="1"/>
  <c r="CN91" i="1"/>
  <c r="CM91" i="1"/>
  <c r="CL91" i="1"/>
  <c r="CG91" i="1"/>
  <c r="CC91" i="1"/>
  <c r="BY91" i="1"/>
  <c r="BU91" i="1"/>
  <c r="BQ91" i="1"/>
  <c r="BM91" i="1"/>
  <c r="BL91" i="1"/>
  <c r="BK91" i="1"/>
  <c r="BJ91" i="1"/>
  <c r="BI91" i="1"/>
  <c r="BH91" i="1"/>
  <c r="BG91" i="1"/>
  <c r="BF91" i="1"/>
  <c r="BE91" i="1"/>
  <c r="BD91" i="1"/>
  <c r="BC91" i="1"/>
  <c r="BB91" i="1"/>
  <c r="BA91" i="1"/>
  <c r="AZ91" i="1"/>
  <c r="AY91" i="1"/>
  <c r="AX91" i="1"/>
  <c r="AW91" i="1"/>
  <c r="AV91" i="1"/>
  <c r="AU91" i="1"/>
  <c r="AT91" i="1"/>
  <c r="Z91" i="1"/>
  <c r="W91" i="1"/>
  <c r="T91" i="1"/>
  <c r="Q91" i="1"/>
  <c r="N91" i="1"/>
  <c r="K91" i="1"/>
  <c r="GF90" i="1"/>
  <c r="GB90" i="1"/>
  <c r="FX90" i="1"/>
  <c r="FT90" i="1"/>
  <c r="FP90" i="1"/>
  <c r="FL90" i="1"/>
  <c r="FG90" i="1"/>
  <c r="FC90" i="1"/>
  <c r="EY90" i="1"/>
  <c r="EU90" i="1"/>
  <c r="EQ90" i="1"/>
  <c r="EM90" i="1"/>
  <c r="EH90" i="1"/>
  <c r="ED90" i="1"/>
  <c r="DZ90" i="1"/>
  <c r="DV90" i="1"/>
  <c r="DR90" i="1"/>
  <c r="DN90" i="1"/>
  <c r="DI90" i="1"/>
  <c r="DE90" i="1"/>
  <c r="DA90" i="1"/>
  <c r="CW90" i="1"/>
  <c r="CS90" i="1"/>
  <c r="CO90" i="1"/>
  <c r="CN90" i="1"/>
  <c r="CM90" i="1"/>
  <c r="CL90" i="1"/>
  <c r="CG90" i="1"/>
  <c r="CC90" i="1"/>
  <c r="BY90" i="1"/>
  <c r="BU90" i="1"/>
  <c r="BQ90" i="1"/>
  <c r="BM90" i="1"/>
  <c r="BL90" i="1"/>
  <c r="BK90" i="1"/>
  <c r="BJ90" i="1"/>
  <c r="BI90" i="1"/>
  <c r="BH90" i="1"/>
  <c r="BG90" i="1"/>
  <c r="BF90" i="1"/>
  <c r="BE90" i="1"/>
  <c r="BD90" i="1"/>
  <c r="DC90" i="1" s="1"/>
  <c r="BC90" i="1"/>
  <c r="BB90" i="1"/>
  <c r="BA90" i="1"/>
  <c r="AZ90" i="1"/>
  <c r="AY90" i="1"/>
  <c r="AX90" i="1"/>
  <c r="AW90" i="1"/>
  <c r="AV90" i="1"/>
  <c r="AU90" i="1"/>
  <c r="AT90" i="1"/>
  <c r="Z90" i="1"/>
  <c r="W90" i="1"/>
  <c r="T90" i="1"/>
  <c r="Q90" i="1"/>
  <c r="N90" i="1"/>
  <c r="K90" i="1"/>
  <c r="GF89" i="1"/>
  <c r="GB89" i="1"/>
  <c r="FX89" i="1"/>
  <c r="FT89" i="1"/>
  <c r="FP89" i="1"/>
  <c r="FL89" i="1"/>
  <c r="FG89" i="1"/>
  <c r="FC89" i="1"/>
  <c r="EY89" i="1"/>
  <c r="EU89" i="1"/>
  <c r="EQ89" i="1"/>
  <c r="EM89" i="1"/>
  <c r="EH89" i="1"/>
  <c r="ED89" i="1"/>
  <c r="DZ89" i="1"/>
  <c r="DV89" i="1"/>
  <c r="DR89" i="1"/>
  <c r="DN89" i="1"/>
  <c r="DI89" i="1"/>
  <c r="DE89" i="1"/>
  <c r="DA89" i="1"/>
  <c r="CW89" i="1"/>
  <c r="CS89" i="1"/>
  <c r="CT89" i="1" s="1"/>
  <c r="CO89" i="1"/>
  <c r="CN89" i="1"/>
  <c r="CM89" i="1"/>
  <c r="CL89" i="1"/>
  <c r="CG89" i="1"/>
  <c r="CC89" i="1"/>
  <c r="BY89" i="1"/>
  <c r="BU89" i="1"/>
  <c r="BQ89" i="1"/>
  <c r="BM89" i="1"/>
  <c r="BL89" i="1"/>
  <c r="BK89" i="1"/>
  <c r="BJ89" i="1"/>
  <c r="BI89" i="1"/>
  <c r="BH89" i="1"/>
  <c r="BG89" i="1"/>
  <c r="BF89" i="1"/>
  <c r="BE89" i="1"/>
  <c r="BD89" i="1"/>
  <c r="BC89" i="1"/>
  <c r="BB89" i="1"/>
  <c r="BA89" i="1"/>
  <c r="FV89" i="1" s="1"/>
  <c r="AZ89" i="1"/>
  <c r="AY89" i="1"/>
  <c r="AX89" i="1"/>
  <c r="AW89" i="1"/>
  <c r="DS89" i="1" s="1"/>
  <c r="AV89" i="1"/>
  <c r="AU89" i="1"/>
  <c r="AT89" i="1"/>
  <c r="Z89" i="1"/>
  <c r="W89" i="1"/>
  <c r="T89" i="1"/>
  <c r="Q89" i="1"/>
  <c r="N89" i="1"/>
  <c r="K89" i="1"/>
  <c r="GF88" i="1"/>
  <c r="GB88" i="1"/>
  <c r="FX88" i="1"/>
  <c r="FT88" i="1"/>
  <c r="FP88" i="1"/>
  <c r="FL88" i="1"/>
  <c r="FG88" i="1"/>
  <c r="FC88" i="1"/>
  <c r="EY88" i="1"/>
  <c r="EU88" i="1"/>
  <c r="EQ88" i="1"/>
  <c r="EM88" i="1"/>
  <c r="EH88" i="1"/>
  <c r="ED88" i="1"/>
  <c r="DZ88" i="1"/>
  <c r="DV88" i="1"/>
  <c r="DR88" i="1"/>
  <c r="DN88" i="1"/>
  <c r="DI88" i="1"/>
  <c r="DE88" i="1"/>
  <c r="DA88" i="1"/>
  <c r="CW88" i="1"/>
  <c r="CS88" i="1"/>
  <c r="CO88" i="1"/>
  <c r="CN88" i="1"/>
  <c r="CM88" i="1"/>
  <c r="CL88" i="1"/>
  <c r="CG88" i="1"/>
  <c r="CC88" i="1"/>
  <c r="BY88" i="1"/>
  <c r="BU88" i="1"/>
  <c r="BQ88" i="1"/>
  <c r="BM88" i="1"/>
  <c r="BL88" i="1"/>
  <c r="BK88" i="1"/>
  <c r="BJ88" i="1"/>
  <c r="GH88" i="1" s="1"/>
  <c r="BI88" i="1"/>
  <c r="BH88" i="1"/>
  <c r="BG88" i="1"/>
  <c r="GD88" i="1" s="1"/>
  <c r="BF88" i="1"/>
  <c r="BE88" i="1"/>
  <c r="BD88" i="1"/>
  <c r="EB88" i="1" s="1"/>
  <c r="BC88" i="1"/>
  <c r="BB88" i="1"/>
  <c r="BA88" i="1"/>
  <c r="AZ88" i="1"/>
  <c r="AY88" i="1"/>
  <c r="AX88" i="1"/>
  <c r="AW88" i="1"/>
  <c r="AV88" i="1"/>
  <c r="AU88" i="1"/>
  <c r="CQ88" i="1" s="1"/>
  <c r="AT88" i="1"/>
  <c r="BN88" i="1" s="1"/>
  <c r="Z88" i="1"/>
  <c r="W88" i="1"/>
  <c r="T88" i="1"/>
  <c r="Q88" i="1"/>
  <c r="N88" i="1"/>
  <c r="K88" i="1"/>
  <c r="GF87" i="1"/>
  <c r="GB87" i="1"/>
  <c r="FX87" i="1"/>
  <c r="FT87" i="1"/>
  <c r="FP87" i="1"/>
  <c r="FL87" i="1"/>
  <c r="FG87" i="1"/>
  <c r="FC87" i="1"/>
  <c r="EY87" i="1"/>
  <c r="EU87" i="1"/>
  <c r="EQ87" i="1"/>
  <c r="EM87" i="1"/>
  <c r="EH87" i="1"/>
  <c r="ED87" i="1"/>
  <c r="DZ87" i="1"/>
  <c r="DV87" i="1"/>
  <c r="DR87" i="1"/>
  <c r="DN87" i="1"/>
  <c r="DI87" i="1"/>
  <c r="DE87" i="1"/>
  <c r="DA87" i="1"/>
  <c r="CW87" i="1"/>
  <c r="CS87" i="1"/>
  <c r="CO87" i="1"/>
  <c r="CN87" i="1"/>
  <c r="CM87" i="1"/>
  <c r="CL87" i="1"/>
  <c r="CG87" i="1"/>
  <c r="CC87" i="1"/>
  <c r="BY87" i="1"/>
  <c r="BU87" i="1"/>
  <c r="BQ87" i="1"/>
  <c r="BM87" i="1"/>
  <c r="BL87" i="1"/>
  <c r="BK87" i="1"/>
  <c r="BJ87" i="1"/>
  <c r="BI87" i="1"/>
  <c r="BH87" i="1"/>
  <c r="BG87" i="1"/>
  <c r="BF87" i="1"/>
  <c r="BE87" i="1"/>
  <c r="BD87" i="1"/>
  <c r="BC87" i="1"/>
  <c r="BB87" i="1"/>
  <c r="BA87" i="1"/>
  <c r="AZ87" i="1"/>
  <c r="AY87" i="1"/>
  <c r="AX87" i="1"/>
  <c r="AW87" i="1"/>
  <c r="AV87" i="1"/>
  <c r="AU87" i="1"/>
  <c r="AT87" i="1"/>
  <c r="Z87" i="1"/>
  <c r="W87" i="1"/>
  <c r="T87" i="1"/>
  <c r="Q87" i="1"/>
  <c r="N87" i="1"/>
  <c r="K87" i="1"/>
  <c r="GF86" i="1"/>
  <c r="GB86" i="1"/>
  <c r="FX86" i="1"/>
  <c r="GA86" i="1" s="1"/>
  <c r="FT86" i="1"/>
  <c r="FP86" i="1"/>
  <c r="FL86" i="1"/>
  <c r="FG86" i="1"/>
  <c r="FC86" i="1"/>
  <c r="EY86" i="1"/>
  <c r="EU86" i="1"/>
  <c r="EQ86" i="1"/>
  <c r="EM86" i="1"/>
  <c r="EH86" i="1"/>
  <c r="ED86" i="1"/>
  <c r="DZ86" i="1"/>
  <c r="DV86" i="1"/>
  <c r="DR86" i="1"/>
  <c r="DN86" i="1"/>
  <c r="DI86" i="1"/>
  <c r="DE86" i="1"/>
  <c r="DA86" i="1"/>
  <c r="CW86" i="1"/>
  <c r="CS86" i="1"/>
  <c r="CO86" i="1"/>
  <c r="CN86" i="1"/>
  <c r="CM86" i="1"/>
  <c r="CL86" i="1"/>
  <c r="CG86" i="1"/>
  <c r="CC86" i="1"/>
  <c r="BY86" i="1"/>
  <c r="BU86" i="1"/>
  <c r="BQ86" i="1"/>
  <c r="BM86" i="1"/>
  <c r="BL86" i="1"/>
  <c r="BK86" i="1"/>
  <c r="BJ86" i="1"/>
  <c r="BI86" i="1"/>
  <c r="BH86" i="1"/>
  <c r="BG86" i="1"/>
  <c r="BF86" i="1"/>
  <c r="BE86" i="1"/>
  <c r="BD86" i="1"/>
  <c r="BC86" i="1"/>
  <c r="BB86" i="1"/>
  <c r="BA86" i="1"/>
  <c r="AZ86" i="1"/>
  <c r="AY86" i="1"/>
  <c r="AX86" i="1"/>
  <c r="AW86" i="1"/>
  <c r="AV86" i="1"/>
  <c r="AU86" i="1"/>
  <c r="AT86" i="1"/>
  <c r="Z86" i="1"/>
  <c r="W86" i="1"/>
  <c r="T86" i="1"/>
  <c r="Q86" i="1"/>
  <c r="N86" i="1"/>
  <c r="K86" i="1"/>
  <c r="GF85" i="1"/>
  <c r="GB85" i="1"/>
  <c r="FX85" i="1"/>
  <c r="FT85" i="1"/>
  <c r="FP85" i="1"/>
  <c r="FL85" i="1"/>
  <c r="FG85" i="1"/>
  <c r="FC85" i="1"/>
  <c r="EY85" i="1"/>
  <c r="EU85" i="1"/>
  <c r="EQ85" i="1"/>
  <c r="EM85" i="1"/>
  <c r="EH85" i="1"/>
  <c r="ED85" i="1"/>
  <c r="DZ85" i="1"/>
  <c r="DV85" i="1"/>
  <c r="DR85" i="1"/>
  <c r="DN85" i="1"/>
  <c r="DI85" i="1"/>
  <c r="DE85" i="1"/>
  <c r="DA85" i="1"/>
  <c r="CW85" i="1"/>
  <c r="CS85" i="1"/>
  <c r="CO85" i="1"/>
  <c r="CN85" i="1"/>
  <c r="CM85" i="1"/>
  <c r="CL85" i="1"/>
  <c r="CG85" i="1"/>
  <c r="CC85" i="1"/>
  <c r="BY85" i="1"/>
  <c r="BU85" i="1"/>
  <c r="BQ85" i="1"/>
  <c r="BM85" i="1"/>
  <c r="BL85" i="1"/>
  <c r="BK85" i="1"/>
  <c r="BJ85" i="1"/>
  <c r="CI85" i="1" s="1"/>
  <c r="BI85" i="1"/>
  <c r="BH85" i="1"/>
  <c r="BG85" i="1"/>
  <c r="DG85" i="1" s="1"/>
  <c r="BF85" i="1"/>
  <c r="DF85" i="1" s="1"/>
  <c r="BE85" i="1"/>
  <c r="BD85" i="1"/>
  <c r="BC85" i="1"/>
  <c r="BB85" i="1"/>
  <c r="BA85" i="1"/>
  <c r="AZ85" i="1"/>
  <c r="AY85" i="1"/>
  <c r="AX85" i="1"/>
  <c r="FR85" i="1" s="1"/>
  <c r="AW85" i="1"/>
  <c r="AV85" i="1"/>
  <c r="AU85" i="1"/>
  <c r="AT85" i="1"/>
  <c r="Z85" i="1"/>
  <c r="W85" i="1"/>
  <c r="T85" i="1"/>
  <c r="Q85" i="1"/>
  <c r="N85" i="1"/>
  <c r="K85" i="1"/>
  <c r="GF84" i="1"/>
  <c r="GB84" i="1"/>
  <c r="FX84" i="1"/>
  <c r="GA84" i="1" s="1"/>
  <c r="FT84" i="1"/>
  <c r="FP84" i="1"/>
  <c r="FL84" i="1"/>
  <c r="FG84" i="1"/>
  <c r="FC84" i="1"/>
  <c r="EY84" i="1"/>
  <c r="EU84" i="1"/>
  <c r="EQ84" i="1"/>
  <c r="EM84" i="1"/>
  <c r="EH84" i="1"/>
  <c r="ED84" i="1"/>
  <c r="DZ84" i="1"/>
  <c r="DV84" i="1"/>
  <c r="DR84" i="1"/>
  <c r="DN84" i="1"/>
  <c r="DI84" i="1"/>
  <c r="DE84" i="1"/>
  <c r="DA84" i="1"/>
  <c r="CW84" i="1"/>
  <c r="CS84" i="1"/>
  <c r="CO84" i="1"/>
  <c r="CN84" i="1"/>
  <c r="CM84" i="1"/>
  <c r="CL84" i="1"/>
  <c r="CG84" i="1"/>
  <c r="CC84" i="1"/>
  <c r="BY84" i="1"/>
  <c r="BU84" i="1"/>
  <c r="BQ84" i="1"/>
  <c r="BM84" i="1"/>
  <c r="BL84" i="1"/>
  <c r="BK84" i="1"/>
  <c r="BJ84" i="1"/>
  <c r="BI84" i="1"/>
  <c r="BH84" i="1"/>
  <c r="BG84" i="1"/>
  <c r="BF84" i="1"/>
  <c r="BE84" i="1"/>
  <c r="BD84" i="1"/>
  <c r="DC84" i="1" s="1"/>
  <c r="BC84" i="1"/>
  <c r="BB84" i="1"/>
  <c r="BA84" i="1"/>
  <c r="DX84" i="1" s="1"/>
  <c r="AZ84" i="1"/>
  <c r="AY84" i="1"/>
  <c r="AX84" i="1"/>
  <c r="FR84" i="1" s="1"/>
  <c r="AW84" i="1"/>
  <c r="AV84" i="1"/>
  <c r="AU84" i="1"/>
  <c r="BO84" i="1" s="1"/>
  <c r="AT84" i="1"/>
  <c r="Z84" i="1"/>
  <c r="W84" i="1"/>
  <c r="T84" i="1"/>
  <c r="Q84" i="1"/>
  <c r="N84" i="1"/>
  <c r="K84" i="1"/>
  <c r="GF83" i="1"/>
  <c r="GB83" i="1"/>
  <c r="FX83" i="1"/>
  <c r="FT83" i="1"/>
  <c r="FP83" i="1"/>
  <c r="FL83" i="1"/>
  <c r="FG83" i="1"/>
  <c r="FC83" i="1"/>
  <c r="EY83" i="1"/>
  <c r="EU83" i="1"/>
  <c r="EQ83" i="1"/>
  <c r="EM83" i="1"/>
  <c r="EH83" i="1"/>
  <c r="ED83" i="1"/>
  <c r="DZ83" i="1"/>
  <c r="DV83" i="1"/>
  <c r="DR83" i="1"/>
  <c r="DN83" i="1"/>
  <c r="DI83" i="1"/>
  <c r="DE83" i="1"/>
  <c r="DA83" i="1"/>
  <c r="CW83" i="1"/>
  <c r="CS83" i="1"/>
  <c r="CO83" i="1"/>
  <c r="CN83" i="1"/>
  <c r="CM83" i="1"/>
  <c r="CL83" i="1"/>
  <c r="CG83" i="1"/>
  <c r="CC83" i="1"/>
  <c r="BY83" i="1"/>
  <c r="BU83" i="1"/>
  <c r="BQ83" i="1"/>
  <c r="BM83" i="1"/>
  <c r="BL83" i="1"/>
  <c r="BK83" i="1"/>
  <c r="CJ83" i="1" s="1"/>
  <c r="BJ83" i="1"/>
  <c r="BI83" i="1"/>
  <c r="BH83" i="1"/>
  <c r="BG83" i="1"/>
  <c r="BF83" i="1"/>
  <c r="BE83" i="1"/>
  <c r="BD83" i="1"/>
  <c r="BC83" i="1"/>
  <c r="BB83" i="1"/>
  <c r="BA83" i="1"/>
  <c r="AZ83" i="1"/>
  <c r="AY83" i="1"/>
  <c r="AX83" i="1"/>
  <c r="AW83" i="1"/>
  <c r="AV83" i="1"/>
  <c r="AU83" i="1"/>
  <c r="AT83" i="1"/>
  <c r="Z83" i="1"/>
  <c r="W83" i="1"/>
  <c r="T83" i="1"/>
  <c r="Q83" i="1"/>
  <c r="N83" i="1"/>
  <c r="K83" i="1"/>
  <c r="GF82" i="1"/>
  <c r="GB82" i="1"/>
  <c r="FX82" i="1"/>
  <c r="FT82" i="1"/>
  <c r="FP82" i="1"/>
  <c r="FL82" i="1"/>
  <c r="FG82" i="1"/>
  <c r="FC82" i="1"/>
  <c r="EY82" i="1"/>
  <c r="EU82" i="1"/>
  <c r="EQ82" i="1"/>
  <c r="EM82" i="1"/>
  <c r="EH82" i="1"/>
  <c r="ED82" i="1"/>
  <c r="DZ82" i="1"/>
  <c r="DV82" i="1"/>
  <c r="DR82" i="1"/>
  <c r="DN82" i="1"/>
  <c r="DI82" i="1"/>
  <c r="DE82" i="1"/>
  <c r="DA82" i="1"/>
  <c r="CW82" i="1"/>
  <c r="CS82" i="1"/>
  <c r="CO82" i="1"/>
  <c r="CN82" i="1"/>
  <c r="CM82" i="1"/>
  <c r="CL82" i="1"/>
  <c r="CG82" i="1"/>
  <c r="CC82" i="1"/>
  <c r="BY82" i="1"/>
  <c r="BU82" i="1"/>
  <c r="BQ82" i="1"/>
  <c r="BM82" i="1"/>
  <c r="BL82" i="1"/>
  <c r="BK82" i="1"/>
  <c r="BJ82" i="1"/>
  <c r="CI82" i="1" s="1"/>
  <c r="BI82" i="1"/>
  <c r="BH82" i="1"/>
  <c r="BG82" i="1"/>
  <c r="DG82" i="1" s="1"/>
  <c r="BF82" i="1"/>
  <c r="BE82" i="1"/>
  <c r="BD82" i="1"/>
  <c r="FA82" i="1" s="1"/>
  <c r="BC82" i="1"/>
  <c r="BZ82" i="1" s="1"/>
  <c r="BB82" i="1"/>
  <c r="BA82" i="1"/>
  <c r="CY82" i="1" s="1"/>
  <c r="AZ82" i="1"/>
  <c r="AY82" i="1"/>
  <c r="AX82" i="1"/>
  <c r="AW82" i="1"/>
  <c r="AV82" i="1"/>
  <c r="AU82" i="1"/>
  <c r="EO82" i="1" s="1"/>
  <c r="AT82" i="1"/>
  <c r="Z82" i="1"/>
  <c r="W82" i="1"/>
  <c r="T82" i="1"/>
  <c r="Q82" i="1"/>
  <c r="N82" i="1"/>
  <c r="K82" i="1"/>
  <c r="GF81" i="1"/>
  <c r="GB81" i="1"/>
  <c r="FX81" i="1"/>
  <c r="FT81" i="1"/>
  <c r="FP81" i="1"/>
  <c r="FL81" i="1"/>
  <c r="FG81" i="1"/>
  <c r="FC81" i="1"/>
  <c r="EY81" i="1"/>
  <c r="EU81" i="1"/>
  <c r="EQ81" i="1"/>
  <c r="EM81" i="1"/>
  <c r="EH81" i="1"/>
  <c r="ED81" i="1"/>
  <c r="DZ81" i="1"/>
  <c r="DV81" i="1"/>
  <c r="DR81" i="1"/>
  <c r="DN81" i="1"/>
  <c r="DI81" i="1"/>
  <c r="DE81" i="1"/>
  <c r="DA81" i="1"/>
  <c r="CW81" i="1"/>
  <c r="CS81" i="1"/>
  <c r="CO81" i="1"/>
  <c r="CN81" i="1"/>
  <c r="CM81" i="1"/>
  <c r="CL81" i="1"/>
  <c r="CG81" i="1"/>
  <c r="CC81" i="1"/>
  <c r="BY81" i="1"/>
  <c r="BU81" i="1"/>
  <c r="BQ81" i="1"/>
  <c r="BM81" i="1"/>
  <c r="BL81" i="1"/>
  <c r="BK81" i="1"/>
  <c r="BJ81" i="1"/>
  <c r="GH81" i="1" s="1"/>
  <c r="BI81" i="1"/>
  <c r="BH81" i="1"/>
  <c r="BG81" i="1"/>
  <c r="BF81" i="1"/>
  <c r="BE81" i="1"/>
  <c r="BD81" i="1"/>
  <c r="FZ81" i="1" s="1"/>
  <c r="BC81" i="1"/>
  <c r="BB81" i="1"/>
  <c r="BX81" i="1" s="1"/>
  <c r="BA81" i="1"/>
  <c r="CY81" i="1" s="1"/>
  <c r="AZ81" i="1"/>
  <c r="AY81" i="1"/>
  <c r="AX81" i="1"/>
  <c r="BS81" i="1" s="1"/>
  <c r="AW81" i="1"/>
  <c r="AV81" i="1"/>
  <c r="AU81" i="1"/>
  <c r="AT81" i="1"/>
  <c r="EN81" i="1" s="1"/>
  <c r="Z81" i="1"/>
  <c r="W81" i="1"/>
  <c r="T81" i="1"/>
  <c r="Q81" i="1"/>
  <c r="N81" i="1"/>
  <c r="K81" i="1"/>
  <c r="GF80" i="1"/>
  <c r="GB80" i="1"/>
  <c r="FX80" i="1"/>
  <c r="FT80" i="1"/>
  <c r="FP80" i="1"/>
  <c r="FL80" i="1"/>
  <c r="FG80" i="1"/>
  <c r="FC80" i="1"/>
  <c r="EY80" i="1"/>
  <c r="EU80" i="1"/>
  <c r="EQ80" i="1"/>
  <c r="EM80" i="1"/>
  <c r="EH80" i="1"/>
  <c r="ED80" i="1"/>
  <c r="DZ80" i="1"/>
  <c r="DV80" i="1"/>
  <c r="DR80" i="1"/>
  <c r="DN80" i="1"/>
  <c r="DI80" i="1"/>
  <c r="DE80" i="1"/>
  <c r="DA80" i="1"/>
  <c r="CW80" i="1"/>
  <c r="CS80" i="1"/>
  <c r="CO80" i="1"/>
  <c r="CN80" i="1"/>
  <c r="CM80" i="1"/>
  <c r="CL80" i="1"/>
  <c r="CG80" i="1"/>
  <c r="CC80" i="1"/>
  <c r="BY80" i="1"/>
  <c r="BU80" i="1"/>
  <c r="BQ80" i="1"/>
  <c r="BM80" i="1"/>
  <c r="BL80" i="1"/>
  <c r="BK80" i="1"/>
  <c r="BJ80" i="1"/>
  <c r="BI80" i="1"/>
  <c r="BH80" i="1"/>
  <c r="BG80" i="1"/>
  <c r="BF80" i="1"/>
  <c r="BE80" i="1"/>
  <c r="CB80" i="1" s="1"/>
  <c r="BD80" i="1"/>
  <c r="FA80" i="1" s="1"/>
  <c r="BC80" i="1"/>
  <c r="BB80" i="1"/>
  <c r="BA80" i="1"/>
  <c r="FV80" i="1" s="1"/>
  <c r="AZ80" i="1"/>
  <c r="AY80" i="1"/>
  <c r="AX80" i="1"/>
  <c r="CU80" i="1" s="1"/>
  <c r="AW80" i="1"/>
  <c r="AV80" i="1"/>
  <c r="AU80" i="1"/>
  <c r="FN80" i="1" s="1"/>
  <c r="AT80" i="1"/>
  <c r="Z80" i="1"/>
  <c r="W80" i="1"/>
  <c r="T80" i="1"/>
  <c r="Q80" i="1"/>
  <c r="N80" i="1"/>
  <c r="K80" i="1"/>
  <c r="GF79" i="1"/>
  <c r="GB79" i="1"/>
  <c r="FX79" i="1"/>
  <c r="FT79" i="1"/>
  <c r="FP79" i="1"/>
  <c r="FL79" i="1"/>
  <c r="FG79" i="1"/>
  <c r="FC79" i="1"/>
  <c r="EY79" i="1"/>
  <c r="FA79" i="1" s="1"/>
  <c r="EU79" i="1"/>
  <c r="EQ79" i="1"/>
  <c r="EM79" i="1"/>
  <c r="EH79" i="1"/>
  <c r="ED79" i="1"/>
  <c r="DZ79" i="1"/>
  <c r="DV79" i="1"/>
  <c r="DR79" i="1"/>
  <c r="DN79" i="1"/>
  <c r="DI79" i="1"/>
  <c r="DE79" i="1"/>
  <c r="DA79" i="1"/>
  <c r="CW79" i="1"/>
  <c r="CS79" i="1"/>
  <c r="CO79" i="1"/>
  <c r="CN79" i="1"/>
  <c r="CM79" i="1"/>
  <c r="CL79" i="1"/>
  <c r="CG79" i="1"/>
  <c r="CC79" i="1"/>
  <c r="BY79" i="1"/>
  <c r="BU79" i="1"/>
  <c r="BQ79" i="1"/>
  <c r="BM79" i="1"/>
  <c r="BL79" i="1"/>
  <c r="BK79" i="1"/>
  <c r="BJ79" i="1"/>
  <c r="BI79" i="1"/>
  <c r="GG79" i="1" s="1"/>
  <c r="BH79" i="1"/>
  <c r="BG79" i="1"/>
  <c r="BF79" i="1"/>
  <c r="GC79" i="1" s="1"/>
  <c r="BE79" i="1"/>
  <c r="BD79" i="1"/>
  <c r="BC79" i="1"/>
  <c r="BB79" i="1"/>
  <c r="BA79" i="1"/>
  <c r="FV79" i="1" s="1"/>
  <c r="AZ79" i="1"/>
  <c r="AY79" i="1"/>
  <c r="AX79" i="1"/>
  <c r="FR79" i="1" s="1"/>
  <c r="AW79" i="1"/>
  <c r="AV79" i="1"/>
  <c r="AU79" i="1"/>
  <c r="AT79" i="1"/>
  <c r="Z79" i="1"/>
  <c r="W79" i="1"/>
  <c r="T79" i="1"/>
  <c r="Q79" i="1"/>
  <c r="N79" i="1"/>
  <c r="K79" i="1"/>
  <c r="GF78" i="1"/>
  <c r="GB78" i="1"/>
  <c r="FX78" i="1"/>
  <c r="FT78" i="1"/>
  <c r="FP78" i="1"/>
  <c r="FL78" i="1"/>
  <c r="FG78" i="1"/>
  <c r="FC78" i="1"/>
  <c r="EY78" i="1"/>
  <c r="EU78" i="1"/>
  <c r="EQ78" i="1"/>
  <c r="EM78" i="1"/>
  <c r="EP78" i="1" s="1"/>
  <c r="EH78" i="1"/>
  <c r="ED78" i="1"/>
  <c r="DZ78" i="1"/>
  <c r="DV78" i="1"/>
  <c r="DR78" i="1"/>
  <c r="DN78" i="1"/>
  <c r="DI78" i="1"/>
  <c r="DE78" i="1"/>
  <c r="DA78" i="1"/>
  <c r="CW78" i="1"/>
  <c r="CS78" i="1"/>
  <c r="CO78" i="1"/>
  <c r="CN78" i="1"/>
  <c r="CM78" i="1"/>
  <c r="CL78" i="1"/>
  <c r="CG78" i="1"/>
  <c r="CC78" i="1"/>
  <c r="BY78" i="1"/>
  <c r="BU78" i="1"/>
  <c r="BQ78" i="1"/>
  <c r="BM78" i="1"/>
  <c r="BL78" i="1"/>
  <c r="BK78" i="1"/>
  <c r="BJ78" i="1"/>
  <c r="BI78" i="1"/>
  <c r="BH78" i="1"/>
  <c r="EG78" i="1" s="1"/>
  <c r="BG78" i="1"/>
  <c r="BF78" i="1"/>
  <c r="BE78" i="1"/>
  <c r="BD78" i="1"/>
  <c r="BC78" i="1"/>
  <c r="BB78" i="1"/>
  <c r="BA78" i="1"/>
  <c r="AZ78" i="1"/>
  <c r="AY78" i="1"/>
  <c r="FS78" i="1" s="1"/>
  <c r="AX78" i="1"/>
  <c r="AW78" i="1"/>
  <c r="AV78" i="1"/>
  <c r="BP78" i="1" s="1"/>
  <c r="AU78" i="1"/>
  <c r="AT78" i="1"/>
  <c r="Z78" i="1"/>
  <c r="W78" i="1"/>
  <c r="T78" i="1"/>
  <c r="Q78" i="1"/>
  <c r="N78" i="1"/>
  <c r="K78" i="1"/>
  <c r="GF77" i="1"/>
  <c r="GB77" i="1"/>
  <c r="FX77" i="1"/>
  <c r="FT77" i="1"/>
  <c r="FP77" i="1"/>
  <c r="FL77" i="1"/>
  <c r="FG77" i="1"/>
  <c r="FC77" i="1"/>
  <c r="EY77" i="1"/>
  <c r="EU77" i="1"/>
  <c r="EW77" i="1" s="1"/>
  <c r="EQ77" i="1"/>
  <c r="EM77" i="1"/>
  <c r="EH77" i="1"/>
  <c r="ED77" i="1"/>
  <c r="DZ77" i="1"/>
  <c r="DV77" i="1"/>
  <c r="DR77" i="1"/>
  <c r="DN77" i="1"/>
  <c r="DI77" i="1"/>
  <c r="DE77" i="1"/>
  <c r="DH77" i="1" s="1"/>
  <c r="DA77" i="1"/>
  <c r="CW77" i="1"/>
  <c r="CS77" i="1"/>
  <c r="CO77" i="1"/>
  <c r="CN77" i="1"/>
  <c r="CM77" i="1"/>
  <c r="CL77" i="1"/>
  <c r="CG77" i="1"/>
  <c r="CC77" i="1"/>
  <c r="BY77" i="1"/>
  <c r="BU77" i="1"/>
  <c r="BQ77" i="1"/>
  <c r="BM77" i="1"/>
  <c r="BL77" i="1"/>
  <c r="BK77" i="1"/>
  <c r="BJ77" i="1"/>
  <c r="BI77" i="1"/>
  <c r="BH77" i="1"/>
  <c r="BG77" i="1"/>
  <c r="BF77" i="1"/>
  <c r="BE77" i="1"/>
  <c r="BD77" i="1"/>
  <c r="BC77" i="1"/>
  <c r="BB77" i="1"/>
  <c r="BA77" i="1"/>
  <c r="AZ77" i="1"/>
  <c r="AY77" i="1"/>
  <c r="AX77" i="1"/>
  <c r="AW77" i="1"/>
  <c r="AV77" i="1"/>
  <c r="AU77" i="1"/>
  <c r="AT77" i="1"/>
  <c r="Z77" i="1"/>
  <c r="W77" i="1"/>
  <c r="T77" i="1"/>
  <c r="Q77" i="1"/>
  <c r="N77" i="1"/>
  <c r="K77" i="1"/>
  <c r="GF76" i="1"/>
  <c r="GB76" i="1"/>
  <c r="FX76" i="1"/>
  <c r="FT76" i="1"/>
  <c r="FP76" i="1"/>
  <c r="FL76" i="1"/>
  <c r="FG76" i="1"/>
  <c r="FC76" i="1"/>
  <c r="EY76" i="1"/>
  <c r="EU76" i="1"/>
  <c r="EQ76" i="1"/>
  <c r="EM76" i="1"/>
  <c r="EH76" i="1"/>
  <c r="ED76" i="1"/>
  <c r="DZ76" i="1"/>
  <c r="DV76" i="1"/>
  <c r="DR76" i="1"/>
  <c r="DN76" i="1"/>
  <c r="DI76" i="1"/>
  <c r="DE76" i="1"/>
  <c r="DA76" i="1"/>
  <c r="CW76" i="1"/>
  <c r="CS76" i="1"/>
  <c r="CO76" i="1"/>
  <c r="CN76" i="1"/>
  <c r="CM76" i="1"/>
  <c r="CL76" i="1"/>
  <c r="CG76" i="1"/>
  <c r="CC76" i="1"/>
  <c r="BY76" i="1"/>
  <c r="BU76" i="1"/>
  <c r="BQ76" i="1"/>
  <c r="BM76" i="1"/>
  <c r="BL76" i="1"/>
  <c r="BK76" i="1"/>
  <c r="BJ76" i="1"/>
  <c r="BI76" i="1"/>
  <c r="BH76" i="1"/>
  <c r="BG76" i="1"/>
  <c r="BF76" i="1"/>
  <c r="BE76" i="1"/>
  <c r="BD76" i="1"/>
  <c r="BC76" i="1"/>
  <c r="BB76" i="1"/>
  <c r="CZ76" i="1" s="1"/>
  <c r="BA76" i="1"/>
  <c r="AZ76" i="1"/>
  <c r="AY76" i="1"/>
  <c r="ET76" i="1" s="1"/>
  <c r="AX76" i="1"/>
  <c r="AW76" i="1"/>
  <c r="AV76" i="1"/>
  <c r="AU76" i="1"/>
  <c r="AT76" i="1"/>
  <c r="Z76" i="1"/>
  <c r="W76" i="1"/>
  <c r="T76" i="1"/>
  <c r="Q76" i="1"/>
  <c r="N76" i="1"/>
  <c r="K76" i="1"/>
  <c r="GF75" i="1"/>
  <c r="GB75" i="1"/>
  <c r="FX75" i="1"/>
  <c r="FT75" i="1"/>
  <c r="FP75" i="1"/>
  <c r="FL75" i="1"/>
  <c r="FG75" i="1"/>
  <c r="FC75" i="1"/>
  <c r="EY75" i="1"/>
  <c r="EU75" i="1"/>
  <c r="EQ75" i="1"/>
  <c r="EM75" i="1"/>
  <c r="EH75" i="1"/>
  <c r="ED75" i="1"/>
  <c r="DZ75" i="1"/>
  <c r="EB75" i="1" s="1"/>
  <c r="DV75" i="1"/>
  <c r="DR75" i="1"/>
  <c r="DN75" i="1"/>
  <c r="DI75" i="1"/>
  <c r="DE75" i="1"/>
  <c r="DA75" i="1"/>
  <c r="CW75" i="1"/>
  <c r="CS75" i="1"/>
  <c r="CO75" i="1"/>
  <c r="CN75" i="1"/>
  <c r="CM75" i="1"/>
  <c r="CL75" i="1"/>
  <c r="CG75" i="1"/>
  <c r="CC75" i="1"/>
  <c r="BY75" i="1"/>
  <c r="BU75" i="1"/>
  <c r="BQ75" i="1"/>
  <c r="BM75" i="1"/>
  <c r="BL75" i="1"/>
  <c r="BK75" i="1"/>
  <c r="FJ75" i="1" s="1"/>
  <c r="BJ75" i="1"/>
  <c r="BI75" i="1"/>
  <c r="BH75" i="1"/>
  <c r="BG75" i="1"/>
  <c r="BF75" i="1"/>
  <c r="BE75" i="1"/>
  <c r="BD75" i="1"/>
  <c r="BC75" i="1"/>
  <c r="BB75" i="1"/>
  <c r="BA75" i="1"/>
  <c r="AZ75" i="1"/>
  <c r="BV75" i="1" s="1"/>
  <c r="AY75" i="1"/>
  <c r="AX75" i="1"/>
  <c r="BS75" i="1" s="1"/>
  <c r="AW75" i="1"/>
  <c r="BR75" i="1" s="1"/>
  <c r="AV75" i="1"/>
  <c r="AU75" i="1"/>
  <c r="AT75" i="1"/>
  <c r="Z75" i="1"/>
  <c r="W75" i="1"/>
  <c r="T75" i="1"/>
  <c r="Q75" i="1"/>
  <c r="N75" i="1"/>
  <c r="K75" i="1"/>
  <c r="GF74" i="1"/>
  <c r="GB74" i="1"/>
  <c r="FX74" i="1"/>
  <c r="FT74" i="1"/>
  <c r="FP74" i="1"/>
  <c r="FL74" i="1"/>
  <c r="FG74" i="1"/>
  <c r="FC74" i="1"/>
  <c r="EY74" i="1"/>
  <c r="EU74" i="1"/>
  <c r="EQ74" i="1"/>
  <c r="EM74" i="1"/>
  <c r="EH74" i="1"/>
  <c r="ED74" i="1"/>
  <c r="DZ74" i="1"/>
  <c r="DV74" i="1"/>
  <c r="DR74" i="1"/>
  <c r="DN74" i="1"/>
  <c r="DI74" i="1"/>
  <c r="DE74" i="1"/>
  <c r="DA74" i="1"/>
  <c r="CW74" i="1"/>
  <c r="CS74" i="1"/>
  <c r="CO74" i="1"/>
  <c r="CN74" i="1"/>
  <c r="CM74" i="1"/>
  <c r="CL74" i="1"/>
  <c r="CG74" i="1"/>
  <c r="CC74" i="1"/>
  <c r="BY74" i="1"/>
  <c r="BU74" i="1"/>
  <c r="BQ74" i="1"/>
  <c r="BM74" i="1"/>
  <c r="BL74" i="1"/>
  <c r="BK74" i="1"/>
  <c r="BJ74" i="1"/>
  <c r="BI74" i="1"/>
  <c r="BH74" i="1"/>
  <c r="BG74" i="1"/>
  <c r="BF74" i="1"/>
  <c r="BE74" i="1"/>
  <c r="BD74" i="1"/>
  <c r="CA74" i="1" s="1"/>
  <c r="BC74" i="1"/>
  <c r="BB74" i="1"/>
  <c r="BA74" i="1"/>
  <c r="FV74" i="1" s="1"/>
  <c r="AZ74" i="1"/>
  <c r="AY74" i="1"/>
  <c r="BT74" i="1" s="1"/>
  <c r="AX74" i="1"/>
  <c r="DT74" i="1" s="1"/>
  <c r="AW74" i="1"/>
  <c r="AV74" i="1"/>
  <c r="AU74" i="1"/>
  <c r="FN74" i="1" s="1"/>
  <c r="AT74" i="1"/>
  <c r="EN74" i="1" s="1"/>
  <c r="Z74" i="1"/>
  <c r="W74" i="1"/>
  <c r="T74" i="1"/>
  <c r="Q74" i="1"/>
  <c r="N74" i="1"/>
  <c r="K74" i="1"/>
  <c r="GF73" i="1"/>
  <c r="GB73" i="1"/>
  <c r="FX73" i="1"/>
  <c r="FT73" i="1"/>
  <c r="FP73" i="1"/>
  <c r="FL73" i="1"/>
  <c r="FG73" i="1"/>
  <c r="FC73" i="1"/>
  <c r="EY73" i="1"/>
  <c r="EU73" i="1"/>
  <c r="EQ73" i="1"/>
  <c r="EM73" i="1"/>
  <c r="EH73" i="1"/>
  <c r="ED73" i="1"/>
  <c r="DZ73" i="1"/>
  <c r="DV73" i="1"/>
  <c r="DR73" i="1"/>
  <c r="DN73" i="1"/>
  <c r="DO73" i="1" s="1"/>
  <c r="DI73" i="1"/>
  <c r="DE73" i="1"/>
  <c r="DA73" i="1"/>
  <c r="CW73" i="1"/>
  <c r="CS73" i="1"/>
  <c r="CO73" i="1"/>
  <c r="CN73" i="1"/>
  <c r="CM73" i="1"/>
  <c r="CL73" i="1"/>
  <c r="CG73" i="1"/>
  <c r="CC73" i="1"/>
  <c r="BY73" i="1"/>
  <c r="BU73" i="1"/>
  <c r="BQ73" i="1"/>
  <c r="BM73" i="1"/>
  <c r="BL73" i="1"/>
  <c r="BK73" i="1"/>
  <c r="FJ73" i="1" s="1"/>
  <c r="BJ73" i="1"/>
  <c r="BI73" i="1"/>
  <c r="BH73" i="1"/>
  <c r="BG73" i="1"/>
  <c r="BF73" i="1"/>
  <c r="BE73" i="1"/>
  <c r="BD73" i="1"/>
  <c r="BC73" i="1"/>
  <c r="BB73" i="1"/>
  <c r="BA73" i="1"/>
  <c r="CY73" i="1" s="1"/>
  <c r="AZ73" i="1"/>
  <c r="AY73" i="1"/>
  <c r="AX73" i="1"/>
  <c r="AW73" i="1"/>
  <c r="AV73" i="1"/>
  <c r="AU73" i="1"/>
  <c r="AT73" i="1"/>
  <c r="Z73" i="1"/>
  <c r="W73" i="1"/>
  <c r="T73" i="1"/>
  <c r="Q73" i="1"/>
  <c r="N73" i="1"/>
  <c r="K73" i="1"/>
  <c r="GF72" i="1"/>
  <c r="GB72" i="1"/>
  <c r="FX72" i="1"/>
  <c r="FT72" i="1"/>
  <c r="FP72" i="1"/>
  <c r="FL72" i="1"/>
  <c r="FG72" i="1"/>
  <c r="FC72" i="1"/>
  <c r="EY72" i="1"/>
  <c r="EU72" i="1"/>
  <c r="EQ72" i="1"/>
  <c r="EM72" i="1"/>
  <c r="EH72" i="1"/>
  <c r="ED72" i="1"/>
  <c r="DZ72" i="1"/>
  <c r="DV72" i="1"/>
  <c r="DR72" i="1"/>
  <c r="DN72" i="1"/>
  <c r="DI72" i="1"/>
  <c r="DE72" i="1"/>
  <c r="DA72" i="1"/>
  <c r="CW72" i="1"/>
  <c r="CS72" i="1"/>
  <c r="CO72" i="1"/>
  <c r="CN72" i="1"/>
  <c r="CM72" i="1"/>
  <c r="CL72" i="1"/>
  <c r="CG72" i="1"/>
  <c r="CC72" i="1"/>
  <c r="BY72" i="1"/>
  <c r="BU72" i="1"/>
  <c r="BQ72" i="1"/>
  <c r="BM72" i="1"/>
  <c r="BL72" i="1"/>
  <c r="BK72" i="1"/>
  <c r="BJ72" i="1"/>
  <c r="BI72" i="1"/>
  <c r="BH72" i="1"/>
  <c r="BG72" i="1"/>
  <c r="BF72" i="1"/>
  <c r="BE72" i="1"/>
  <c r="BD72" i="1"/>
  <c r="CA72" i="1" s="1"/>
  <c r="BC72" i="1"/>
  <c r="BB72" i="1"/>
  <c r="BA72" i="1"/>
  <c r="AZ72" i="1"/>
  <c r="AY72" i="1"/>
  <c r="AX72" i="1"/>
  <c r="AW72" i="1"/>
  <c r="AV72" i="1"/>
  <c r="AU72" i="1"/>
  <c r="AT72" i="1"/>
  <c r="Z72" i="1"/>
  <c r="W72" i="1"/>
  <c r="T72" i="1"/>
  <c r="Q72" i="1"/>
  <c r="N72" i="1"/>
  <c r="K72" i="1"/>
  <c r="GF71" i="1"/>
  <c r="GB71" i="1"/>
  <c r="FX71" i="1"/>
  <c r="FT71" i="1"/>
  <c r="FP71" i="1"/>
  <c r="FL71" i="1"/>
  <c r="FG71" i="1"/>
  <c r="FC71" i="1"/>
  <c r="EY71" i="1"/>
  <c r="EU71" i="1"/>
  <c r="EQ71" i="1"/>
  <c r="EM71" i="1"/>
  <c r="EH71" i="1"/>
  <c r="ED71" i="1"/>
  <c r="DZ71" i="1"/>
  <c r="DV71" i="1"/>
  <c r="DR71" i="1"/>
  <c r="DN71" i="1"/>
  <c r="DI71" i="1"/>
  <c r="DE71" i="1"/>
  <c r="DA71" i="1"/>
  <c r="CW71" i="1"/>
  <c r="CS71" i="1"/>
  <c r="CO71" i="1"/>
  <c r="CN71" i="1"/>
  <c r="CM71" i="1"/>
  <c r="CL71" i="1"/>
  <c r="CG71" i="1"/>
  <c r="CC71" i="1"/>
  <c r="BY71" i="1"/>
  <c r="BU71" i="1"/>
  <c r="BQ71" i="1"/>
  <c r="BM71" i="1"/>
  <c r="BL71" i="1"/>
  <c r="BK71" i="1"/>
  <c r="BJ71" i="1"/>
  <c r="EJ71" i="1" s="1"/>
  <c r="BI71" i="1"/>
  <c r="BH71" i="1"/>
  <c r="BG71" i="1"/>
  <c r="FE71" i="1" s="1"/>
  <c r="BF71" i="1"/>
  <c r="BE71" i="1"/>
  <c r="BD71" i="1"/>
  <c r="BC71" i="1"/>
  <c r="BB71" i="1"/>
  <c r="BA71" i="1"/>
  <c r="AZ71" i="1"/>
  <c r="AY71" i="1"/>
  <c r="AX71" i="1"/>
  <c r="AW71" i="1"/>
  <c r="AV71" i="1"/>
  <c r="AU71" i="1"/>
  <c r="DP71" i="1" s="1"/>
  <c r="AT71" i="1"/>
  <c r="Z71" i="1"/>
  <c r="W71" i="1"/>
  <c r="T71" i="1"/>
  <c r="Q71" i="1"/>
  <c r="N71" i="1"/>
  <c r="K71" i="1"/>
  <c r="GH70" i="1"/>
  <c r="GF70" i="1"/>
  <c r="GB70" i="1"/>
  <c r="FX70" i="1"/>
  <c r="FT70" i="1"/>
  <c r="FR70" i="1"/>
  <c r="FP70" i="1"/>
  <c r="FL70" i="1"/>
  <c r="FG70" i="1"/>
  <c r="FC70" i="1"/>
  <c r="EY70" i="1"/>
  <c r="EU70" i="1"/>
  <c r="EQ70" i="1"/>
  <c r="EM70" i="1"/>
  <c r="EH70" i="1"/>
  <c r="ED70" i="1"/>
  <c r="EG70" i="1" s="1"/>
  <c r="DZ70" i="1"/>
  <c r="DV70" i="1"/>
  <c r="DR70" i="1"/>
  <c r="DN70" i="1"/>
  <c r="DI70" i="1"/>
  <c r="DE70" i="1"/>
  <c r="DA70" i="1"/>
  <c r="CW70" i="1"/>
  <c r="CU70" i="1"/>
  <c r="CS70" i="1"/>
  <c r="CO70" i="1"/>
  <c r="CN70" i="1"/>
  <c r="CM70" i="1"/>
  <c r="CL70" i="1"/>
  <c r="CG70" i="1"/>
  <c r="CC70" i="1"/>
  <c r="BY70" i="1"/>
  <c r="BU70" i="1"/>
  <c r="BQ70" i="1"/>
  <c r="BT70" i="1" s="1"/>
  <c r="BM70" i="1"/>
  <c r="BL70" i="1"/>
  <c r="BK70" i="1"/>
  <c r="BJ70" i="1"/>
  <c r="EJ70" i="1" s="1"/>
  <c r="BI70" i="1"/>
  <c r="BH70" i="1"/>
  <c r="BG70" i="1"/>
  <c r="EF70" i="1" s="1"/>
  <c r="BF70" i="1"/>
  <c r="GC70" i="1" s="1"/>
  <c r="BE70" i="1"/>
  <c r="BD70" i="1"/>
  <c r="DC70" i="1" s="1"/>
  <c r="BC70" i="1"/>
  <c r="BB70" i="1"/>
  <c r="BA70" i="1"/>
  <c r="AZ70" i="1"/>
  <c r="AY70" i="1"/>
  <c r="AX70" i="1"/>
  <c r="BS70" i="1" s="1"/>
  <c r="AW70" i="1"/>
  <c r="AV70" i="1"/>
  <c r="AU70" i="1"/>
  <c r="AT70" i="1"/>
  <c r="Z70" i="1"/>
  <c r="W70" i="1"/>
  <c r="T70" i="1"/>
  <c r="Q70" i="1"/>
  <c r="N70" i="1"/>
  <c r="K70" i="1"/>
  <c r="GF69" i="1"/>
  <c r="GB69" i="1"/>
  <c r="FX69" i="1"/>
  <c r="FT69" i="1"/>
  <c r="FP69" i="1"/>
  <c r="FL69" i="1"/>
  <c r="FG69" i="1"/>
  <c r="FC69" i="1"/>
  <c r="EY69" i="1"/>
  <c r="EU69" i="1"/>
  <c r="EQ69" i="1"/>
  <c r="EM69" i="1"/>
  <c r="EH69" i="1"/>
  <c r="ED69" i="1"/>
  <c r="DZ69" i="1"/>
  <c r="DV69" i="1"/>
  <c r="DR69" i="1"/>
  <c r="DN69" i="1"/>
  <c r="DI69" i="1"/>
  <c r="DE69" i="1"/>
  <c r="DA69" i="1"/>
  <c r="CW69" i="1"/>
  <c r="CS69" i="1"/>
  <c r="CO69" i="1"/>
  <c r="CN69" i="1"/>
  <c r="CM69" i="1"/>
  <c r="CL69" i="1"/>
  <c r="CG69" i="1"/>
  <c r="CC69" i="1"/>
  <c r="BY69" i="1"/>
  <c r="BU69" i="1"/>
  <c r="BQ69" i="1"/>
  <c r="BM69" i="1"/>
  <c r="BL69" i="1"/>
  <c r="BK69" i="1"/>
  <c r="BJ69" i="1"/>
  <c r="BI69" i="1"/>
  <c r="BH69" i="1"/>
  <c r="BG69" i="1"/>
  <c r="BF69" i="1"/>
  <c r="FD69" i="1" s="1"/>
  <c r="BE69" i="1"/>
  <c r="BD69" i="1"/>
  <c r="BC69" i="1"/>
  <c r="DB69" i="1" s="1"/>
  <c r="BB69" i="1"/>
  <c r="BA69" i="1"/>
  <c r="AZ69" i="1"/>
  <c r="AY69" i="1"/>
  <c r="AX69" i="1"/>
  <c r="AW69" i="1"/>
  <c r="AV69" i="1"/>
  <c r="AU69" i="1"/>
  <c r="DP69" i="1" s="1"/>
  <c r="AT69" i="1"/>
  <c r="Z69" i="1"/>
  <c r="W69" i="1"/>
  <c r="T69" i="1"/>
  <c r="Q69" i="1"/>
  <c r="N69" i="1"/>
  <c r="K69" i="1"/>
  <c r="GF68" i="1"/>
  <c r="GB68" i="1"/>
  <c r="FX68" i="1"/>
  <c r="FT68" i="1"/>
  <c r="FP68" i="1"/>
  <c r="FL68" i="1"/>
  <c r="FG68" i="1"/>
  <c r="FC68" i="1"/>
  <c r="EY68" i="1"/>
  <c r="EU68" i="1"/>
  <c r="EQ68" i="1"/>
  <c r="EM68" i="1"/>
  <c r="EH68" i="1"/>
  <c r="ED68" i="1"/>
  <c r="DZ68" i="1"/>
  <c r="DV68" i="1"/>
  <c r="DR68" i="1"/>
  <c r="DN68" i="1"/>
  <c r="DI68" i="1"/>
  <c r="DE68" i="1"/>
  <c r="DA68" i="1"/>
  <c r="CW68" i="1"/>
  <c r="CS68" i="1"/>
  <c r="CO68" i="1"/>
  <c r="CN68" i="1"/>
  <c r="CM68" i="1"/>
  <c r="CL68" i="1"/>
  <c r="CG68" i="1"/>
  <c r="CC68" i="1"/>
  <c r="BY68" i="1"/>
  <c r="BU68" i="1"/>
  <c r="BQ68" i="1"/>
  <c r="BT68" i="1" s="1"/>
  <c r="BM68" i="1"/>
  <c r="BL68" i="1"/>
  <c r="BK68" i="1"/>
  <c r="BJ68" i="1"/>
  <c r="BI68" i="1"/>
  <c r="BH68" i="1"/>
  <c r="BG68" i="1"/>
  <c r="EF68" i="1" s="1"/>
  <c r="BF68" i="1"/>
  <c r="DF68" i="1" s="1"/>
  <c r="BE68" i="1"/>
  <c r="BD68" i="1"/>
  <c r="BC68" i="1"/>
  <c r="BB68" i="1"/>
  <c r="BA68" i="1"/>
  <c r="FV68" i="1" s="1"/>
  <c r="AZ68" i="1"/>
  <c r="AY68" i="1"/>
  <c r="AX68" i="1"/>
  <c r="AW68" i="1"/>
  <c r="AV68" i="1"/>
  <c r="AU68" i="1"/>
  <c r="EO68" i="1" s="1"/>
  <c r="AT68" i="1"/>
  <c r="Z68" i="1"/>
  <c r="W68" i="1"/>
  <c r="T68" i="1"/>
  <c r="Q68" i="1"/>
  <c r="N68" i="1"/>
  <c r="K68" i="1"/>
  <c r="GF67" i="1"/>
  <c r="GB67" i="1"/>
  <c r="FX67" i="1"/>
  <c r="FT67" i="1"/>
  <c r="FP67" i="1"/>
  <c r="FL67" i="1"/>
  <c r="FG67" i="1"/>
  <c r="FC67" i="1"/>
  <c r="EY67" i="1"/>
  <c r="EU67" i="1"/>
  <c r="EQ67" i="1"/>
  <c r="EM67" i="1"/>
  <c r="EH67" i="1"/>
  <c r="ED67" i="1"/>
  <c r="DZ67" i="1"/>
  <c r="DV67" i="1"/>
  <c r="DR67" i="1"/>
  <c r="DN67" i="1"/>
  <c r="DI67" i="1"/>
  <c r="DE67" i="1"/>
  <c r="DA67" i="1"/>
  <c r="CW67" i="1"/>
  <c r="CS67" i="1"/>
  <c r="CO67" i="1"/>
  <c r="CN67" i="1"/>
  <c r="CM67" i="1"/>
  <c r="CL67" i="1"/>
  <c r="CG67" i="1"/>
  <c r="CC67" i="1"/>
  <c r="BY67" i="1"/>
  <c r="BU67" i="1"/>
  <c r="BQ67" i="1"/>
  <c r="BM67" i="1"/>
  <c r="BL67" i="1"/>
  <c r="BK67" i="1"/>
  <c r="BJ67" i="1"/>
  <c r="BI67" i="1"/>
  <c r="CH67" i="1" s="1"/>
  <c r="BH67" i="1"/>
  <c r="BG67" i="1"/>
  <c r="BF67" i="1"/>
  <c r="BE67" i="1"/>
  <c r="BD67" i="1"/>
  <c r="BC67" i="1"/>
  <c r="BB67" i="1"/>
  <c r="BA67" i="1"/>
  <c r="AZ67" i="1"/>
  <c r="AY67" i="1"/>
  <c r="DU67" i="1" s="1"/>
  <c r="AX67" i="1"/>
  <c r="AW67" i="1"/>
  <c r="AV67" i="1"/>
  <c r="AU67" i="1"/>
  <c r="AT67" i="1"/>
  <c r="Z67" i="1"/>
  <c r="W67" i="1"/>
  <c r="T67" i="1"/>
  <c r="Q67" i="1"/>
  <c r="N67" i="1"/>
  <c r="K67" i="1"/>
  <c r="GF66" i="1"/>
  <c r="GB66" i="1"/>
  <c r="FX66" i="1"/>
  <c r="FT66" i="1"/>
  <c r="FP66" i="1"/>
  <c r="FL66" i="1"/>
  <c r="FG66" i="1"/>
  <c r="FC66" i="1"/>
  <c r="EY66" i="1"/>
  <c r="EU66" i="1"/>
  <c r="EQ66" i="1"/>
  <c r="EM66" i="1"/>
  <c r="EH66" i="1"/>
  <c r="ED66" i="1"/>
  <c r="DZ66" i="1"/>
  <c r="DV66" i="1"/>
  <c r="DR66" i="1"/>
  <c r="DN66" i="1"/>
  <c r="DI66" i="1"/>
  <c r="DE66" i="1"/>
  <c r="DA66" i="1"/>
  <c r="CW66" i="1"/>
  <c r="CS66" i="1"/>
  <c r="CO66" i="1"/>
  <c r="CN66" i="1"/>
  <c r="CM66" i="1"/>
  <c r="CL66" i="1"/>
  <c r="CG66" i="1"/>
  <c r="CC66" i="1"/>
  <c r="BY66" i="1"/>
  <c r="BU66" i="1"/>
  <c r="BQ66" i="1"/>
  <c r="BM66" i="1"/>
  <c r="BL66" i="1"/>
  <c r="BK66" i="1"/>
  <c r="BJ66" i="1"/>
  <c r="EJ66" i="1" s="1"/>
  <c r="BI66" i="1"/>
  <c r="DJ66" i="1" s="1"/>
  <c r="BH66" i="1"/>
  <c r="BG66" i="1"/>
  <c r="FE66" i="1" s="1"/>
  <c r="BF66" i="1"/>
  <c r="BE66" i="1"/>
  <c r="BD66" i="1"/>
  <c r="BC66" i="1"/>
  <c r="BB66" i="1"/>
  <c r="BA66" i="1"/>
  <c r="AZ66" i="1"/>
  <c r="AY66" i="1"/>
  <c r="ET66" i="1" s="1"/>
  <c r="AX66" i="1"/>
  <c r="AW66" i="1"/>
  <c r="AV66" i="1"/>
  <c r="AU66" i="1"/>
  <c r="AT66" i="1"/>
  <c r="Z66" i="1"/>
  <c r="W66" i="1"/>
  <c r="T66" i="1"/>
  <c r="Q66" i="1"/>
  <c r="N66" i="1"/>
  <c r="K66" i="1"/>
  <c r="GF65" i="1"/>
  <c r="GB65" i="1"/>
  <c r="FX65" i="1"/>
  <c r="FT65" i="1"/>
  <c r="FP65" i="1"/>
  <c r="FL65" i="1"/>
  <c r="FG65" i="1"/>
  <c r="FC65" i="1"/>
  <c r="EY65" i="1"/>
  <c r="EU65" i="1"/>
  <c r="EQ65" i="1"/>
  <c r="EM65" i="1"/>
  <c r="EH65" i="1"/>
  <c r="ED65" i="1"/>
  <c r="DZ65" i="1"/>
  <c r="DV65" i="1"/>
  <c r="DR65" i="1"/>
  <c r="DN65" i="1"/>
  <c r="DI65" i="1"/>
  <c r="DE65" i="1"/>
  <c r="DA65" i="1"/>
  <c r="CW65" i="1"/>
  <c r="CS65" i="1"/>
  <c r="CO65" i="1"/>
  <c r="CN65" i="1"/>
  <c r="CM65" i="1"/>
  <c r="CL65" i="1"/>
  <c r="CG65" i="1"/>
  <c r="CC65" i="1"/>
  <c r="BY65" i="1"/>
  <c r="BU65" i="1"/>
  <c r="BQ65" i="1"/>
  <c r="BM65" i="1"/>
  <c r="BL65" i="1"/>
  <c r="BK65" i="1"/>
  <c r="BJ65" i="1"/>
  <c r="BI65" i="1"/>
  <c r="BH65" i="1"/>
  <c r="FF65" i="1" s="1"/>
  <c r="BG65" i="1"/>
  <c r="BF65" i="1"/>
  <c r="CD65" i="1" s="1"/>
  <c r="BE65" i="1"/>
  <c r="FB65" i="1" s="1"/>
  <c r="BD65" i="1"/>
  <c r="BC65" i="1"/>
  <c r="BB65" i="1"/>
  <c r="BA65" i="1"/>
  <c r="CY65" i="1" s="1"/>
  <c r="AZ65" i="1"/>
  <c r="AY65" i="1"/>
  <c r="AX65" i="1"/>
  <c r="AW65" i="1"/>
  <c r="AV65" i="1"/>
  <c r="AU65" i="1"/>
  <c r="AT65" i="1"/>
  <c r="Z65" i="1"/>
  <c r="W65" i="1"/>
  <c r="T65" i="1"/>
  <c r="Q65" i="1"/>
  <c r="N65" i="1"/>
  <c r="K65" i="1"/>
  <c r="GF64" i="1"/>
  <c r="GB64" i="1"/>
  <c r="FX64" i="1"/>
  <c r="FT64" i="1"/>
  <c r="FP64" i="1"/>
  <c r="FL64" i="1"/>
  <c r="FG64" i="1"/>
  <c r="FC64" i="1"/>
  <c r="EY64" i="1"/>
  <c r="EU64" i="1"/>
  <c r="EQ64" i="1"/>
  <c r="EM64" i="1"/>
  <c r="EH64" i="1"/>
  <c r="ED64" i="1"/>
  <c r="DZ64" i="1"/>
  <c r="DV64" i="1"/>
  <c r="DR64" i="1"/>
  <c r="DN64" i="1"/>
  <c r="DI64" i="1"/>
  <c r="DL64" i="1" s="1"/>
  <c r="DE64" i="1"/>
  <c r="DA64" i="1"/>
  <c r="CW64" i="1"/>
  <c r="CS64" i="1"/>
  <c r="CO64" i="1"/>
  <c r="CN64" i="1"/>
  <c r="CM64" i="1"/>
  <c r="CL64" i="1"/>
  <c r="CG64" i="1"/>
  <c r="CC64" i="1"/>
  <c r="BY64" i="1"/>
  <c r="BU64" i="1"/>
  <c r="BQ64" i="1"/>
  <c r="BM64" i="1"/>
  <c r="BL64" i="1"/>
  <c r="BK64" i="1"/>
  <c r="BJ64" i="1"/>
  <c r="BI64" i="1"/>
  <c r="BH64" i="1"/>
  <c r="BG64" i="1"/>
  <c r="BF64" i="1"/>
  <c r="BE64" i="1"/>
  <c r="BD64" i="1"/>
  <c r="DC64" i="1" s="1"/>
  <c r="BC64" i="1"/>
  <c r="BB64" i="1"/>
  <c r="BA64" i="1"/>
  <c r="DX64" i="1" s="1"/>
  <c r="AZ64" i="1"/>
  <c r="AY64" i="1"/>
  <c r="AX64" i="1"/>
  <c r="AW64" i="1"/>
  <c r="AV64" i="1"/>
  <c r="AU64" i="1"/>
  <c r="AT64" i="1"/>
  <c r="Z64" i="1"/>
  <c r="W64" i="1"/>
  <c r="T64" i="1"/>
  <c r="Q64" i="1"/>
  <c r="N64" i="1"/>
  <c r="K64" i="1"/>
  <c r="GF63" i="1"/>
  <c r="GB63" i="1"/>
  <c r="FX63" i="1"/>
  <c r="FT63" i="1"/>
  <c r="FP63" i="1"/>
  <c r="FL63" i="1"/>
  <c r="FG63" i="1"/>
  <c r="FC63" i="1"/>
  <c r="EY63" i="1"/>
  <c r="EU63" i="1"/>
  <c r="EQ63" i="1"/>
  <c r="EM63" i="1"/>
  <c r="EH63" i="1"/>
  <c r="ED63" i="1"/>
  <c r="DZ63" i="1"/>
  <c r="DV63" i="1"/>
  <c r="DR63" i="1"/>
  <c r="DN63" i="1"/>
  <c r="DI63" i="1"/>
  <c r="DE63" i="1"/>
  <c r="DA63" i="1"/>
  <c r="CY63" i="1"/>
  <c r="CW63" i="1"/>
  <c r="CS63" i="1"/>
  <c r="CO63" i="1"/>
  <c r="CN63" i="1"/>
  <c r="CM63" i="1"/>
  <c r="CL63" i="1"/>
  <c r="CG63" i="1"/>
  <c r="CJ63" i="1" s="1"/>
  <c r="CC63" i="1"/>
  <c r="BY63" i="1"/>
  <c r="BW63" i="1"/>
  <c r="BU63" i="1"/>
  <c r="BQ63" i="1"/>
  <c r="BM63" i="1"/>
  <c r="BL63" i="1"/>
  <c r="BK63" i="1"/>
  <c r="BJ63" i="1"/>
  <c r="BI63" i="1"/>
  <c r="BH63" i="1"/>
  <c r="BG63" i="1"/>
  <c r="DG63" i="1" s="1"/>
  <c r="BF63" i="1"/>
  <c r="BE63" i="1"/>
  <c r="BD63" i="1"/>
  <c r="BC63" i="1"/>
  <c r="BB63" i="1"/>
  <c r="BA63" i="1"/>
  <c r="DX63" i="1" s="1"/>
  <c r="AZ63" i="1"/>
  <c r="AY63" i="1"/>
  <c r="AX63" i="1"/>
  <c r="AW63" i="1"/>
  <c r="AV63" i="1"/>
  <c r="AU63" i="1"/>
  <c r="AT63" i="1"/>
  <c r="Z63" i="1"/>
  <c r="W63" i="1"/>
  <c r="T63" i="1"/>
  <c r="Q63" i="1"/>
  <c r="N63" i="1"/>
  <c r="K63" i="1"/>
  <c r="GF62" i="1"/>
  <c r="GB62" i="1"/>
  <c r="FX62" i="1"/>
  <c r="FT62" i="1"/>
  <c r="FP62" i="1"/>
  <c r="FL62" i="1"/>
  <c r="FG62" i="1"/>
  <c r="FC62" i="1"/>
  <c r="EY62" i="1"/>
  <c r="EU62" i="1"/>
  <c r="EQ62" i="1"/>
  <c r="EM62" i="1"/>
  <c r="EH62" i="1"/>
  <c r="ED62" i="1"/>
  <c r="DZ62" i="1"/>
  <c r="DV62" i="1"/>
  <c r="DR62" i="1"/>
  <c r="DN62" i="1"/>
  <c r="DI62" i="1"/>
  <c r="DE62" i="1"/>
  <c r="DA62" i="1"/>
  <c r="CW62" i="1"/>
  <c r="CS62" i="1"/>
  <c r="CO62" i="1"/>
  <c r="CN62" i="1"/>
  <c r="CM62" i="1"/>
  <c r="CL62" i="1"/>
  <c r="CG62" i="1"/>
  <c r="CC62" i="1"/>
  <c r="BY62" i="1"/>
  <c r="BU62" i="1"/>
  <c r="BQ62" i="1"/>
  <c r="BM62" i="1"/>
  <c r="BL62" i="1"/>
  <c r="BK62" i="1"/>
  <c r="BJ62" i="1"/>
  <c r="BI62" i="1"/>
  <c r="BH62" i="1"/>
  <c r="BG62" i="1"/>
  <c r="EF62" i="1" s="1"/>
  <c r="BF62" i="1"/>
  <c r="CD62" i="1" s="1"/>
  <c r="BE62" i="1"/>
  <c r="EC62" i="1" s="1"/>
  <c r="BD62" i="1"/>
  <c r="FA62" i="1" s="1"/>
  <c r="BC62" i="1"/>
  <c r="BB62" i="1"/>
  <c r="BA62" i="1"/>
  <c r="AZ62" i="1"/>
  <c r="AY62" i="1"/>
  <c r="AX62" i="1"/>
  <c r="AW62" i="1"/>
  <c r="AV62" i="1"/>
  <c r="DQ62" i="1" s="1"/>
  <c r="AU62" i="1"/>
  <c r="CQ62" i="1" s="1"/>
  <c r="AT62" i="1"/>
  <c r="BN62" i="1" s="1"/>
  <c r="Z62" i="1"/>
  <c r="W62" i="1"/>
  <c r="T62" i="1"/>
  <c r="Q62" i="1"/>
  <c r="N62" i="1"/>
  <c r="K62" i="1"/>
  <c r="GF61" i="1"/>
  <c r="GB61" i="1"/>
  <c r="FX61" i="1"/>
  <c r="FT61" i="1"/>
  <c r="FP61" i="1"/>
  <c r="FL61" i="1"/>
  <c r="FG61" i="1"/>
  <c r="FC61" i="1"/>
  <c r="EY61" i="1"/>
  <c r="EU61" i="1"/>
  <c r="EQ61" i="1"/>
  <c r="ET61" i="1" s="1"/>
  <c r="EM61" i="1"/>
  <c r="EH61" i="1"/>
  <c r="ED61" i="1"/>
  <c r="DZ61" i="1"/>
  <c r="DV61" i="1"/>
  <c r="DR61" i="1"/>
  <c r="DN61" i="1"/>
  <c r="DI61" i="1"/>
  <c r="DE61" i="1"/>
  <c r="DA61" i="1"/>
  <c r="CW61" i="1"/>
  <c r="CS61" i="1"/>
  <c r="CO61" i="1"/>
  <c r="CN61" i="1"/>
  <c r="CM61" i="1"/>
  <c r="CL61" i="1"/>
  <c r="CG61" i="1"/>
  <c r="CC61" i="1"/>
  <c r="BY61" i="1"/>
  <c r="BU61" i="1"/>
  <c r="BQ61" i="1"/>
  <c r="BM61" i="1"/>
  <c r="BP61" i="1" s="1"/>
  <c r="BL61" i="1"/>
  <c r="BK61" i="1"/>
  <c r="BJ61" i="1"/>
  <c r="BI61" i="1"/>
  <c r="FH61" i="1" s="1"/>
  <c r="BH61" i="1"/>
  <c r="BG61" i="1"/>
  <c r="BF61" i="1"/>
  <c r="BE61" i="1"/>
  <c r="BD61" i="1"/>
  <c r="BC61" i="1"/>
  <c r="BB61" i="1"/>
  <c r="BA61" i="1"/>
  <c r="AZ61" i="1"/>
  <c r="AY61" i="1"/>
  <c r="DU61" i="1" s="1"/>
  <c r="AX61" i="1"/>
  <c r="AW61" i="1"/>
  <c r="AV61" i="1"/>
  <c r="AU61" i="1"/>
  <c r="AT61" i="1"/>
  <c r="Z61" i="1"/>
  <c r="W61" i="1"/>
  <c r="T61" i="1"/>
  <c r="Q61" i="1"/>
  <c r="N61" i="1"/>
  <c r="K61" i="1"/>
  <c r="GF60" i="1"/>
  <c r="GB60" i="1"/>
  <c r="FX60" i="1"/>
  <c r="FT60" i="1"/>
  <c r="FP60" i="1"/>
  <c r="FL60" i="1"/>
  <c r="FG60" i="1"/>
  <c r="FC60" i="1"/>
  <c r="EY60" i="1"/>
  <c r="EU60" i="1"/>
  <c r="EQ60" i="1"/>
  <c r="EM60" i="1"/>
  <c r="EH60" i="1"/>
  <c r="ED60" i="1"/>
  <c r="DZ60" i="1"/>
  <c r="DV60" i="1"/>
  <c r="DR60" i="1"/>
  <c r="DN60" i="1"/>
  <c r="DI60" i="1"/>
  <c r="DE60" i="1"/>
  <c r="DA60" i="1"/>
  <c r="CW60" i="1"/>
  <c r="CS60" i="1"/>
  <c r="CO60" i="1"/>
  <c r="CN60" i="1"/>
  <c r="CM60" i="1"/>
  <c r="CL60" i="1"/>
  <c r="CG60" i="1"/>
  <c r="CC60" i="1"/>
  <c r="BY60" i="1"/>
  <c r="BU60" i="1"/>
  <c r="BQ60" i="1"/>
  <c r="BM60" i="1"/>
  <c r="BL60" i="1"/>
  <c r="BK60" i="1"/>
  <c r="BJ60" i="1"/>
  <c r="GH60" i="1" s="1"/>
  <c r="BI60" i="1"/>
  <c r="BH60" i="1"/>
  <c r="BG60" i="1"/>
  <c r="BF60" i="1"/>
  <c r="BE60" i="1"/>
  <c r="CB60" i="1" s="1"/>
  <c r="BD60" i="1"/>
  <c r="FA60" i="1" s="1"/>
  <c r="BC60" i="1"/>
  <c r="BB60" i="1"/>
  <c r="BA60" i="1"/>
  <c r="AZ60" i="1"/>
  <c r="AY60" i="1"/>
  <c r="AX60" i="1"/>
  <c r="CU60" i="1" s="1"/>
  <c r="AW60" i="1"/>
  <c r="AV60" i="1"/>
  <c r="AU60" i="1"/>
  <c r="AT60" i="1"/>
  <c r="Z60" i="1"/>
  <c r="W60" i="1"/>
  <c r="T60" i="1"/>
  <c r="Q60" i="1"/>
  <c r="N60" i="1"/>
  <c r="K60" i="1"/>
  <c r="GF59" i="1"/>
  <c r="GB59" i="1"/>
  <c r="FX59" i="1"/>
  <c r="FT59" i="1"/>
  <c r="FP59" i="1"/>
  <c r="FL59" i="1"/>
  <c r="FG59" i="1"/>
  <c r="FC59" i="1"/>
  <c r="EY59" i="1"/>
  <c r="EU59" i="1"/>
  <c r="EQ59" i="1"/>
  <c r="EM59" i="1"/>
  <c r="EH59" i="1"/>
  <c r="ED59" i="1"/>
  <c r="DZ59" i="1"/>
  <c r="DV59" i="1"/>
  <c r="DR59" i="1"/>
  <c r="DN59" i="1"/>
  <c r="DI59" i="1"/>
  <c r="DE59" i="1"/>
  <c r="DA59" i="1"/>
  <c r="CW59" i="1"/>
  <c r="CS59" i="1"/>
  <c r="CO59" i="1"/>
  <c r="CN59" i="1"/>
  <c r="CM59" i="1"/>
  <c r="CL59" i="1"/>
  <c r="CG59" i="1"/>
  <c r="CC59" i="1"/>
  <c r="BY59" i="1"/>
  <c r="BU59" i="1"/>
  <c r="BQ59" i="1"/>
  <c r="BM59" i="1"/>
  <c r="BL59" i="1"/>
  <c r="BK59" i="1"/>
  <c r="BJ59" i="1"/>
  <c r="BI59" i="1"/>
  <c r="BH59" i="1"/>
  <c r="BG59" i="1"/>
  <c r="CE59" i="1" s="1"/>
  <c r="BF59" i="1"/>
  <c r="BE59" i="1"/>
  <c r="BD59" i="1"/>
  <c r="CA59" i="1" s="1"/>
  <c r="BC59" i="1"/>
  <c r="BB59" i="1"/>
  <c r="BA59" i="1"/>
  <c r="CY59" i="1" s="1"/>
  <c r="AZ59" i="1"/>
  <c r="AY59" i="1"/>
  <c r="AX59" i="1"/>
  <c r="BS59" i="1" s="1"/>
  <c r="AW59" i="1"/>
  <c r="AV59" i="1"/>
  <c r="AU59" i="1"/>
  <c r="FN59" i="1" s="1"/>
  <c r="AT59" i="1"/>
  <c r="Z59" i="1"/>
  <c r="W59" i="1"/>
  <c r="T59" i="1"/>
  <c r="Q59" i="1"/>
  <c r="N59" i="1"/>
  <c r="K59" i="1"/>
  <c r="GF58" i="1"/>
  <c r="GB58" i="1"/>
  <c r="FX58" i="1"/>
  <c r="FT58" i="1"/>
  <c r="FP58" i="1"/>
  <c r="FL58" i="1"/>
  <c r="FG58" i="1"/>
  <c r="FC58" i="1"/>
  <c r="EY58" i="1"/>
  <c r="EU58" i="1"/>
  <c r="EQ58" i="1"/>
  <c r="EM58" i="1"/>
  <c r="EH58" i="1"/>
  <c r="ED58" i="1"/>
  <c r="DZ58" i="1"/>
  <c r="DV58" i="1"/>
  <c r="DR58" i="1"/>
  <c r="DN58" i="1"/>
  <c r="DI58" i="1"/>
  <c r="DE58" i="1"/>
  <c r="DA58" i="1"/>
  <c r="CW58" i="1"/>
  <c r="CS58" i="1"/>
  <c r="CO58" i="1"/>
  <c r="CN58" i="1"/>
  <c r="CM58" i="1"/>
  <c r="CL58" i="1"/>
  <c r="CG58" i="1"/>
  <c r="CC58" i="1"/>
  <c r="BY58" i="1"/>
  <c r="BU58" i="1"/>
  <c r="BQ58" i="1"/>
  <c r="BM58" i="1"/>
  <c r="BL58" i="1"/>
  <c r="BK58" i="1"/>
  <c r="BJ58" i="1"/>
  <c r="BI58" i="1"/>
  <c r="EI58" i="1" s="1"/>
  <c r="BH58" i="1"/>
  <c r="BG58" i="1"/>
  <c r="BF58" i="1"/>
  <c r="BE58" i="1"/>
  <c r="BD58" i="1"/>
  <c r="BC58" i="1"/>
  <c r="BB58" i="1"/>
  <c r="BA58" i="1"/>
  <c r="AZ58" i="1"/>
  <c r="AY58" i="1"/>
  <c r="AX58" i="1"/>
  <c r="AW58" i="1"/>
  <c r="AV58" i="1"/>
  <c r="AU58" i="1"/>
  <c r="AT58" i="1"/>
  <c r="Z58" i="1"/>
  <c r="W58" i="1"/>
  <c r="T58" i="1"/>
  <c r="Q58" i="1"/>
  <c r="N58" i="1"/>
  <c r="K58" i="1"/>
  <c r="GF57" i="1"/>
  <c r="GB57" i="1"/>
  <c r="FX57" i="1"/>
  <c r="FT57" i="1"/>
  <c r="FP57" i="1"/>
  <c r="FL57" i="1"/>
  <c r="FG57" i="1"/>
  <c r="FC57" i="1"/>
  <c r="EY57" i="1"/>
  <c r="EU57" i="1"/>
  <c r="EQ57" i="1"/>
  <c r="EM57" i="1"/>
  <c r="EH57" i="1"/>
  <c r="ED57" i="1"/>
  <c r="DZ57" i="1"/>
  <c r="DV57" i="1"/>
  <c r="DR57" i="1"/>
  <c r="DN57" i="1"/>
  <c r="DI57" i="1"/>
  <c r="DE57" i="1"/>
  <c r="DA57" i="1"/>
  <c r="CW57" i="1"/>
  <c r="CS57" i="1"/>
  <c r="CO57" i="1"/>
  <c r="CN57" i="1"/>
  <c r="CM57" i="1"/>
  <c r="CL57" i="1"/>
  <c r="CG57" i="1"/>
  <c r="CC57" i="1"/>
  <c r="BY57" i="1"/>
  <c r="BU57" i="1"/>
  <c r="BQ57" i="1"/>
  <c r="BM57" i="1"/>
  <c r="BL57" i="1"/>
  <c r="BK57" i="1"/>
  <c r="BJ57" i="1"/>
  <c r="BI57" i="1"/>
  <c r="BH57" i="1"/>
  <c r="BG57" i="1"/>
  <c r="BF57" i="1"/>
  <c r="BE57" i="1"/>
  <c r="BD57" i="1"/>
  <c r="BC57" i="1"/>
  <c r="BB57" i="1"/>
  <c r="BA57" i="1"/>
  <c r="AZ57" i="1"/>
  <c r="AY57" i="1"/>
  <c r="AX57" i="1"/>
  <c r="AW57" i="1"/>
  <c r="AV57" i="1"/>
  <c r="AU57" i="1"/>
  <c r="AT57" i="1"/>
  <c r="Z57" i="1"/>
  <c r="W57" i="1"/>
  <c r="T57" i="1"/>
  <c r="Q57" i="1"/>
  <c r="N57" i="1"/>
  <c r="K57" i="1"/>
  <c r="GF56" i="1"/>
  <c r="GB56" i="1"/>
  <c r="FX56" i="1"/>
  <c r="FT56" i="1"/>
  <c r="FP56" i="1"/>
  <c r="FL56" i="1"/>
  <c r="FG56" i="1"/>
  <c r="FC56" i="1"/>
  <c r="EY56" i="1"/>
  <c r="EU56" i="1"/>
  <c r="EQ56" i="1"/>
  <c r="EM56" i="1"/>
  <c r="EH56" i="1"/>
  <c r="ED56" i="1"/>
  <c r="DZ56" i="1"/>
  <c r="DV56" i="1"/>
  <c r="DR56" i="1"/>
  <c r="DN56" i="1"/>
  <c r="DI56" i="1"/>
  <c r="DE56" i="1"/>
  <c r="DA56" i="1"/>
  <c r="CW56" i="1"/>
  <c r="CS56" i="1"/>
  <c r="CO56" i="1"/>
  <c r="CN56" i="1"/>
  <c r="CM56" i="1"/>
  <c r="CL56" i="1"/>
  <c r="CG56" i="1"/>
  <c r="CC56" i="1"/>
  <c r="BY56" i="1"/>
  <c r="BU56" i="1"/>
  <c r="BQ56" i="1"/>
  <c r="BM56" i="1"/>
  <c r="BL56" i="1"/>
  <c r="BK56" i="1"/>
  <c r="BJ56" i="1"/>
  <c r="BI56" i="1"/>
  <c r="BH56" i="1"/>
  <c r="BG56" i="1"/>
  <c r="BF56" i="1"/>
  <c r="BE56" i="1"/>
  <c r="BD56" i="1"/>
  <c r="BC56" i="1"/>
  <c r="BB56" i="1"/>
  <c r="BA56" i="1"/>
  <c r="AZ56" i="1"/>
  <c r="CX56" i="1" s="1"/>
  <c r="AY56" i="1"/>
  <c r="AX56" i="1"/>
  <c r="AW56" i="1"/>
  <c r="AV56" i="1"/>
  <c r="AU56" i="1"/>
  <c r="AT56" i="1"/>
  <c r="Z56" i="1"/>
  <c r="W56" i="1"/>
  <c r="T56" i="1"/>
  <c r="Q56" i="1"/>
  <c r="N56" i="1"/>
  <c r="K56" i="1"/>
  <c r="GF55" i="1"/>
  <c r="GB55" i="1"/>
  <c r="FX55" i="1"/>
  <c r="FT55" i="1"/>
  <c r="FP55" i="1"/>
  <c r="FL55" i="1"/>
  <c r="FG55" i="1"/>
  <c r="FC55" i="1"/>
  <c r="EY55" i="1"/>
  <c r="EU55" i="1"/>
  <c r="EQ55" i="1"/>
  <c r="EM55" i="1"/>
  <c r="EH55" i="1"/>
  <c r="ED55" i="1"/>
  <c r="DZ55" i="1"/>
  <c r="DV55" i="1"/>
  <c r="DR55" i="1"/>
  <c r="DN55" i="1"/>
  <c r="DI55" i="1"/>
  <c r="DE55" i="1"/>
  <c r="DA55" i="1"/>
  <c r="CW55" i="1"/>
  <c r="CS55" i="1"/>
  <c r="CO55" i="1"/>
  <c r="CN55" i="1"/>
  <c r="CM55" i="1"/>
  <c r="CL55" i="1"/>
  <c r="CG55" i="1"/>
  <c r="CC55" i="1"/>
  <c r="BY55" i="1"/>
  <c r="BU55" i="1"/>
  <c r="BQ55" i="1"/>
  <c r="BM55" i="1"/>
  <c r="BL55" i="1"/>
  <c r="BK55" i="1"/>
  <c r="BJ55" i="1"/>
  <c r="BI55" i="1"/>
  <c r="BH55" i="1"/>
  <c r="BG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Z55" i="1"/>
  <c r="W55" i="1"/>
  <c r="T55" i="1"/>
  <c r="Q55" i="1"/>
  <c r="N55" i="1"/>
  <c r="K55" i="1"/>
  <c r="GF54" i="1"/>
  <c r="GB54" i="1"/>
  <c r="FX54" i="1"/>
  <c r="FT54" i="1"/>
  <c r="FP54" i="1"/>
  <c r="FL54" i="1"/>
  <c r="FG54" i="1"/>
  <c r="FC54" i="1"/>
  <c r="EY54" i="1"/>
  <c r="EU54" i="1"/>
  <c r="EQ54" i="1"/>
  <c r="EM54" i="1"/>
  <c r="EH54" i="1"/>
  <c r="ED54" i="1"/>
  <c r="DZ54" i="1"/>
  <c r="DV54" i="1"/>
  <c r="DR54" i="1"/>
  <c r="DN54" i="1"/>
  <c r="DI54" i="1"/>
  <c r="DE54" i="1"/>
  <c r="DH54" i="1" s="1"/>
  <c r="DA54" i="1"/>
  <c r="CW54" i="1"/>
  <c r="CS54" i="1"/>
  <c r="CO54" i="1"/>
  <c r="CN54" i="1"/>
  <c r="CM54" i="1"/>
  <c r="CL54" i="1"/>
  <c r="CG54" i="1"/>
  <c r="CC54" i="1"/>
  <c r="BY54" i="1"/>
  <c r="BU54" i="1"/>
  <c r="BQ54" i="1"/>
  <c r="BM54" i="1"/>
  <c r="BL54" i="1"/>
  <c r="BK54" i="1"/>
  <c r="BJ54" i="1"/>
  <c r="BI54" i="1"/>
  <c r="BH54" i="1"/>
  <c r="EG54" i="1" s="1"/>
  <c r="BG54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AT54" i="1"/>
  <c r="Z54" i="1"/>
  <c r="W54" i="1"/>
  <c r="T54" i="1"/>
  <c r="Q54" i="1"/>
  <c r="N54" i="1"/>
  <c r="K54" i="1"/>
  <c r="GF53" i="1"/>
  <c r="GB53" i="1"/>
  <c r="GD53" i="1" s="1"/>
  <c r="FX53" i="1"/>
  <c r="GA53" i="1" s="1"/>
  <c r="FT53" i="1"/>
  <c r="FP53" i="1"/>
  <c r="FL53" i="1"/>
  <c r="FG53" i="1"/>
  <c r="FC53" i="1"/>
  <c r="EY53" i="1"/>
  <c r="EU53" i="1"/>
  <c r="EQ53" i="1"/>
  <c r="EM53" i="1"/>
  <c r="EH53" i="1"/>
  <c r="ED53" i="1"/>
  <c r="DZ53" i="1"/>
  <c r="DV53" i="1"/>
  <c r="DR53" i="1"/>
  <c r="DN53" i="1"/>
  <c r="DI53" i="1"/>
  <c r="DE53" i="1"/>
  <c r="DA53" i="1"/>
  <c r="CW53" i="1"/>
  <c r="CS53" i="1"/>
  <c r="CO53" i="1"/>
  <c r="CN53" i="1"/>
  <c r="CM53" i="1"/>
  <c r="CL53" i="1"/>
  <c r="CG53" i="1"/>
  <c r="CC53" i="1"/>
  <c r="BY53" i="1"/>
  <c r="BU53" i="1"/>
  <c r="BQ53" i="1"/>
  <c r="BM53" i="1"/>
  <c r="BL53" i="1"/>
  <c r="BK53" i="1"/>
  <c r="BJ53" i="1"/>
  <c r="BI53" i="1"/>
  <c r="BH53" i="1"/>
  <c r="BG53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AT53" i="1"/>
  <c r="DO53" i="1" s="1"/>
  <c r="Z53" i="1"/>
  <c r="W53" i="1"/>
  <c r="T53" i="1"/>
  <c r="Q53" i="1"/>
  <c r="N53" i="1"/>
  <c r="K53" i="1"/>
  <c r="GF52" i="1"/>
  <c r="GB52" i="1"/>
  <c r="FX52" i="1"/>
  <c r="FT52" i="1"/>
  <c r="FP52" i="1"/>
  <c r="FL52" i="1"/>
  <c r="FG52" i="1"/>
  <c r="FC52" i="1"/>
  <c r="EY52" i="1"/>
  <c r="EU52" i="1"/>
  <c r="EQ52" i="1"/>
  <c r="EM52" i="1"/>
  <c r="EH52" i="1"/>
  <c r="ED52" i="1"/>
  <c r="DZ52" i="1"/>
  <c r="DV52" i="1"/>
  <c r="DR52" i="1"/>
  <c r="DN52" i="1"/>
  <c r="DI52" i="1"/>
  <c r="DE52" i="1"/>
  <c r="DA52" i="1"/>
  <c r="CW52" i="1"/>
  <c r="CS52" i="1"/>
  <c r="CO52" i="1"/>
  <c r="CN52" i="1"/>
  <c r="CM52" i="1"/>
  <c r="CL52" i="1"/>
  <c r="CG52" i="1"/>
  <c r="CC52" i="1"/>
  <c r="BY52" i="1"/>
  <c r="BU52" i="1"/>
  <c r="BQ52" i="1"/>
  <c r="BR52" i="1" s="1"/>
  <c r="BM52" i="1"/>
  <c r="BL52" i="1"/>
  <c r="BK52" i="1"/>
  <c r="BJ52" i="1"/>
  <c r="BI52" i="1"/>
  <c r="BH52" i="1"/>
  <c r="BG52" i="1"/>
  <c r="BF52" i="1"/>
  <c r="DF52" i="1" s="1"/>
  <c r="BE52" i="1"/>
  <c r="BD52" i="1"/>
  <c r="BC52" i="1"/>
  <c r="FY52" i="1" s="1"/>
  <c r="BB52" i="1"/>
  <c r="EX52" i="1" s="1"/>
  <c r="BA52" i="1"/>
  <c r="AZ52" i="1"/>
  <c r="AY52" i="1"/>
  <c r="DU52" i="1" s="1"/>
  <c r="AX52" i="1"/>
  <c r="AW52" i="1"/>
  <c r="AV52" i="1"/>
  <c r="AU52" i="1"/>
  <c r="AT52" i="1"/>
  <c r="Z52" i="1"/>
  <c r="W52" i="1"/>
  <c r="T52" i="1"/>
  <c r="Q52" i="1"/>
  <c r="N52" i="1"/>
  <c r="K52" i="1"/>
  <c r="GF51" i="1"/>
  <c r="GB51" i="1"/>
  <c r="FX51" i="1"/>
  <c r="FT51" i="1"/>
  <c r="FP51" i="1"/>
  <c r="FL51" i="1"/>
  <c r="FG51" i="1"/>
  <c r="FC51" i="1"/>
  <c r="EY51" i="1"/>
  <c r="EU51" i="1"/>
  <c r="EQ51" i="1"/>
  <c r="EM51" i="1"/>
  <c r="EH51" i="1"/>
  <c r="ED51" i="1"/>
  <c r="DZ51" i="1"/>
  <c r="DV51" i="1"/>
  <c r="DR51" i="1"/>
  <c r="DN51" i="1"/>
  <c r="DI51" i="1"/>
  <c r="DE51" i="1"/>
  <c r="DA51" i="1"/>
  <c r="CW51" i="1"/>
  <c r="CS51" i="1"/>
  <c r="CO51" i="1"/>
  <c r="CN51" i="1"/>
  <c r="CM51" i="1"/>
  <c r="CL51" i="1"/>
  <c r="CG51" i="1"/>
  <c r="CC51" i="1"/>
  <c r="BY51" i="1"/>
  <c r="BU51" i="1"/>
  <c r="BQ51" i="1"/>
  <c r="BM51" i="1"/>
  <c r="BL51" i="1"/>
  <c r="BK51" i="1"/>
  <c r="BJ51" i="1"/>
  <c r="GH51" i="1" s="1"/>
  <c r="BI51" i="1"/>
  <c r="FH51" i="1" s="1"/>
  <c r="BH51" i="1"/>
  <c r="BG51" i="1"/>
  <c r="BF51" i="1"/>
  <c r="BE51" i="1"/>
  <c r="BD51" i="1"/>
  <c r="BC51" i="1"/>
  <c r="BB51" i="1"/>
  <c r="BA51" i="1"/>
  <c r="EW51" i="1" s="1"/>
  <c r="AZ51" i="1"/>
  <c r="AY51" i="1"/>
  <c r="AX51" i="1"/>
  <c r="AW51" i="1"/>
  <c r="AV51" i="1"/>
  <c r="AU51" i="1"/>
  <c r="AT51" i="1"/>
  <c r="Z51" i="1"/>
  <c r="W51" i="1"/>
  <c r="T51" i="1"/>
  <c r="Q51" i="1"/>
  <c r="N51" i="1"/>
  <c r="K51" i="1"/>
  <c r="GF50" i="1"/>
  <c r="GB50" i="1"/>
  <c r="FX50" i="1"/>
  <c r="FT50" i="1"/>
  <c r="FP50" i="1"/>
  <c r="FL50" i="1"/>
  <c r="FG50" i="1"/>
  <c r="FC50" i="1"/>
  <c r="EY50" i="1"/>
  <c r="EU50" i="1"/>
  <c r="EQ50" i="1"/>
  <c r="EM50" i="1"/>
  <c r="EH50" i="1"/>
  <c r="ED50" i="1"/>
  <c r="DZ50" i="1"/>
  <c r="DV50" i="1"/>
  <c r="DR50" i="1"/>
  <c r="DN50" i="1"/>
  <c r="DI50" i="1"/>
  <c r="DE50" i="1"/>
  <c r="DA50" i="1"/>
  <c r="CW50" i="1"/>
  <c r="CS50" i="1"/>
  <c r="CO50" i="1"/>
  <c r="CN50" i="1"/>
  <c r="CM50" i="1"/>
  <c r="CL50" i="1"/>
  <c r="CG50" i="1"/>
  <c r="CC50" i="1"/>
  <c r="BY50" i="1"/>
  <c r="BU50" i="1"/>
  <c r="BQ50" i="1"/>
  <c r="BM50" i="1"/>
  <c r="BL50" i="1"/>
  <c r="BK50" i="1"/>
  <c r="BJ50" i="1"/>
  <c r="BI50" i="1"/>
  <c r="BH50" i="1"/>
  <c r="FF50" i="1" s="1"/>
  <c r="BG50" i="1"/>
  <c r="BF50" i="1"/>
  <c r="BE50" i="1"/>
  <c r="BD50" i="1"/>
  <c r="BC50" i="1"/>
  <c r="FY50" i="1" s="1"/>
  <c r="BB50" i="1"/>
  <c r="BA50" i="1"/>
  <c r="DX50" i="1" s="1"/>
  <c r="AZ50" i="1"/>
  <c r="AY50" i="1"/>
  <c r="AX50" i="1"/>
  <c r="CU50" i="1" s="1"/>
  <c r="AW50" i="1"/>
  <c r="AV50" i="1"/>
  <c r="AU50" i="1"/>
  <c r="AT50" i="1"/>
  <c r="Z50" i="1"/>
  <c r="W50" i="1"/>
  <c r="T50" i="1"/>
  <c r="Q50" i="1"/>
  <c r="N50" i="1"/>
  <c r="K50" i="1"/>
  <c r="GF49" i="1"/>
  <c r="GB49" i="1"/>
  <c r="FX49" i="1"/>
  <c r="FT49" i="1"/>
  <c r="FP49" i="1"/>
  <c r="FL49" i="1"/>
  <c r="FG49" i="1"/>
  <c r="FC49" i="1"/>
  <c r="EY49" i="1"/>
  <c r="EU49" i="1"/>
  <c r="EQ49" i="1"/>
  <c r="EM49" i="1"/>
  <c r="EH49" i="1"/>
  <c r="ED49" i="1"/>
  <c r="DZ49" i="1"/>
  <c r="DV49" i="1"/>
  <c r="DR49" i="1"/>
  <c r="DN49" i="1"/>
  <c r="DK49" i="1"/>
  <c r="DI49" i="1"/>
  <c r="DE49" i="1"/>
  <c r="DA49" i="1"/>
  <c r="CW49" i="1"/>
  <c r="CS49" i="1"/>
  <c r="CO49" i="1"/>
  <c r="CN49" i="1"/>
  <c r="CM49" i="1"/>
  <c r="CL49" i="1"/>
  <c r="CG49" i="1"/>
  <c r="CC49" i="1"/>
  <c r="BY49" i="1"/>
  <c r="BU49" i="1"/>
  <c r="BQ49" i="1"/>
  <c r="BM49" i="1"/>
  <c r="BL49" i="1"/>
  <c r="BK49" i="1"/>
  <c r="BJ49" i="1"/>
  <c r="CI49" i="1" s="1"/>
  <c r="BI49" i="1"/>
  <c r="BH49" i="1"/>
  <c r="BG49" i="1"/>
  <c r="GD49" i="1" s="1"/>
  <c r="BF49" i="1"/>
  <c r="BE49" i="1"/>
  <c r="BD49" i="1"/>
  <c r="EB49" i="1" s="1"/>
  <c r="BC49" i="1"/>
  <c r="BB49" i="1"/>
  <c r="CZ49" i="1" s="1"/>
  <c r="BA49" i="1"/>
  <c r="FV49" i="1" s="1"/>
  <c r="AZ49" i="1"/>
  <c r="AY49" i="1"/>
  <c r="AX49" i="1"/>
  <c r="AW49" i="1"/>
  <c r="AV49" i="1"/>
  <c r="AU49" i="1"/>
  <c r="AT49" i="1"/>
  <c r="Z49" i="1"/>
  <c r="W49" i="1"/>
  <c r="T49" i="1"/>
  <c r="Q49" i="1"/>
  <c r="N49" i="1"/>
  <c r="K49" i="1"/>
  <c r="GF48" i="1"/>
  <c r="GB48" i="1"/>
  <c r="FX48" i="1"/>
  <c r="FT48" i="1"/>
  <c r="FP48" i="1"/>
  <c r="FL48" i="1"/>
  <c r="FG48" i="1"/>
  <c r="FC48" i="1"/>
  <c r="EY48" i="1"/>
  <c r="EU48" i="1"/>
  <c r="EQ48" i="1"/>
  <c r="EM48" i="1"/>
  <c r="EH48" i="1"/>
  <c r="ED48" i="1"/>
  <c r="DZ48" i="1"/>
  <c r="DV48" i="1"/>
  <c r="DR48" i="1"/>
  <c r="DN48" i="1"/>
  <c r="DI48" i="1"/>
  <c r="DE48" i="1"/>
  <c r="DH48" i="1" s="1"/>
  <c r="DA48" i="1"/>
  <c r="CW48" i="1"/>
  <c r="CS48" i="1"/>
  <c r="CO48" i="1"/>
  <c r="CN48" i="1"/>
  <c r="CM48" i="1"/>
  <c r="CL48" i="1"/>
  <c r="CG48" i="1"/>
  <c r="CC48" i="1"/>
  <c r="BY48" i="1"/>
  <c r="BU48" i="1"/>
  <c r="BQ48" i="1"/>
  <c r="BM48" i="1"/>
  <c r="BL48" i="1"/>
  <c r="BK48" i="1"/>
  <c r="BJ48" i="1"/>
  <c r="BI48" i="1"/>
  <c r="BH48" i="1"/>
  <c r="BG48" i="1"/>
  <c r="BF48" i="1"/>
  <c r="FD48" i="1" s="1"/>
  <c r="BE48" i="1"/>
  <c r="BD48" i="1"/>
  <c r="BC48" i="1"/>
  <c r="BB48" i="1"/>
  <c r="BA48" i="1"/>
  <c r="AZ48" i="1"/>
  <c r="AY48" i="1"/>
  <c r="AX48" i="1"/>
  <c r="DT48" i="1" s="1"/>
  <c r="AW48" i="1"/>
  <c r="AV48" i="1"/>
  <c r="AU48" i="1"/>
  <c r="AT48" i="1"/>
  <c r="Z48" i="1"/>
  <c r="W48" i="1"/>
  <c r="T48" i="1"/>
  <c r="Q48" i="1"/>
  <c r="N48" i="1"/>
  <c r="K48" i="1"/>
  <c r="GF47" i="1"/>
  <c r="GB47" i="1"/>
  <c r="FX47" i="1"/>
  <c r="FT47" i="1"/>
  <c r="FP47" i="1"/>
  <c r="FL47" i="1"/>
  <c r="FG47" i="1"/>
  <c r="FC47" i="1"/>
  <c r="EY47" i="1"/>
  <c r="EU47" i="1"/>
  <c r="EQ47" i="1"/>
  <c r="EM47" i="1"/>
  <c r="EH47" i="1"/>
  <c r="ED47" i="1"/>
  <c r="DZ47" i="1"/>
  <c r="DV47" i="1"/>
  <c r="DR47" i="1"/>
  <c r="DN47" i="1"/>
  <c r="DI47" i="1"/>
  <c r="DE47" i="1"/>
  <c r="DA47" i="1"/>
  <c r="CW47" i="1"/>
  <c r="CS47" i="1"/>
  <c r="CO47" i="1"/>
  <c r="CN47" i="1"/>
  <c r="CM47" i="1"/>
  <c r="CL47" i="1"/>
  <c r="CG47" i="1"/>
  <c r="CC47" i="1"/>
  <c r="BY47" i="1"/>
  <c r="BU47" i="1"/>
  <c r="BQ47" i="1"/>
  <c r="BM47" i="1"/>
  <c r="BL47" i="1"/>
  <c r="BK47" i="1"/>
  <c r="BJ47" i="1"/>
  <c r="BI47" i="1"/>
  <c r="BH47" i="1"/>
  <c r="BG47" i="1"/>
  <c r="CE47" i="1" s="1"/>
  <c r="BF47" i="1"/>
  <c r="BE47" i="1"/>
  <c r="CB47" i="1" s="1"/>
  <c r="BD47" i="1"/>
  <c r="CA47" i="1" s="1"/>
  <c r="BC47" i="1"/>
  <c r="BB47" i="1"/>
  <c r="CZ47" i="1" s="1"/>
  <c r="BA47" i="1"/>
  <c r="AZ47" i="1"/>
  <c r="AY47" i="1"/>
  <c r="AX47" i="1"/>
  <c r="AW47" i="1"/>
  <c r="AV47" i="1"/>
  <c r="AU47" i="1"/>
  <c r="EO47" i="1" s="1"/>
  <c r="AT47" i="1"/>
  <c r="Z47" i="1"/>
  <c r="W47" i="1"/>
  <c r="T47" i="1"/>
  <c r="Q47" i="1"/>
  <c r="N47" i="1"/>
  <c r="K47" i="1"/>
  <c r="GF46" i="1"/>
  <c r="GB46" i="1"/>
  <c r="FX46" i="1"/>
  <c r="FT46" i="1"/>
  <c r="FP46" i="1"/>
  <c r="FL46" i="1"/>
  <c r="FG46" i="1"/>
  <c r="FC46" i="1"/>
  <c r="EY46" i="1"/>
  <c r="EU46" i="1"/>
  <c r="EQ46" i="1"/>
  <c r="EM46" i="1"/>
  <c r="EH46" i="1"/>
  <c r="ED46" i="1"/>
  <c r="DZ46" i="1"/>
  <c r="DV46" i="1"/>
  <c r="DR46" i="1"/>
  <c r="DN46" i="1"/>
  <c r="DI46" i="1"/>
  <c r="DE46" i="1"/>
  <c r="DA46" i="1"/>
  <c r="CW46" i="1"/>
  <c r="CS46" i="1"/>
  <c r="CO46" i="1"/>
  <c r="CN46" i="1"/>
  <c r="CM46" i="1"/>
  <c r="CL46" i="1"/>
  <c r="CG46" i="1"/>
  <c r="CC46" i="1"/>
  <c r="BY46" i="1"/>
  <c r="BU46" i="1"/>
  <c r="BQ46" i="1"/>
  <c r="BM46" i="1"/>
  <c r="BL46" i="1"/>
  <c r="BK46" i="1"/>
  <c r="BJ46" i="1"/>
  <c r="BI46" i="1"/>
  <c r="BH46" i="1"/>
  <c r="BG46" i="1"/>
  <c r="BF46" i="1"/>
  <c r="BE46" i="1"/>
  <c r="CB46" i="1" s="1"/>
  <c r="BD46" i="1"/>
  <c r="CA46" i="1" s="1"/>
  <c r="BC46" i="1"/>
  <c r="BB46" i="1"/>
  <c r="BA46" i="1"/>
  <c r="AZ46" i="1"/>
  <c r="AY46" i="1"/>
  <c r="AX46" i="1"/>
  <c r="AW46" i="1"/>
  <c r="AV46" i="1"/>
  <c r="AU46" i="1"/>
  <c r="AT46" i="1"/>
  <c r="Z46" i="1"/>
  <c r="W46" i="1"/>
  <c r="T46" i="1"/>
  <c r="Q46" i="1"/>
  <c r="N46" i="1"/>
  <c r="K46" i="1"/>
  <c r="GF45" i="1"/>
  <c r="GB45" i="1"/>
  <c r="FX45" i="1"/>
  <c r="FT45" i="1"/>
  <c r="FP45" i="1"/>
  <c r="FL45" i="1"/>
  <c r="FG45" i="1"/>
  <c r="FC45" i="1"/>
  <c r="EY45" i="1"/>
  <c r="EU45" i="1"/>
  <c r="EQ45" i="1"/>
  <c r="EM45" i="1"/>
  <c r="EH45" i="1"/>
  <c r="ED45" i="1"/>
  <c r="DZ45" i="1"/>
  <c r="DV45" i="1"/>
  <c r="DR45" i="1"/>
  <c r="DN45" i="1"/>
  <c r="DI45" i="1"/>
  <c r="DE45" i="1"/>
  <c r="DA45" i="1"/>
  <c r="CW45" i="1"/>
  <c r="CS45" i="1"/>
  <c r="CO45" i="1"/>
  <c r="CN45" i="1"/>
  <c r="CM45" i="1"/>
  <c r="CL45" i="1"/>
  <c r="CG45" i="1"/>
  <c r="CC45" i="1"/>
  <c r="BY45" i="1"/>
  <c r="BU45" i="1"/>
  <c r="BQ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Z45" i="1"/>
  <c r="W45" i="1"/>
  <c r="T45" i="1"/>
  <c r="Q45" i="1"/>
  <c r="N45" i="1"/>
  <c r="K45" i="1"/>
  <c r="GF44" i="1"/>
  <c r="GB44" i="1"/>
  <c r="FX44" i="1"/>
  <c r="FT44" i="1"/>
  <c r="FP44" i="1"/>
  <c r="FL44" i="1"/>
  <c r="FG44" i="1"/>
  <c r="FC44" i="1"/>
  <c r="EY44" i="1"/>
  <c r="EU44" i="1"/>
  <c r="EQ44" i="1"/>
  <c r="EM44" i="1"/>
  <c r="EH44" i="1"/>
  <c r="ED44" i="1"/>
  <c r="DZ44" i="1"/>
  <c r="DV44" i="1"/>
  <c r="DR44" i="1"/>
  <c r="DN44" i="1"/>
  <c r="DI44" i="1"/>
  <c r="DE44" i="1"/>
  <c r="DA44" i="1"/>
  <c r="CW44" i="1"/>
  <c r="CS44" i="1"/>
  <c r="CO44" i="1"/>
  <c r="CN44" i="1"/>
  <c r="CM44" i="1"/>
  <c r="CL44" i="1"/>
  <c r="CG44" i="1"/>
  <c r="CC44" i="1"/>
  <c r="BY44" i="1"/>
  <c r="BU44" i="1"/>
  <c r="BQ44" i="1"/>
  <c r="BM44" i="1"/>
  <c r="BL44" i="1"/>
  <c r="BK44" i="1"/>
  <c r="BJ44" i="1"/>
  <c r="BI44" i="1"/>
  <c r="CH44" i="1" s="1"/>
  <c r="BH44" i="1"/>
  <c r="BG44" i="1"/>
  <c r="BF44" i="1"/>
  <c r="CD44" i="1" s="1"/>
  <c r="BE44" i="1"/>
  <c r="BD44" i="1"/>
  <c r="DC44" i="1" s="1"/>
  <c r="BC44" i="1"/>
  <c r="BB44" i="1"/>
  <c r="BA44" i="1"/>
  <c r="AZ44" i="1"/>
  <c r="AY44" i="1"/>
  <c r="AX44" i="1"/>
  <c r="AW44" i="1"/>
  <c r="AV44" i="1"/>
  <c r="AU44" i="1"/>
  <c r="AT44" i="1"/>
  <c r="Z44" i="1"/>
  <c r="W44" i="1"/>
  <c r="T44" i="1"/>
  <c r="Q44" i="1"/>
  <c r="N44" i="1"/>
  <c r="K44" i="1"/>
  <c r="GF43" i="1"/>
  <c r="GB43" i="1"/>
  <c r="FX43" i="1"/>
  <c r="FT43" i="1"/>
  <c r="FP43" i="1"/>
  <c r="FL43" i="1"/>
  <c r="FG43" i="1"/>
  <c r="FC43" i="1"/>
  <c r="EY43" i="1"/>
  <c r="EU43" i="1"/>
  <c r="EQ43" i="1"/>
  <c r="EM43" i="1"/>
  <c r="EH43" i="1"/>
  <c r="ED43" i="1"/>
  <c r="DZ43" i="1"/>
  <c r="DV43" i="1"/>
  <c r="DR43" i="1"/>
  <c r="DN43" i="1"/>
  <c r="DI43" i="1"/>
  <c r="DE43" i="1"/>
  <c r="DA43" i="1"/>
  <c r="CW43" i="1"/>
  <c r="CS43" i="1"/>
  <c r="CO43" i="1"/>
  <c r="CN43" i="1"/>
  <c r="CM43" i="1"/>
  <c r="CL43" i="1"/>
  <c r="CG43" i="1"/>
  <c r="CC43" i="1"/>
  <c r="BY43" i="1"/>
  <c r="BU43" i="1"/>
  <c r="BQ43" i="1"/>
  <c r="BM43" i="1"/>
  <c r="BL43" i="1"/>
  <c r="BK43" i="1"/>
  <c r="BJ43" i="1"/>
  <c r="FI43" i="1" s="1"/>
  <c r="BI43" i="1"/>
  <c r="BH43" i="1"/>
  <c r="BG43" i="1"/>
  <c r="BF43" i="1"/>
  <c r="BE43" i="1"/>
  <c r="BD43" i="1"/>
  <c r="BC43" i="1"/>
  <c r="BB43" i="1"/>
  <c r="BA43" i="1"/>
  <c r="CY43" i="1" s="1"/>
  <c r="AZ43" i="1"/>
  <c r="AY43" i="1"/>
  <c r="AX43" i="1"/>
  <c r="BS43" i="1" s="1"/>
  <c r="AW43" i="1"/>
  <c r="AV43" i="1"/>
  <c r="AU43" i="1"/>
  <c r="BO43" i="1" s="1"/>
  <c r="AT43" i="1"/>
  <c r="Z43" i="1"/>
  <c r="W43" i="1"/>
  <c r="T43" i="1"/>
  <c r="Q43" i="1"/>
  <c r="N43" i="1"/>
  <c r="K43" i="1"/>
  <c r="GF42" i="1"/>
  <c r="GB42" i="1"/>
  <c r="FX42" i="1"/>
  <c r="FT42" i="1"/>
  <c r="FP42" i="1"/>
  <c r="FL42" i="1"/>
  <c r="FG42" i="1"/>
  <c r="FC42" i="1"/>
  <c r="EY42" i="1"/>
  <c r="EU42" i="1"/>
  <c r="EQ42" i="1"/>
  <c r="EM42" i="1"/>
  <c r="EH42" i="1"/>
  <c r="ED42" i="1"/>
  <c r="DZ42" i="1"/>
  <c r="DV42" i="1"/>
  <c r="DR42" i="1"/>
  <c r="DN42" i="1"/>
  <c r="DI42" i="1"/>
  <c r="DE42" i="1"/>
  <c r="DA42" i="1"/>
  <c r="CW42" i="1"/>
  <c r="CS42" i="1"/>
  <c r="CO42" i="1"/>
  <c r="CN42" i="1"/>
  <c r="CM42" i="1"/>
  <c r="CL42" i="1"/>
  <c r="CG42" i="1"/>
  <c r="CC42" i="1"/>
  <c r="BY42" i="1"/>
  <c r="BU42" i="1"/>
  <c r="BQ42" i="1"/>
  <c r="BM42" i="1"/>
  <c r="BL42" i="1"/>
  <c r="BK42" i="1"/>
  <c r="BJ42" i="1"/>
  <c r="BI42" i="1"/>
  <c r="BH42" i="1"/>
  <c r="BG42" i="1"/>
  <c r="FE42" i="1" s="1"/>
  <c r="BF42" i="1"/>
  <c r="BE42" i="1"/>
  <c r="BD42" i="1"/>
  <c r="BC42" i="1"/>
  <c r="BB42" i="1"/>
  <c r="DY42" i="1" s="1"/>
  <c r="BA42" i="1"/>
  <c r="CY42" i="1" s="1"/>
  <c r="AZ42" i="1"/>
  <c r="CX42" i="1" s="1"/>
  <c r="AY42" i="1"/>
  <c r="CV42" i="1" s="1"/>
  <c r="AX42" i="1"/>
  <c r="ES42" i="1" s="1"/>
  <c r="AW42" i="1"/>
  <c r="AV42" i="1"/>
  <c r="AU42" i="1"/>
  <c r="EO42" i="1" s="1"/>
  <c r="AT42" i="1"/>
  <c r="Z42" i="1"/>
  <c r="W42" i="1"/>
  <c r="T42" i="1"/>
  <c r="Q42" i="1"/>
  <c r="N42" i="1"/>
  <c r="K42" i="1"/>
  <c r="GF41" i="1"/>
  <c r="GB41" i="1"/>
  <c r="FX41" i="1"/>
  <c r="FT41" i="1"/>
  <c r="FP41" i="1"/>
  <c r="FL41" i="1"/>
  <c r="FG41" i="1"/>
  <c r="FC41" i="1"/>
  <c r="EY41" i="1"/>
  <c r="EU41" i="1"/>
  <c r="EQ41" i="1"/>
  <c r="EM41" i="1"/>
  <c r="EH41" i="1"/>
  <c r="ED41" i="1"/>
  <c r="DZ41" i="1"/>
  <c r="DV41" i="1"/>
  <c r="DR41" i="1"/>
  <c r="DN41" i="1"/>
  <c r="DI41" i="1"/>
  <c r="DE41" i="1"/>
  <c r="DA41" i="1"/>
  <c r="CW41" i="1"/>
  <c r="CS41" i="1"/>
  <c r="CO41" i="1"/>
  <c r="CN41" i="1"/>
  <c r="CM41" i="1"/>
  <c r="CL41" i="1"/>
  <c r="CG41" i="1"/>
  <c r="CC41" i="1"/>
  <c r="BY41" i="1"/>
  <c r="BU41" i="1"/>
  <c r="BQ41" i="1"/>
  <c r="BM41" i="1"/>
  <c r="BL41" i="1"/>
  <c r="BK41" i="1"/>
  <c r="BJ41" i="1"/>
  <c r="FI41" i="1" s="1"/>
  <c r="BI41" i="1"/>
  <c r="BH41" i="1"/>
  <c r="BG41" i="1"/>
  <c r="CE41" i="1" s="1"/>
  <c r="BF41" i="1"/>
  <c r="DF41" i="1" s="1"/>
  <c r="BE41" i="1"/>
  <c r="BD41" i="1"/>
  <c r="BC41" i="1"/>
  <c r="BB41" i="1"/>
  <c r="BA41" i="1"/>
  <c r="AZ41" i="1"/>
  <c r="AY41" i="1"/>
  <c r="AX41" i="1"/>
  <c r="AW41" i="1"/>
  <c r="AV41" i="1"/>
  <c r="AU41" i="1"/>
  <c r="BO41" i="1" s="1"/>
  <c r="AT41" i="1"/>
  <c r="Z41" i="1"/>
  <c r="W41" i="1"/>
  <c r="T41" i="1"/>
  <c r="Q41" i="1"/>
  <c r="N41" i="1"/>
  <c r="K41" i="1"/>
  <c r="GF40" i="1"/>
  <c r="GB40" i="1"/>
  <c r="FX40" i="1"/>
  <c r="FT40" i="1"/>
  <c r="FP40" i="1"/>
  <c r="FL40" i="1"/>
  <c r="FG40" i="1"/>
  <c r="FC40" i="1"/>
  <c r="EY40" i="1"/>
  <c r="EU40" i="1"/>
  <c r="EQ40" i="1"/>
  <c r="EM40" i="1"/>
  <c r="EH40" i="1"/>
  <c r="ED40" i="1"/>
  <c r="DZ40" i="1"/>
  <c r="DV40" i="1"/>
  <c r="DR40" i="1"/>
  <c r="DN40" i="1"/>
  <c r="DI40" i="1"/>
  <c r="DE40" i="1"/>
  <c r="DA40" i="1"/>
  <c r="CW40" i="1"/>
  <c r="CS40" i="1"/>
  <c r="CO40" i="1"/>
  <c r="CN40" i="1"/>
  <c r="CM40" i="1"/>
  <c r="CL40" i="1"/>
  <c r="CG40" i="1"/>
  <c r="CC40" i="1"/>
  <c r="BY40" i="1"/>
  <c r="BU40" i="1"/>
  <c r="BQ40" i="1"/>
  <c r="BM40" i="1"/>
  <c r="BL40" i="1"/>
  <c r="BK40" i="1"/>
  <c r="BJ40" i="1"/>
  <c r="BI40" i="1"/>
  <c r="BH40" i="1"/>
  <c r="FF40" i="1" s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Z40" i="1"/>
  <c r="W40" i="1"/>
  <c r="T40" i="1"/>
  <c r="Q40" i="1"/>
  <c r="N40" i="1"/>
  <c r="K40" i="1"/>
  <c r="GF39" i="1"/>
  <c r="GB39" i="1"/>
  <c r="GD39" i="1" s="1"/>
  <c r="FX39" i="1"/>
  <c r="FT39" i="1"/>
  <c r="FP39" i="1"/>
  <c r="FL39" i="1"/>
  <c r="FG39" i="1"/>
  <c r="FC39" i="1"/>
  <c r="EY39" i="1"/>
  <c r="EU39" i="1"/>
  <c r="EQ39" i="1"/>
  <c r="EM39" i="1"/>
  <c r="EH39" i="1"/>
  <c r="EJ39" i="1" s="1"/>
  <c r="ED39" i="1"/>
  <c r="DZ39" i="1"/>
  <c r="DV39" i="1"/>
  <c r="DR39" i="1"/>
  <c r="DN39" i="1"/>
  <c r="DI39" i="1"/>
  <c r="DE39" i="1"/>
  <c r="DA39" i="1"/>
  <c r="CW39" i="1"/>
  <c r="CS39" i="1"/>
  <c r="CT39" i="1" s="1"/>
  <c r="CO39" i="1"/>
  <c r="CN39" i="1"/>
  <c r="CM39" i="1"/>
  <c r="CL39" i="1"/>
  <c r="CG39" i="1"/>
  <c r="CC39" i="1"/>
  <c r="BY39" i="1"/>
  <c r="BU39" i="1"/>
  <c r="BQ39" i="1"/>
  <c r="BT39" i="1" s="1"/>
  <c r="BM39" i="1"/>
  <c r="BL39" i="1"/>
  <c r="BK39" i="1"/>
  <c r="BJ39" i="1"/>
  <c r="BI39" i="1"/>
  <c r="BH39" i="1"/>
  <c r="BG39" i="1"/>
  <c r="BF39" i="1"/>
  <c r="BE39" i="1"/>
  <c r="BD39" i="1"/>
  <c r="BC39" i="1"/>
  <c r="FY39" i="1" s="1"/>
  <c r="BB39" i="1"/>
  <c r="BA39" i="1"/>
  <c r="AZ39" i="1"/>
  <c r="AY39" i="1"/>
  <c r="AX39" i="1"/>
  <c r="AW39" i="1"/>
  <c r="AV39" i="1"/>
  <c r="AU39" i="1"/>
  <c r="AT39" i="1"/>
  <c r="Z39" i="1"/>
  <c r="W39" i="1"/>
  <c r="T39" i="1"/>
  <c r="Q39" i="1"/>
  <c r="N39" i="1"/>
  <c r="K39" i="1"/>
  <c r="GF38" i="1"/>
  <c r="GB38" i="1"/>
  <c r="FX38" i="1"/>
  <c r="FT38" i="1"/>
  <c r="FP38" i="1"/>
  <c r="FL38" i="1"/>
  <c r="FO38" i="1" s="1"/>
  <c r="FG38" i="1"/>
  <c r="FC38" i="1"/>
  <c r="EY38" i="1"/>
  <c r="EU38" i="1"/>
  <c r="EQ38" i="1"/>
  <c r="EM38" i="1"/>
  <c r="EH38" i="1"/>
  <c r="ED38" i="1"/>
  <c r="EG38" i="1" s="1"/>
  <c r="DZ38" i="1"/>
  <c r="DV38" i="1"/>
  <c r="DR38" i="1"/>
  <c r="DN38" i="1"/>
  <c r="DI38" i="1"/>
  <c r="DE38" i="1"/>
  <c r="DA38" i="1"/>
  <c r="CW38" i="1"/>
  <c r="CU38" i="1"/>
  <c r="CS38" i="1"/>
  <c r="CO38" i="1"/>
  <c r="CN38" i="1"/>
  <c r="CM38" i="1"/>
  <c r="CL38" i="1"/>
  <c r="CG38" i="1"/>
  <c r="CC38" i="1"/>
  <c r="BY38" i="1"/>
  <c r="BU38" i="1"/>
  <c r="BQ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EW38" i="1" s="1"/>
  <c r="AZ38" i="1"/>
  <c r="AY38" i="1"/>
  <c r="AX38" i="1"/>
  <c r="AW38" i="1"/>
  <c r="AV38" i="1"/>
  <c r="AU38" i="1"/>
  <c r="AT38" i="1"/>
  <c r="Z38" i="1"/>
  <c r="W38" i="1"/>
  <c r="T38" i="1"/>
  <c r="Q38" i="1"/>
  <c r="N38" i="1"/>
  <c r="K38" i="1"/>
  <c r="GF37" i="1"/>
  <c r="GB37" i="1"/>
  <c r="FX37" i="1"/>
  <c r="FT37" i="1"/>
  <c r="FP37" i="1"/>
  <c r="FL37" i="1"/>
  <c r="FG37" i="1"/>
  <c r="FC37" i="1"/>
  <c r="EY37" i="1"/>
  <c r="EU37" i="1"/>
  <c r="EQ37" i="1"/>
  <c r="EM37" i="1"/>
  <c r="EH37" i="1"/>
  <c r="ED37" i="1"/>
  <c r="DZ37" i="1"/>
  <c r="DV37" i="1"/>
  <c r="DR37" i="1"/>
  <c r="DN37" i="1"/>
  <c r="DI37" i="1"/>
  <c r="DE37" i="1"/>
  <c r="DA37" i="1"/>
  <c r="CW37" i="1"/>
  <c r="CS37" i="1"/>
  <c r="CO37" i="1"/>
  <c r="CN37" i="1"/>
  <c r="CM37" i="1"/>
  <c r="CL37" i="1"/>
  <c r="CG37" i="1"/>
  <c r="CC37" i="1"/>
  <c r="BY37" i="1"/>
  <c r="BU37" i="1"/>
  <c r="BQ37" i="1"/>
  <c r="BM37" i="1"/>
  <c r="BL37" i="1"/>
  <c r="BK37" i="1"/>
  <c r="BJ37" i="1"/>
  <c r="DK37" i="1" s="1"/>
  <c r="BI37" i="1"/>
  <c r="BH37" i="1"/>
  <c r="BG37" i="1"/>
  <c r="EF37" i="1" s="1"/>
  <c r="BF37" i="1"/>
  <c r="BE37" i="1"/>
  <c r="BD37" i="1"/>
  <c r="EB37" i="1" s="1"/>
  <c r="BC37" i="1"/>
  <c r="BB37" i="1"/>
  <c r="BA37" i="1"/>
  <c r="BW37" i="1" s="1"/>
  <c r="AZ37" i="1"/>
  <c r="AY37" i="1"/>
  <c r="AX37" i="1"/>
  <c r="DT37" i="1" s="1"/>
  <c r="AW37" i="1"/>
  <c r="AV37" i="1"/>
  <c r="AU37" i="1"/>
  <c r="EO37" i="1" s="1"/>
  <c r="AT37" i="1"/>
  <c r="Z37" i="1"/>
  <c r="W37" i="1"/>
  <c r="T37" i="1"/>
  <c r="Q37" i="1"/>
  <c r="N37" i="1"/>
  <c r="K37" i="1"/>
  <c r="GF36" i="1"/>
  <c r="GB36" i="1"/>
  <c r="FX36" i="1"/>
  <c r="FT36" i="1"/>
  <c r="FP36" i="1"/>
  <c r="FL36" i="1"/>
  <c r="FG36" i="1"/>
  <c r="FJ36" i="1" s="1"/>
  <c r="FC36" i="1"/>
  <c r="EY36" i="1"/>
  <c r="EU36" i="1"/>
  <c r="EQ36" i="1"/>
  <c r="EM36" i="1"/>
  <c r="EH36" i="1"/>
  <c r="ED36" i="1"/>
  <c r="DZ36" i="1"/>
  <c r="DV36" i="1"/>
  <c r="DR36" i="1"/>
  <c r="DN36" i="1"/>
  <c r="DI36" i="1"/>
  <c r="DE36" i="1"/>
  <c r="DA36" i="1"/>
  <c r="CW36" i="1"/>
  <c r="CS36" i="1"/>
  <c r="CO36" i="1"/>
  <c r="CN36" i="1"/>
  <c r="CM36" i="1"/>
  <c r="CL36" i="1"/>
  <c r="CG36" i="1"/>
  <c r="CC36" i="1"/>
  <c r="BY36" i="1"/>
  <c r="BU36" i="1"/>
  <c r="BQ36" i="1"/>
  <c r="BM36" i="1"/>
  <c r="BL36" i="1"/>
  <c r="BK36" i="1"/>
  <c r="BJ36" i="1"/>
  <c r="BI36" i="1"/>
  <c r="BH36" i="1"/>
  <c r="BG36" i="1"/>
  <c r="FE36" i="1" s="1"/>
  <c r="BF36" i="1"/>
  <c r="BE36" i="1"/>
  <c r="BD36" i="1"/>
  <c r="EB36" i="1" s="1"/>
  <c r="BC36" i="1"/>
  <c r="BB36" i="1"/>
  <c r="BA36" i="1"/>
  <c r="AZ36" i="1"/>
  <c r="AY36" i="1"/>
  <c r="AX36" i="1"/>
  <c r="DT36" i="1" s="1"/>
  <c r="AW36" i="1"/>
  <c r="AV36" i="1"/>
  <c r="AU36" i="1"/>
  <c r="AT36" i="1"/>
  <c r="Z36" i="1"/>
  <c r="W36" i="1"/>
  <c r="T36" i="1"/>
  <c r="Q36" i="1"/>
  <c r="N36" i="1"/>
  <c r="K36" i="1"/>
  <c r="GF35" i="1"/>
  <c r="GB35" i="1"/>
  <c r="FX35" i="1"/>
  <c r="FT35" i="1"/>
  <c r="FP35" i="1"/>
  <c r="FL35" i="1"/>
  <c r="FG35" i="1"/>
  <c r="FC35" i="1"/>
  <c r="EY35" i="1"/>
  <c r="EU35" i="1"/>
  <c r="EQ35" i="1"/>
  <c r="EM35" i="1"/>
  <c r="EH35" i="1"/>
  <c r="ED35" i="1"/>
  <c r="DZ35" i="1"/>
  <c r="DV35" i="1"/>
  <c r="DR35" i="1"/>
  <c r="DN35" i="1"/>
  <c r="DI35" i="1"/>
  <c r="DE35" i="1"/>
  <c r="DA35" i="1"/>
  <c r="CW35" i="1"/>
  <c r="CS35" i="1"/>
  <c r="CO35" i="1"/>
  <c r="CN35" i="1"/>
  <c r="CM35" i="1"/>
  <c r="CL35" i="1"/>
  <c r="CG35" i="1"/>
  <c r="CC35" i="1"/>
  <c r="CF35" i="1" s="1"/>
  <c r="BY35" i="1"/>
  <c r="BU35" i="1"/>
  <c r="BQ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DQ35" i="1" s="1"/>
  <c r="AU35" i="1"/>
  <c r="BO35" i="1" s="1"/>
  <c r="AT35" i="1"/>
  <c r="Z35" i="1"/>
  <c r="W35" i="1"/>
  <c r="T35" i="1"/>
  <c r="Q35" i="1"/>
  <c r="N35" i="1"/>
  <c r="K35" i="1"/>
  <c r="GF34" i="1"/>
  <c r="GG34" i="1" s="1"/>
  <c r="GB34" i="1"/>
  <c r="FX34" i="1"/>
  <c r="GA34" i="1" s="1"/>
  <c r="FT34" i="1"/>
  <c r="FP34" i="1"/>
  <c r="FL34" i="1"/>
  <c r="FG34" i="1"/>
  <c r="FC34" i="1"/>
  <c r="EY34" i="1"/>
  <c r="EU34" i="1"/>
  <c r="EQ34" i="1"/>
  <c r="EM34" i="1"/>
  <c r="EH34" i="1"/>
  <c r="ED34" i="1"/>
  <c r="DZ34" i="1"/>
  <c r="DV34" i="1"/>
  <c r="DR34" i="1"/>
  <c r="DN34" i="1"/>
  <c r="DI34" i="1"/>
  <c r="DE34" i="1"/>
  <c r="DA34" i="1"/>
  <c r="CW34" i="1"/>
  <c r="CS34" i="1"/>
  <c r="CO34" i="1"/>
  <c r="CN34" i="1"/>
  <c r="CM34" i="1"/>
  <c r="CL34" i="1"/>
  <c r="CG34" i="1"/>
  <c r="CC34" i="1"/>
  <c r="BY34" i="1"/>
  <c r="BU34" i="1"/>
  <c r="BQ34" i="1"/>
  <c r="BM34" i="1"/>
  <c r="BL34" i="1"/>
  <c r="BK34" i="1"/>
  <c r="BJ34" i="1"/>
  <c r="FI34" i="1" s="1"/>
  <c r="BI34" i="1"/>
  <c r="BH34" i="1"/>
  <c r="BG34" i="1"/>
  <c r="EF34" i="1" s="1"/>
  <c r="BF34" i="1"/>
  <c r="BE34" i="1"/>
  <c r="BD34" i="1"/>
  <c r="CA34" i="1" s="1"/>
  <c r="BC34" i="1"/>
  <c r="BZ34" i="1" s="1"/>
  <c r="BB34" i="1"/>
  <c r="BA34" i="1"/>
  <c r="FV34" i="1" s="1"/>
  <c r="AZ34" i="1"/>
  <c r="AY34" i="1"/>
  <c r="AX34" i="1"/>
  <c r="AW34" i="1"/>
  <c r="AV34" i="1"/>
  <c r="AU34" i="1"/>
  <c r="FN34" i="1" s="1"/>
  <c r="AT34" i="1"/>
  <c r="Z34" i="1"/>
  <c r="W34" i="1"/>
  <c r="T34" i="1"/>
  <c r="Q34" i="1"/>
  <c r="N34" i="1"/>
  <c r="K34" i="1"/>
  <c r="GF33" i="1"/>
  <c r="GB33" i="1"/>
  <c r="FX33" i="1"/>
  <c r="FT33" i="1"/>
  <c r="FP33" i="1"/>
  <c r="FL33" i="1"/>
  <c r="FG33" i="1"/>
  <c r="FC33" i="1"/>
  <c r="EY33" i="1"/>
  <c r="EU33" i="1"/>
  <c r="EQ33" i="1"/>
  <c r="EM33" i="1"/>
  <c r="EH33" i="1"/>
  <c r="ED33" i="1"/>
  <c r="DZ33" i="1"/>
  <c r="DV33" i="1"/>
  <c r="DR33" i="1"/>
  <c r="DN33" i="1"/>
  <c r="DI33" i="1"/>
  <c r="DE33" i="1"/>
  <c r="DA33" i="1"/>
  <c r="CW33" i="1"/>
  <c r="CS33" i="1"/>
  <c r="CO33" i="1"/>
  <c r="CN33" i="1"/>
  <c r="CM33" i="1"/>
  <c r="CL33" i="1"/>
  <c r="CG33" i="1"/>
  <c r="CC33" i="1"/>
  <c r="BY33" i="1"/>
  <c r="BU33" i="1"/>
  <c r="BQ33" i="1"/>
  <c r="BM33" i="1"/>
  <c r="BL33" i="1"/>
  <c r="BK33" i="1"/>
  <c r="BJ33" i="1"/>
  <c r="BI33" i="1"/>
  <c r="BH33" i="1"/>
  <c r="BG33" i="1"/>
  <c r="BF33" i="1"/>
  <c r="DF33" i="1" s="1"/>
  <c r="BE33" i="1"/>
  <c r="BD33" i="1"/>
  <c r="BC33" i="1"/>
  <c r="BB33" i="1"/>
  <c r="BA33" i="1"/>
  <c r="AZ33" i="1"/>
  <c r="BV33" i="1" s="1"/>
  <c r="AY33" i="1"/>
  <c r="AX33" i="1"/>
  <c r="AW33" i="1"/>
  <c r="AV33" i="1"/>
  <c r="AU33" i="1"/>
  <c r="AT33" i="1"/>
  <c r="Z33" i="1"/>
  <c r="W33" i="1"/>
  <c r="T33" i="1"/>
  <c r="Q33" i="1"/>
  <c r="N33" i="1"/>
  <c r="K33" i="1"/>
  <c r="GF32" i="1"/>
  <c r="GB32" i="1"/>
  <c r="FX32" i="1"/>
  <c r="FT32" i="1"/>
  <c r="FP32" i="1"/>
  <c r="FL32" i="1"/>
  <c r="FG32" i="1"/>
  <c r="FJ32" i="1" s="1"/>
  <c r="FC32" i="1"/>
  <c r="EY32" i="1"/>
  <c r="EU32" i="1"/>
  <c r="EQ32" i="1"/>
  <c r="EM32" i="1"/>
  <c r="EH32" i="1"/>
  <c r="ED32" i="1"/>
  <c r="DZ32" i="1"/>
  <c r="DV32" i="1"/>
  <c r="DR32" i="1"/>
  <c r="DN32" i="1"/>
  <c r="DI32" i="1"/>
  <c r="DE32" i="1"/>
  <c r="DA32" i="1"/>
  <c r="CW32" i="1"/>
  <c r="CS32" i="1"/>
  <c r="CO32" i="1"/>
  <c r="CN32" i="1"/>
  <c r="CM32" i="1"/>
  <c r="CL32" i="1"/>
  <c r="CG32" i="1"/>
  <c r="CC32" i="1"/>
  <c r="BY32" i="1"/>
  <c r="BU32" i="1"/>
  <c r="BQ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FU32" i="1" s="1"/>
  <c r="AY32" i="1"/>
  <c r="AX32" i="1"/>
  <c r="AW32" i="1"/>
  <c r="AV32" i="1"/>
  <c r="AU32" i="1"/>
  <c r="EO32" i="1" s="1"/>
  <c r="AT32" i="1"/>
  <c r="Z32" i="1"/>
  <c r="W32" i="1"/>
  <c r="T32" i="1"/>
  <c r="Q32" i="1"/>
  <c r="N32" i="1"/>
  <c r="K32" i="1"/>
  <c r="GF31" i="1"/>
  <c r="GB31" i="1"/>
  <c r="FX31" i="1"/>
  <c r="FT31" i="1"/>
  <c r="FP31" i="1"/>
  <c r="FL31" i="1"/>
  <c r="FG31" i="1"/>
  <c r="FC31" i="1"/>
  <c r="FA31" i="1"/>
  <c r="EY31" i="1"/>
  <c r="EU31" i="1"/>
  <c r="EQ31" i="1"/>
  <c r="EM31" i="1"/>
  <c r="EH31" i="1"/>
  <c r="ED31" i="1"/>
  <c r="DZ31" i="1"/>
  <c r="DV31" i="1"/>
  <c r="DR31" i="1"/>
  <c r="DN31" i="1"/>
  <c r="DO31" i="1" s="1"/>
  <c r="DI31" i="1"/>
  <c r="DE31" i="1"/>
  <c r="DA31" i="1"/>
  <c r="CW31" i="1"/>
  <c r="CS31" i="1"/>
  <c r="CO31" i="1"/>
  <c r="CN31" i="1"/>
  <c r="CM31" i="1"/>
  <c r="CL31" i="1"/>
  <c r="CG31" i="1"/>
  <c r="CC31" i="1"/>
  <c r="BY31" i="1"/>
  <c r="BU31" i="1"/>
  <c r="BQ31" i="1"/>
  <c r="BM31" i="1"/>
  <c r="BL31" i="1"/>
  <c r="BK31" i="1"/>
  <c r="BJ31" i="1"/>
  <c r="BI31" i="1"/>
  <c r="BH31" i="1"/>
  <c r="DH31" i="1" s="1"/>
  <c r="BG31" i="1"/>
  <c r="CE31" i="1" s="1"/>
  <c r="BF31" i="1"/>
  <c r="BE31" i="1"/>
  <c r="BD31" i="1"/>
  <c r="FZ31" i="1" s="1"/>
  <c r="BC31" i="1"/>
  <c r="FY31" i="1" s="1"/>
  <c r="BB31" i="1"/>
  <c r="BA31" i="1"/>
  <c r="FV31" i="1" s="1"/>
  <c r="AZ31" i="1"/>
  <c r="AY31" i="1"/>
  <c r="ET31" i="1" s="1"/>
  <c r="AX31" i="1"/>
  <c r="CU31" i="1" s="1"/>
  <c r="AW31" i="1"/>
  <c r="AV31" i="1"/>
  <c r="AU31" i="1"/>
  <c r="AT31" i="1"/>
  <c r="Z31" i="1"/>
  <c r="W31" i="1"/>
  <c r="T31" i="1"/>
  <c r="Q31" i="1"/>
  <c r="N31" i="1"/>
  <c r="K31" i="1"/>
  <c r="GF30" i="1"/>
  <c r="GB30" i="1"/>
  <c r="FX30" i="1"/>
  <c r="FT30" i="1"/>
  <c r="FP30" i="1"/>
  <c r="FL30" i="1"/>
  <c r="FG30" i="1"/>
  <c r="FC30" i="1"/>
  <c r="EY30" i="1"/>
  <c r="EU30" i="1"/>
  <c r="EQ30" i="1"/>
  <c r="EM30" i="1"/>
  <c r="EH30" i="1"/>
  <c r="ED30" i="1"/>
  <c r="DZ30" i="1"/>
  <c r="DV30" i="1"/>
  <c r="DR30" i="1"/>
  <c r="DN30" i="1"/>
  <c r="DI30" i="1"/>
  <c r="DE30" i="1"/>
  <c r="DA30" i="1"/>
  <c r="CW30" i="1"/>
  <c r="CS30" i="1"/>
  <c r="CO30" i="1"/>
  <c r="CN30" i="1"/>
  <c r="CM30" i="1"/>
  <c r="CL30" i="1"/>
  <c r="CG30" i="1"/>
  <c r="CC30" i="1"/>
  <c r="BY30" i="1"/>
  <c r="BU30" i="1"/>
  <c r="BQ30" i="1"/>
  <c r="BM30" i="1"/>
  <c r="BL30" i="1"/>
  <c r="BK30" i="1"/>
  <c r="BJ30" i="1"/>
  <c r="BI30" i="1"/>
  <c r="BH30" i="1"/>
  <c r="EG30" i="1" s="1"/>
  <c r="BG30" i="1"/>
  <c r="BF30" i="1"/>
  <c r="EE30" i="1" s="1"/>
  <c r="BE30" i="1"/>
  <c r="BD30" i="1"/>
  <c r="BC30" i="1"/>
  <c r="BB30" i="1"/>
  <c r="BA30" i="1"/>
  <c r="AZ30" i="1"/>
  <c r="AY30" i="1"/>
  <c r="AX30" i="1"/>
  <c r="AW30" i="1"/>
  <c r="AV30" i="1"/>
  <c r="AU30" i="1"/>
  <c r="AT30" i="1"/>
  <c r="Z30" i="1"/>
  <c r="W30" i="1"/>
  <c r="T30" i="1"/>
  <c r="Q30" i="1"/>
  <c r="N30" i="1"/>
  <c r="K30" i="1"/>
  <c r="GF29" i="1"/>
  <c r="GB29" i="1"/>
  <c r="FX29" i="1"/>
  <c r="FT29" i="1"/>
  <c r="FP29" i="1"/>
  <c r="FL29" i="1"/>
  <c r="FG29" i="1"/>
  <c r="FC29" i="1"/>
  <c r="EY29" i="1"/>
  <c r="EU29" i="1"/>
  <c r="EQ29" i="1"/>
  <c r="EM29" i="1"/>
  <c r="EH29" i="1"/>
  <c r="ED29" i="1"/>
  <c r="DZ29" i="1"/>
  <c r="DV29" i="1"/>
  <c r="DR29" i="1"/>
  <c r="DN29" i="1"/>
  <c r="DI29" i="1"/>
  <c r="DE29" i="1"/>
  <c r="DA29" i="1"/>
  <c r="CW29" i="1"/>
  <c r="CS29" i="1"/>
  <c r="CO29" i="1"/>
  <c r="CN29" i="1"/>
  <c r="CM29" i="1"/>
  <c r="CL29" i="1"/>
  <c r="CG29" i="1"/>
  <c r="CC29" i="1"/>
  <c r="BY29" i="1"/>
  <c r="BU29" i="1"/>
  <c r="BQ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FN29" i="1" s="1"/>
  <c r="AT29" i="1"/>
  <c r="Z29" i="1"/>
  <c r="W29" i="1"/>
  <c r="T29" i="1"/>
  <c r="Q29" i="1"/>
  <c r="N29" i="1"/>
  <c r="K29" i="1"/>
  <c r="GF28" i="1"/>
  <c r="GB28" i="1"/>
  <c r="FX28" i="1"/>
  <c r="FT28" i="1"/>
  <c r="FP28" i="1"/>
  <c r="FL28" i="1"/>
  <c r="FG28" i="1"/>
  <c r="FC28" i="1"/>
  <c r="EY28" i="1"/>
  <c r="EU28" i="1"/>
  <c r="EQ28" i="1"/>
  <c r="EM28" i="1"/>
  <c r="EH28" i="1"/>
  <c r="ED28" i="1"/>
  <c r="DZ28" i="1"/>
  <c r="DV28" i="1"/>
  <c r="DR28" i="1"/>
  <c r="DN28" i="1"/>
  <c r="DI28" i="1"/>
  <c r="DE28" i="1"/>
  <c r="DA28" i="1"/>
  <c r="CW28" i="1"/>
  <c r="CS28" i="1"/>
  <c r="CO28" i="1"/>
  <c r="CN28" i="1"/>
  <c r="CM28" i="1"/>
  <c r="CL28" i="1"/>
  <c r="CG28" i="1"/>
  <c r="CC28" i="1"/>
  <c r="BY28" i="1"/>
  <c r="BU28" i="1"/>
  <c r="BQ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Z28" i="1"/>
  <c r="W28" i="1"/>
  <c r="T28" i="1"/>
  <c r="Q28" i="1"/>
  <c r="N28" i="1"/>
  <c r="K28" i="1"/>
  <c r="GF27" i="1"/>
  <c r="GB27" i="1"/>
  <c r="FX27" i="1"/>
  <c r="FT27" i="1"/>
  <c r="FP27" i="1"/>
  <c r="FL27" i="1"/>
  <c r="FG27" i="1"/>
  <c r="FC27" i="1"/>
  <c r="EY27" i="1"/>
  <c r="EU27" i="1"/>
  <c r="EQ27" i="1"/>
  <c r="EM27" i="1"/>
  <c r="EH27" i="1"/>
  <c r="ED27" i="1"/>
  <c r="DZ27" i="1"/>
  <c r="DV27" i="1"/>
  <c r="DR27" i="1"/>
  <c r="DN27" i="1"/>
  <c r="DI27" i="1"/>
  <c r="DE27" i="1"/>
  <c r="DA27" i="1"/>
  <c r="CW27" i="1"/>
  <c r="CS27" i="1"/>
  <c r="CO27" i="1"/>
  <c r="CN27" i="1"/>
  <c r="CM27" i="1"/>
  <c r="CL27" i="1"/>
  <c r="CG27" i="1"/>
  <c r="CC27" i="1"/>
  <c r="BY27" i="1"/>
  <c r="BU27" i="1"/>
  <c r="BQ27" i="1"/>
  <c r="BM27" i="1"/>
  <c r="BN27" i="1" s="1"/>
  <c r="BL27" i="1"/>
  <c r="BK27" i="1"/>
  <c r="BJ27" i="1"/>
  <c r="CI27" i="1" s="1"/>
  <c r="BI27" i="1"/>
  <c r="BH27" i="1"/>
  <c r="BG27" i="1"/>
  <c r="BF27" i="1"/>
  <c r="BE27" i="1"/>
  <c r="BD27" i="1"/>
  <c r="EB27" i="1" s="1"/>
  <c r="BC27" i="1"/>
  <c r="BB27" i="1"/>
  <c r="BA27" i="1"/>
  <c r="BW27" i="1" s="1"/>
  <c r="AZ27" i="1"/>
  <c r="AY27" i="1"/>
  <c r="AX27" i="1"/>
  <c r="AW27" i="1"/>
  <c r="AV27" i="1"/>
  <c r="AU27" i="1"/>
  <c r="EO27" i="1" s="1"/>
  <c r="AT27" i="1"/>
  <c r="Z27" i="1"/>
  <c r="W27" i="1"/>
  <c r="T27" i="1"/>
  <c r="Q27" i="1"/>
  <c r="N27" i="1"/>
  <c r="K27" i="1"/>
  <c r="GF26" i="1"/>
  <c r="GB26" i="1"/>
  <c r="FX26" i="1"/>
  <c r="FT26" i="1"/>
  <c r="FP26" i="1"/>
  <c r="FL26" i="1"/>
  <c r="FG26" i="1"/>
  <c r="FC26" i="1"/>
  <c r="EY26" i="1"/>
  <c r="EU26" i="1"/>
  <c r="EQ26" i="1"/>
  <c r="EM26" i="1"/>
  <c r="EH26" i="1"/>
  <c r="ED26" i="1"/>
  <c r="DZ26" i="1"/>
  <c r="DV26" i="1"/>
  <c r="DR26" i="1"/>
  <c r="DN26" i="1"/>
  <c r="DI26" i="1"/>
  <c r="DE26" i="1"/>
  <c r="DA26" i="1"/>
  <c r="CW26" i="1"/>
  <c r="CS26" i="1"/>
  <c r="CO26" i="1"/>
  <c r="CN26" i="1"/>
  <c r="CM26" i="1"/>
  <c r="CL26" i="1"/>
  <c r="CG26" i="1"/>
  <c r="CC26" i="1"/>
  <c r="BY26" i="1"/>
  <c r="BU26" i="1"/>
  <c r="BQ26" i="1"/>
  <c r="BM26" i="1"/>
  <c r="BL26" i="1"/>
  <c r="BK26" i="1"/>
  <c r="BJ26" i="1"/>
  <c r="BI26" i="1"/>
  <c r="BH26" i="1"/>
  <c r="CF26" i="1" s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Z26" i="1"/>
  <c r="W26" i="1"/>
  <c r="T26" i="1"/>
  <c r="Q26" i="1"/>
  <c r="N26" i="1"/>
  <c r="K26" i="1"/>
  <c r="GF25" i="1"/>
  <c r="GB25" i="1"/>
  <c r="FX25" i="1"/>
  <c r="FT25" i="1"/>
  <c r="FP25" i="1"/>
  <c r="FL25" i="1"/>
  <c r="FG25" i="1"/>
  <c r="FC25" i="1"/>
  <c r="EY25" i="1"/>
  <c r="EU25" i="1"/>
  <c r="EQ25" i="1"/>
  <c r="EM25" i="1"/>
  <c r="EH25" i="1"/>
  <c r="ED25" i="1"/>
  <c r="DZ25" i="1"/>
  <c r="DV25" i="1"/>
  <c r="DR25" i="1"/>
  <c r="DN25" i="1"/>
  <c r="DI25" i="1"/>
  <c r="DE25" i="1"/>
  <c r="DA25" i="1"/>
  <c r="CW25" i="1"/>
  <c r="CS25" i="1"/>
  <c r="CO25" i="1"/>
  <c r="CN25" i="1"/>
  <c r="CM25" i="1"/>
  <c r="CL25" i="1"/>
  <c r="CG25" i="1"/>
  <c r="CC25" i="1"/>
  <c r="BY25" i="1"/>
  <c r="BU25" i="1"/>
  <c r="BQ25" i="1"/>
  <c r="BM25" i="1"/>
  <c r="BL25" i="1"/>
  <c r="BK25" i="1"/>
  <c r="BJ25" i="1"/>
  <c r="BI25" i="1"/>
  <c r="BH25" i="1"/>
  <c r="EG25" i="1" s="1"/>
  <c r="BG25" i="1"/>
  <c r="BF25" i="1"/>
  <c r="BE25" i="1"/>
  <c r="BD25" i="1"/>
  <c r="DC25" i="1" s="1"/>
  <c r="BC25" i="1"/>
  <c r="BB25" i="1"/>
  <c r="BA25" i="1"/>
  <c r="AZ25" i="1"/>
  <c r="AY25" i="1"/>
  <c r="AX25" i="1"/>
  <c r="AW25" i="1"/>
  <c r="AV25" i="1"/>
  <c r="AU25" i="1"/>
  <c r="AT25" i="1"/>
  <c r="Z25" i="1"/>
  <c r="W25" i="1"/>
  <c r="T25" i="1"/>
  <c r="Q25" i="1"/>
  <c r="N25" i="1"/>
  <c r="K25" i="1"/>
  <c r="GF24" i="1"/>
  <c r="GB24" i="1"/>
  <c r="FX24" i="1"/>
  <c r="FT24" i="1"/>
  <c r="FP24" i="1"/>
  <c r="FL24" i="1"/>
  <c r="FG24" i="1"/>
  <c r="FC24" i="1"/>
  <c r="EY24" i="1"/>
  <c r="EU24" i="1"/>
  <c r="EQ24" i="1"/>
  <c r="EM24" i="1"/>
  <c r="EH24" i="1"/>
  <c r="ED24" i="1"/>
  <c r="DZ24" i="1"/>
  <c r="DV24" i="1"/>
  <c r="DR24" i="1"/>
  <c r="DN24" i="1"/>
  <c r="DI24" i="1"/>
  <c r="DJ24" i="1" s="1"/>
  <c r="DE24" i="1"/>
  <c r="DH24" i="1" s="1"/>
  <c r="DA24" i="1"/>
  <c r="CW24" i="1"/>
  <c r="CS24" i="1"/>
  <c r="CO24" i="1"/>
  <c r="CN24" i="1"/>
  <c r="CM24" i="1"/>
  <c r="CL24" i="1"/>
  <c r="CG24" i="1"/>
  <c r="CC24" i="1"/>
  <c r="BY24" i="1"/>
  <c r="BU24" i="1"/>
  <c r="BQ24" i="1"/>
  <c r="BM24" i="1"/>
  <c r="BL24" i="1"/>
  <c r="BK24" i="1"/>
  <c r="BJ24" i="1"/>
  <c r="BI24" i="1"/>
  <c r="BH24" i="1"/>
  <c r="BG24" i="1"/>
  <c r="CE24" i="1" s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Z24" i="1"/>
  <c r="W24" i="1"/>
  <c r="T24" i="1"/>
  <c r="Q24" i="1"/>
  <c r="N24" i="1"/>
  <c r="K24" i="1"/>
  <c r="GF23" i="1"/>
  <c r="GB23" i="1"/>
  <c r="GE23" i="1" s="1"/>
  <c r="FX23" i="1"/>
  <c r="FT23" i="1"/>
  <c r="FP23" i="1"/>
  <c r="FL23" i="1"/>
  <c r="FG23" i="1"/>
  <c r="FC23" i="1"/>
  <c r="EY23" i="1"/>
  <c r="EU23" i="1"/>
  <c r="EQ23" i="1"/>
  <c r="EM23" i="1"/>
  <c r="EH23" i="1"/>
  <c r="ED23" i="1"/>
  <c r="DZ23" i="1"/>
  <c r="DV23" i="1"/>
  <c r="DR23" i="1"/>
  <c r="DN23" i="1"/>
  <c r="DI23" i="1"/>
  <c r="DE23" i="1"/>
  <c r="DA23" i="1"/>
  <c r="CW23" i="1"/>
  <c r="CS23" i="1"/>
  <c r="CO23" i="1"/>
  <c r="CN23" i="1"/>
  <c r="CM23" i="1"/>
  <c r="CL23" i="1"/>
  <c r="CG23" i="1"/>
  <c r="CC23" i="1"/>
  <c r="BY23" i="1"/>
  <c r="BU23" i="1"/>
  <c r="BQ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EN23" i="1" s="1"/>
  <c r="Z23" i="1"/>
  <c r="W23" i="1"/>
  <c r="T23" i="1"/>
  <c r="Q23" i="1"/>
  <c r="N23" i="1"/>
  <c r="K23" i="1"/>
  <c r="GF22" i="1"/>
  <c r="GB22" i="1"/>
  <c r="FX22" i="1"/>
  <c r="FT22" i="1"/>
  <c r="FP22" i="1"/>
  <c r="FL22" i="1"/>
  <c r="FG22" i="1"/>
  <c r="FC22" i="1"/>
  <c r="EY22" i="1"/>
  <c r="EU22" i="1"/>
  <c r="EQ22" i="1"/>
  <c r="EM22" i="1"/>
  <c r="EH22" i="1"/>
  <c r="ED22" i="1"/>
  <c r="DZ22" i="1"/>
  <c r="DV22" i="1"/>
  <c r="DR22" i="1"/>
  <c r="DN22" i="1"/>
  <c r="DI22" i="1"/>
  <c r="DE22" i="1"/>
  <c r="DA22" i="1"/>
  <c r="CW22" i="1"/>
  <c r="CS22" i="1"/>
  <c r="CO22" i="1"/>
  <c r="CN22" i="1"/>
  <c r="CM22" i="1"/>
  <c r="CL22" i="1"/>
  <c r="CG22" i="1"/>
  <c r="CC22" i="1"/>
  <c r="BY22" i="1"/>
  <c r="BU22" i="1"/>
  <c r="BQ22" i="1"/>
  <c r="BM22" i="1"/>
  <c r="BL22" i="1"/>
  <c r="BK22" i="1"/>
  <c r="BJ22" i="1"/>
  <c r="DK22" i="1" s="1"/>
  <c r="BI22" i="1"/>
  <c r="BH22" i="1"/>
  <c r="BG22" i="1"/>
  <c r="GD22" i="1" s="1"/>
  <c r="BF22" i="1"/>
  <c r="BE22" i="1"/>
  <c r="BD22" i="1"/>
  <c r="EB22" i="1" s="1"/>
  <c r="BC22" i="1"/>
  <c r="BB22" i="1"/>
  <c r="BA22" i="1"/>
  <c r="BW22" i="1" s="1"/>
  <c r="AZ22" i="1"/>
  <c r="AY22" i="1"/>
  <c r="AX22" i="1"/>
  <c r="ES22" i="1" s="1"/>
  <c r="AW22" i="1"/>
  <c r="AV22" i="1"/>
  <c r="AU22" i="1"/>
  <c r="AT22" i="1"/>
  <c r="Z22" i="1"/>
  <c r="W22" i="1"/>
  <c r="T22" i="1"/>
  <c r="Q22" i="1"/>
  <c r="N22" i="1"/>
  <c r="K22" i="1"/>
  <c r="GF21" i="1"/>
  <c r="GB21" i="1"/>
  <c r="FX21" i="1"/>
  <c r="FT21" i="1"/>
  <c r="FP21" i="1"/>
  <c r="FL21" i="1"/>
  <c r="FG21" i="1"/>
  <c r="FC21" i="1"/>
  <c r="EY21" i="1"/>
  <c r="EU21" i="1"/>
  <c r="EQ21" i="1"/>
  <c r="EM21" i="1"/>
  <c r="EH21" i="1"/>
  <c r="ED21" i="1"/>
  <c r="DZ21" i="1"/>
  <c r="DV21" i="1"/>
  <c r="DR21" i="1"/>
  <c r="DN21" i="1"/>
  <c r="DI21" i="1"/>
  <c r="DE21" i="1"/>
  <c r="DA21" i="1"/>
  <c r="CW21" i="1"/>
  <c r="CS21" i="1"/>
  <c r="CO21" i="1"/>
  <c r="CN21" i="1"/>
  <c r="CM21" i="1"/>
  <c r="CL21" i="1"/>
  <c r="CG21" i="1"/>
  <c r="CJ21" i="1" s="1"/>
  <c r="CC21" i="1"/>
  <c r="BY21" i="1"/>
  <c r="BU21" i="1"/>
  <c r="BQ21" i="1"/>
  <c r="BM21" i="1"/>
  <c r="BL21" i="1"/>
  <c r="BK21" i="1"/>
  <c r="BJ21" i="1"/>
  <c r="EJ21" i="1" s="1"/>
  <c r="BI21" i="1"/>
  <c r="BH21" i="1"/>
  <c r="BG21" i="1"/>
  <c r="FE21" i="1" s="1"/>
  <c r="BF21" i="1"/>
  <c r="BE21" i="1"/>
  <c r="BD21" i="1"/>
  <c r="EB21" i="1" s="1"/>
  <c r="BC21" i="1"/>
  <c r="BB21" i="1"/>
  <c r="BA21" i="1"/>
  <c r="FV21" i="1" s="1"/>
  <c r="AZ21" i="1"/>
  <c r="AY21" i="1"/>
  <c r="AX21" i="1"/>
  <c r="CU21" i="1" s="1"/>
  <c r="AW21" i="1"/>
  <c r="AV21" i="1"/>
  <c r="AU21" i="1"/>
  <c r="DP21" i="1" s="1"/>
  <c r="AT21" i="1"/>
  <c r="Z21" i="1"/>
  <c r="W21" i="1"/>
  <c r="T21" i="1"/>
  <c r="Q21" i="1"/>
  <c r="N21" i="1"/>
  <c r="K21" i="1"/>
  <c r="GF20" i="1"/>
  <c r="GB20" i="1"/>
  <c r="FX20" i="1"/>
  <c r="FT20" i="1"/>
  <c r="FP20" i="1"/>
  <c r="FL20" i="1"/>
  <c r="FG20" i="1"/>
  <c r="FC20" i="1"/>
  <c r="EY20" i="1"/>
  <c r="EU20" i="1"/>
  <c r="EQ20" i="1"/>
  <c r="ER20" i="1" s="1"/>
  <c r="EM20" i="1"/>
  <c r="EH20" i="1"/>
  <c r="ED20" i="1"/>
  <c r="DZ20" i="1"/>
  <c r="DV20" i="1"/>
  <c r="DR20" i="1"/>
  <c r="DN20" i="1"/>
  <c r="DI20" i="1"/>
  <c r="DE20" i="1"/>
  <c r="DA20" i="1"/>
  <c r="CW20" i="1"/>
  <c r="CS20" i="1"/>
  <c r="CO20" i="1"/>
  <c r="CN20" i="1"/>
  <c r="CM20" i="1"/>
  <c r="CL20" i="1"/>
  <c r="CG20" i="1"/>
  <c r="CC20" i="1"/>
  <c r="BY20" i="1"/>
  <c r="BU20" i="1"/>
  <c r="BQ20" i="1"/>
  <c r="BM20" i="1"/>
  <c r="BL20" i="1"/>
  <c r="BK20" i="1"/>
  <c r="BJ20" i="1"/>
  <c r="BI20" i="1"/>
  <c r="FH20" i="1" s="1"/>
  <c r="BH20" i="1"/>
  <c r="BG20" i="1"/>
  <c r="BF20" i="1"/>
  <c r="BE20" i="1"/>
  <c r="BD20" i="1"/>
  <c r="FZ20" i="1" s="1"/>
  <c r="BC20" i="1"/>
  <c r="BB20" i="1"/>
  <c r="BA20" i="1"/>
  <c r="BW20" i="1" s="1"/>
  <c r="AZ20" i="1"/>
  <c r="AY20" i="1"/>
  <c r="AX20" i="1"/>
  <c r="BS20" i="1" s="1"/>
  <c r="AW20" i="1"/>
  <c r="AV20" i="1"/>
  <c r="AU20" i="1"/>
  <c r="FN20" i="1" s="1"/>
  <c r="AT20" i="1"/>
  <c r="Z20" i="1"/>
  <c r="W20" i="1"/>
  <c r="T20" i="1"/>
  <c r="Q20" i="1"/>
  <c r="N20" i="1"/>
  <c r="K20" i="1"/>
  <c r="GF19" i="1"/>
  <c r="GB19" i="1"/>
  <c r="FX19" i="1"/>
  <c r="FT19" i="1"/>
  <c r="FP19" i="1"/>
  <c r="FL19" i="1"/>
  <c r="FG19" i="1"/>
  <c r="FC19" i="1"/>
  <c r="EY19" i="1"/>
  <c r="EU19" i="1"/>
  <c r="EQ19" i="1"/>
  <c r="EM19" i="1"/>
  <c r="EH19" i="1"/>
  <c r="ED19" i="1"/>
  <c r="DZ19" i="1"/>
  <c r="DV19" i="1"/>
  <c r="DR19" i="1"/>
  <c r="DN19" i="1"/>
  <c r="DI19" i="1"/>
  <c r="DE19" i="1"/>
  <c r="DA19" i="1"/>
  <c r="CW19" i="1"/>
  <c r="CS19" i="1"/>
  <c r="CO19" i="1"/>
  <c r="CN19" i="1"/>
  <c r="CM19" i="1"/>
  <c r="CL19" i="1"/>
  <c r="CG19" i="1"/>
  <c r="CC19" i="1"/>
  <c r="BY19" i="1"/>
  <c r="BU19" i="1"/>
  <c r="BQ19" i="1"/>
  <c r="BM19" i="1"/>
  <c r="BL19" i="1"/>
  <c r="BK19" i="1"/>
  <c r="BJ19" i="1"/>
  <c r="BI19" i="1"/>
  <c r="BH19" i="1"/>
  <c r="GE19" i="1" s="1"/>
  <c r="BG19" i="1"/>
  <c r="BF19" i="1"/>
  <c r="BE19" i="1"/>
  <c r="BD19" i="1"/>
  <c r="BC19" i="1"/>
  <c r="BB19" i="1"/>
  <c r="BA19" i="1"/>
  <c r="AZ19" i="1"/>
  <c r="AY19" i="1"/>
  <c r="AX19" i="1"/>
  <c r="CU19" i="1" s="1"/>
  <c r="AW19" i="1"/>
  <c r="AV19" i="1"/>
  <c r="AU19" i="1"/>
  <c r="AT19" i="1"/>
  <c r="Z19" i="1"/>
  <c r="W19" i="1"/>
  <c r="T19" i="1"/>
  <c r="Q19" i="1"/>
  <c r="N19" i="1"/>
  <c r="K19" i="1"/>
  <c r="GF18" i="1"/>
  <c r="GB18" i="1"/>
  <c r="FX18" i="1"/>
  <c r="FT18" i="1"/>
  <c r="FP18" i="1"/>
  <c r="FL18" i="1"/>
  <c r="FG18" i="1"/>
  <c r="FC18" i="1"/>
  <c r="EY18" i="1"/>
  <c r="EU18" i="1"/>
  <c r="EQ18" i="1"/>
  <c r="EM18" i="1"/>
  <c r="EH18" i="1"/>
  <c r="ED18" i="1"/>
  <c r="DZ18" i="1"/>
  <c r="DV18" i="1"/>
  <c r="DR18" i="1"/>
  <c r="DN18" i="1"/>
  <c r="DI18" i="1"/>
  <c r="DE18" i="1"/>
  <c r="DA18" i="1"/>
  <c r="CW18" i="1"/>
  <c r="CS18" i="1"/>
  <c r="CO18" i="1"/>
  <c r="CN18" i="1"/>
  <c r="CM18" i="1"/>
  <c r="CL18" i="1"/>
  <c r="CG18" i="1"/>
  <c r="CC18" i="1"/>
  <c r="BY18" i="1"/>
  <c r="BU18" i="1"/>
  <c r="BQ18" i="1"/>
  <c r="BM18" i="1"/>
  <c r="BL18" i="1"/>
  <c r="BK18" i="1"/>
  <c r="BJ18" i="1"/>
  <c r="BI18" i="1"/>
  <c r="BH18" i="1"/>
  <c r="BG18" i="1"/>
  <c r="FE18" i="1" s="1"/>
  <c r="BF18" i="1"/>
  <c r="BE18" i="1"/>
  <c r="BD18" i="1"/>
  <c r="BC18" i="1"/>
  <c r="BB18" i="1"/>
  <c r="FW18" i="1" s="1"/>
  <c r="BA18" i="1"/>
  <c r="DX18" i="1" s="1"/>
  <c r="AZ18" i="1"/>
  <c r="AY18" i="1"/>
  <c r="AX18" i="1"/>
  <c r="ES18" i="1" s="1"/>
  <c r="AW18" i="1"/>
  <c r="AV18" i="1"/>
  <c r="AU18" i="1"/>
  <c r="DP18" i="1" s="1"/>
  <c r="AT18" i="1"/>
  <c r="Z18" i="1"/>
  <c r="W18" i="1"/>
  <c r="T18" i="1"/>
  <c r="Q18" i="1"/>
  <c r="N18" i="1"/>
  <c r="K18" i="1"/>
  <c r="GF17" i="1"/>
  <c r="GB17" i="1"/>
  <c r="FX17" i="1"/>
  <c r="FT17" i="1"/>
  <c r="FP17" i="1"/>
  <c r="FL17" i="1"/>
  <c r="FG17" i="1"/>
  <c r="FC17" i="1"/>
  <c r="EY17" i="1"/>
  <c r="EU17" i="1"/>
  <c r="EQ17" i="1"/>
  <c r="EM17" i="1"/>
  <c r="EH17" i="1"/>
  <c r="ED17" i="1"/>
  <c r="DZ17" i="1"/>
  <c r="DV17" i="1"/>
  <c r="DR17" i="1"/>
  <c r="DN17" i="1"/>
  <c r="DI17" i="1"/>
  <c r="DE17" i="1"/>
  <c r="DA17" i="1"/>
  <c r="CW17" i="1"/>
  <c r="CS17" i="1"/>
  <c r="CO17" i="1"/>
  <c r="CN17" i="1"/>
  <c r="CM17" i="1"/>
  <c r="CL17" i="1"/>
  <c r="CG17" i="1"/>
  <c r="CC17" i="1"/>
  <c r="BY17" i="1"/>
  <c r="BU17" i="1"/>
  <c r="BQ17" i="1"/>
  <c r="BM17" i="1"/>
  <c r="BL17" i="1"/>
  <c r="BK17" i="1"/>
  <c r="BJ17" i="1"/>
  <c r="BI17" i="1"/>
  <c r="BH17" i="1"/>
  <c r="BG17" i="1"/>
  <c r="BF17" i="1"/>
  <c r="BE17" i="1"/>
  <c r="DD17" i="1" s="1"/>
  <c r="BD17" i="1"/>
  <c r="BC17" i="1"/>
  <c r="BB17" i="1"/>
  <c r="BA17" i="1"/>
  <c r="AZ17" i="1"/>
  <c r="AY17" i="1"/>
  <c r="AX17" i="1"/>
  <c r="DT17" i="1" s="1"/>
  <c r="AW17" i="1"/>
  <c r="AV17" i="1"/>
  <c r="AU17" i="1"/>
  <c r="AT17" i="1"/>
  <c r="Z17" i="1"/>
  <c r="W17" i="1"/>
  <c r="T17" i="1"/>
  <c r="Q17" i="1"/>
  <c r="N17" i="1"/>
  <c r="K17" i="1"/>
  <c r="GF16" i="1"/>
  <c r="GB16" i="1"/>
  <c r="FX16" i="1"/>
  <c r="FT16" i="1"/>
  <c r="FP16" i="1"/>
  <c r="FL16" i="1"/>
  <c r="FG16" i="1"/>
  <c r="FC16" i="1"/>
  <c r="EY16" i="1"/>
  <c r="EU16" i="1"/>
  <c r="EQ16" i="1"/>
  <c r="EM16" i="1"/>
  <c r="EH16" i="1"/>
  <c r="ED16" i="1"/>
  <c r="DZ16" i="1"/>
  <c r="DV16" i="1"/>
  <c r="DR16" i="1"/>
  <c r="DN16" i="1"/>
  <c r="DI16" i="1"/>
  <c r="DE16" i="1"/>
  <c r="DA16" i="1"/>
  <c r="CW16" i="1"/>
  <c r="CS16" i="1"/>
  <c r="CO16" i="1"/>
  <c r="CN16" i="1"/>
  <c r="CM16" i="1"/>
  <c r="CL16" i="1"/>
  <c r="CG16" i="1"/>
  <c r="CC16" i="1"/>
  <c r="BY16" i="1"/>
  <c r="BU16" i="1"/>
  <c r="BQ16" i="1"/>
  <c r="BM16" i="1"/>
  <c r="BL16" i="1"/>
  <c r="BK16" i="1"/>
  <c r="BJ16" i="1"/>
  <c r="FI16" i="1" s="1"/>
  <c r="BI16" i="1"/>
  <c r="BH16" i="1"/>
  <c r="BG16" i="1"/>
  <c r="GD16" i="1" s="1"/>
  <c r="BF16" i="1"/>
  <c r="BE16" i="1"/>
  <c r="BD16" i="1"/>
  <c r="DC16" i="1" s="1"/>
  <c r="BC16" i="1"/>
  <c r="BB16" i="1"/>
  <c r="BA16" i="1"/>
  <c r="AZ16" i="1"/>
  <c r="AY16" i="1"/>
  <c r="AX16" i="1"/>
  <c r="BS16" i="1" s="1"/>
  <c r="AW16" i="1"/>
  <c r="ER16" i="1" s="1"/>
  <c r="AV16" i="1"/>
  <c r="AU16" i="1"/>
  <c r="EO16" i="1" s="1"/>
  <c r="AT16" i="1"/>
  <c r="Z16" i="1"/>
  <c r="W16" i="1"/>
  <c r="T16" i="1"/>
  <c r="Q16" i="1"/>
  <c r="N16" i="1"/>
  <c r="K16" i="1"/>
  <c r="GF15" i="1"/>
  <c r="GB15" i="1"/>
  <c r="FX15" i="1"/>
  <c r="FT15" i="1"/>
  <c r="FP15" i="1"/>
  <c r="FL15" i="1"/>
  <c r="FG15" i="1"/>
  <c r="FC15" i="1"/>
  <c r="EY15" i="1"/>
  <c r="EU15" i="1"/>
  <c r="EQ15" i="1"/>
  <c r="EM15" i="1"/>
  <c r="EH15" i="1"/>
  <c r="ED15" i="1"/>
  <c r="DZ15" i="1"/>
  <c r="DV15" i="1"/>
  <c r="DR15" i="1"/>
  <c r="DN15" i="1"/>
  <c r="DI15" i="1"/>
  <c r="DE15" i="1"/>
  <c r="DA15" i="1"/>
  <c r="CW15" i="1"/>
  <c r="CS15" i="1"/>
  <c r="CO15" i="1"/>
  <c r="CN15" i="1"/>
  <c r="CM15" i="1"/>
  <c r="CL15" i="1"/>
  <c r="CG15" i="1"/>
  <c r="CC15" i="1"/>
  <c r="BY15" i="1"/>
  <c r="BU15" i="1"/>
  <c r="BQ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CX15" i="1" s="1"/>
  <c r="AY15" i="1"/>
  <c r="AX15" i="1"/>
  <c r="AW15" i="1"/>
  <c r="AV15" i="1"/>
  <c r="AU15" i="1"/>
  <c r="AT15" i="1"/>
  <c r="Z15" i="1"/>
  <c r="W15" i="1"/>
  <c r="T15" i="1"/>
  <c r="Q15" i="1"/>
  <c r="N15" i="1"/>
  <c r="K15" i="1"/>
  <c r="GF14" i="1"/>
  <c r="GB14" i="1"/>
  <c r="FX14" i="1"/>
  <c r="FT14" i="1"/>
  <c r="FP14" i="1"/>
  <c r="FL14" i="1"/>
  <c r="FG14" i="1"/>
  <c r="FC14" i="1"/>
  <c r="EY14" i="1"/>
  <c r="EU14" i="1"/>
  <c r="EQ14" i="1"/>
  <c r="EM14" i="1"/>
  <c r="EH14" i="1"/>
  <c r="ED14" i="1"/>
  <c r="DZ14" i="1"/>
  <c r="DV14" i="1"/>
  <c r="DR14" i="1"/>
  <c r="DN14" i="1"/>
  <c r="DI14" i="1"/>
  <c r="DE14" i="1"/>
  <c r="DA14" i="1"/>
  <c r="CW14" i="1"/>
  <c r="CS14" i="1"/>
  <c r="CQ14" i="1"/>
  <c r="CO14" i="1"/>
  <c r="CN14" i="1"/>
  <c r="CM14" i="1"/>
  <c r="CL14" i="1"/>
  <c r="CG14" i="1"/>
  <c r="CC14" i="1"/>
  <c r="BY14" i="1"/>
  <c r="BU14" i="1"/>
  <c r="BQ14" i="1"/>
  <c r="BM14" i="1"/>
  <c r="BL14" i="1"/>
  <c r="BK14" i="1"/>
  <c r="BJ14" i="1"/>
  <c r="EJ14" i="1" s="1"/>
  <c r="BI14" i="1"/>
  <c r="BH14" i="1"/>
  <c r="DH14" i="1" s="1"/>
  <c r="BG14" i="1"/>
  <c r="FE14" i="1" s="1"/>
  <c r="BF14" i="1"/>
  <c r="BE14" i="1"/>
  <c r="BD14" i="1"/>
  <c r="FZ14" i="1" s="1"/>
  <c r="BC14" i="1"/>
  <c r="BB14" i="1"/>
  <c r="BA14" i="1"/>
  <c r="BW14" i="1" s="1"/>
  <c r="AZ14" i="1"/>
  <c r="AY14" i="1"/>
  <c r="AX14" i="1"/>
  <c r="FR14" i="1" s="1"/>
  <c r="AW14" i="1"/>
  <c r="AV14" i="1"/>
  <c r="AU14" i="1"/>
  <c r="BO14" i="1" s="1"/>
  <c r="AT14" i="1"/>
  <c r="Z14" i="1"/>
  <c r="W14" i="1"/>
  <c r="T14" i="1"/>
  <c r="Q14" i="1"/>
  <c r="N14" i="1"/>
  <c r="K14" i="1"/>
  <c r="GF13" i="1"/>
  <c r="GB13" i="1"/>
  <c r="FX13" i="1"/>
  <c r="FT13" i="1"/>
  <c r="FP13" i="1"/>
  <c r="FL13" i="1"/>
  <c r="FG13" i="1"/>
  <c r="FC13" i="1"/>
  <c r="EY13" i="1"/>
  <c r="EU13" i="1"/>
  <c r="EQ13" i="1"/>
  <c r="EM13" i="1"/>
  <c r="EH13" i="1"/>
  <c r="ED13" i="1"/>
  <c r="DZ13" i="1"/>
  <c r="DV13" i="1"/>
  <c r="DR13" i="1"/>
  <c r="DN13" i="1"/>
  <c r="DI13" i="1"/>
  <c r="DE13" i="1"/>
  <c r="DA13" i="1"/>
  <c r="CW13" i="1"/>
  <c r="CS13" i="1"/>
  <c r="CO13" i="1"/>
  <c r="CN13" i="1"/>
  <c r="CM13" i="1"/>
  <c r="CL13" i="1"/>
  <c r="CG13" i="1"/>
  <c r="CC13" i="1"/>
  <c r="BY13" i="1"/>
  <c r="BU13" i="1"/>
  <c r="BQ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Z13" i="1"/>
  <c r="W13" i="1"/>
  <c r="T13" i="1"/>
  <c r="Q13" i="1"/>
  <c r="N13" i="1"/>
  <c r="K13" i="1"/>
  <c r="GF12" i="1"/>
  <c r="GB12" i="1"/>
  <c r="FX12" i="1"/>
  <c r="FT12" i="1"/>
  <c r="FP12" i="1"/>
  <c r="FL12" i="1"/>
  <c r="FG12" i="1"/>
  <c r="FC12" i="1"/>
  <c r="EY12" i="1"/>
  <c r="EU12" i="1"/>
  <c r="EQ12" i="1"/>
  <c r="EM12" i="1"/>
  <c r="EH12" i="1"/>
  <c r="ED12" i="1"/>
  <c r="DZ12" i="1"/>
  <c r="DV12" i="1"/>
  <c r="DR12" i="1"/>
  <c r="DN12" i="1"/>
  <c r="DI12" i="1"/>
  <c r="DE12" i="1"/>
  <c r="DA12" i="1"/>
  <c r="CW12" i="1"/>
  <c r="CS12" i="1"/>
  <c r="CO12" i="1"/>
  <c r="CN12" i="1"/>
  <c r="CM12" i="1"/>
  <c r="CL12" i="1"/>
  <c r="CG12" i="1"/>
  <c r="CC12" i="1"/>
  <c r="BY12" i="1"/>
  <c r="BU12" i="1"/>
  <c r="BQ12" i="1"/>
  <c r="BM12" i="1"/>
  <c r="BL12" i="1"/>
  <c r="BK12" i="1"/>
  <c r="EK12" i="1" s="1"/>
  <c r="BJ12" i="1"/>
  <c r="BI12" i="1"/>
  <c r="BH12" i="1"/>
  <c r="BG12" i="1"/>
  <c r="BF12" i="1"/>
  <c r="BE12" i="1"/>
  <c r="FB12" i="1" s="1"/>
  <c r="BD12" i="1"/>
  <c r="BC12" i="1"/>
  <c r="BZ12" i="1" s="1"/>
  <c r="BB12" i="1"/>
  <c r="EX12" i="1" s="1"/>
  <c r="BA12" i="1"/>
  <c r="AZ12" i="1"/>
  <c r="AY12" i="1"/>
  <c r="AX12" i="1"/>
  <c r="AW12" i="1"/>
  <c r="AV12" i="1"/>
  <c r="AU12" i="1"/>
  <c r="AT12" i="1"/>
  <c r="Z12" i="1"/>
  <c r="W12" i="1"/>
  <c r="T12" i="1"/>
  <c r="Q12" i="1"/>
  <c r="N12" i="1"/>
  <c r="K12" i="1"/>
  <c r="GF11" i="1"/>
  <c r="GB11" i="1"/>
  <c r="FX11" i="1"/>
  <c r="FT11" i="1"/>
  <c r="FR11" i="1"/>
  <c r="FP11" i="1"/>
  <c r="FL11" i="1"/>
  <c r="FG11" i="1"/>
  <c r="FC11" i="1"/>
  <c r="EY11" i="1"/>
  <c r="EU11" i="1"/>
  <c r="EQ11" i="1"/>
  <c r="EM11" i="1"/>
  <c r="EH11" i="1"/>
  <c r="ED11" i="1"/>
  <c r="DZ11" i="1"/>
  <c r="DV11" i="1"/>
  <c r="DT11" i="1"/>
  <c r="DR11" i="1"/>
  <c r="DN11" i="1"/>
  <c r="DI11" i="1"/>
  <c r="DE11" i="1"/>
  <c r="DH11" i="1" s="1"/>
  <c r="DA11" i="1"/>
  <c r="CW11" i="1"/>
  <c r="CU11" i="1"/>
  <c r="CS11" i="1"/>
  <c r="CV11" i="1" s="1"/>
  <c r="CO11" i="1"/>
  <c r="CN11" i="1"/>
  <c r="CM11" i="1"/>
  <c r="CL11" i="1"/>
  <c r="CG11" i="1"/>
  <c r="CC11" i="1"/>
  <c r="CF11" i="1" s="1"/>
  <c r="BY11" i="1"/>
  <c r="BU11" i="1"/>
  <c r="BV11" i="1" s="1"/>
  <c r="BQ11" i="1"/>
  <c r="BM11" i="1"/>
  <c r="BP11" i="1" s="1"/>
  <c r="BL11" i="1"/>
  <c r="BK11" i="1"/>
  <c r="BJ11" i="1"/>
  <c r="FI11" i="1" s="1"/>
  <c r="BI11" i="1"/>
  <c r="BH11" i="1"/>
  <c r="BG11" i="1"/>
  <c r="BF11" i="1"/>
  <c r="BE11" i="1"/>
  <c r="BD11" i="1"/>
  <c r="FA11" i="1" s="1"/>
  <c r="BC11" i="1"/>
  <c r="BB11" i="1"/>
  <c r="BA11" i="1"/>
  <c r="CY11" i="1" s="1"/>
  <c r="AZ11" i="1"/>
  <c r="AY11" i="1"/>
  <c r="AX11" i="1"/>
  <c r="BS11" i="1" s="1"/>
  <c r="AW11" i="1"/>
  <c r="AV11" i="1"/>
  <c r="AU11" i="1"/>
  <c r="DP11" i="1" s="1"/>
  <c r="AT11" i="1"/>
  <c r="Z11" i="1"/>
  <c r="W11" i="1"/>
  <c r="T11" i="1"/>
  <c r="Q11" i="1"/>
  <c r="N11" i="1"/>
  <c r="K11" i="1"/>
  <c r="GF10" i="1"/>
  <c r="GB10" i="1"/>
  <c r="FX10" i="1"/>
  <c r="FT10" i="1"/>
  <c r="FP10" i="1"/>
  <c r="FL10" i="1"/>
  <c r="FO10" i="1" s="1"/>
  <c r="FG10" i="1"/>
  <c r="FC10" i="1"/>
  <c r="EY10" i="1"/>
  <c r="EU10" i="1"/>
  <c r="EQ10" i="1"/>
  <c r="EM10" i="1"/>
  <c r="EH10" i="1"/>
  <c r="ED10" i="1"/>
  <c r="DZ10" i="1"/>
  <c r="DV10" i="1"/>
  <c r="DR10" i="1"/>
  <c r="DN10" i="1"/>
  <c r="DI10" i="1"/>
  <c r="DE10" i="1"/>
  <c r="DH10" i="1" s="1"/>
  <c r="DA10" i="1"/>
  <c r="CW10" i="1"/>
  <c r="CS10" i="1"/>
  <c r="CQ10" i="1"/>
  <c r="CO10" i="1"/>
  <c r="CN10" i="1"/>
  <c r="CM10" i="1"/>
  <c r="CL10" i="1"/>
  <c r="CG10" i="1"/>
  <c r="CC10" i="1"/>
  <c r="BY10" i="1"/>
  <c r="BU10" i="1"/>
  <c r="BQ10" i="1"/>
  <c r="BM10" i="1"/>
  <c r="BL10" i="1"/>
  <c r="BK10" i="1"/>
  <c r="BJ10" i="1"/>
  <c r="DK10" i="1" s="1"/>
  <c r="BI10" i="1"/>
  <c r="DJ10" i="1" s="1"/>
  <c r="BH10" i="1"/>
  <c r="BG10" i="1"/>
  <c r="BF10" i="1"/>
  <c r="BE10" i="1"/>
  <c r="BD10" i="1"/>
  <c r="DC10" i="1" s="1"/>
  <c r="BC10" i="1"/>
  <c r="EZ10" i="1" s="1"/>
  <c r="BB10" i="1"/>
  <c r="BA10" i="1"/>
  <c r="CY10" i="1" s="1"/>
  <c r="AZ10" i="1"/>
  <c r="AY10" i="1"/>
  <c r="AX10" i="1"/>
  <c r="BS10" i="1" s="1"/>
  <c r="AW10" i="1"/>
  <c r="AV10" i="1"/>
  <c r="AU10" i="1"/>
  <c r="EO10" i="1" s="1"/>
  <c r="AT10" i="1"/>
  <c r="Z10" i="1"/>
  <c r="W10" i="1"/>
  <c r="T10" i="1"/>
  <c r="Q10" i="1"/>
  <c r="N10" i="1"/>
  <c r="K10" i="1"/>
  <c r="GF9" i="1"/>
  <c r="GB9" i="1"/>
  <c r="FX9" i="1"/>
  <c r="FT9" i="1"/>
  <c r="FP9" i="1"/>
  <c r="FL9" i="1"/>
  <c r="FN9" i="1" s="1"/>
  <c r="FG9" i="1"/>
  <c r="FC9" i="1"/>
  <c r="EY9" i="1"/>
  <c r="EU9" i="1"/>
  <c r="EQ9" i="1"/>
  <c r="EM9" i="1"/>
  <c r="EH9" i="1"/>
  <c r="ED9" i="1"/>
  <c r="EE9" i="1" s="1"/>
  <c r="DZ9" i="1"/>
  <c r="DV9" i="1"/>
  <c r="DR9" i="1"/>
  <c r="DN9" i="1"/>
  <c r="DI9" i="1"/>
  <c r="DE9" i="1"/>
  <c r="DA9" i="1"/>
  <c r="CW9" i="1"/>
  <c r="CS9" i="1"/>
  <c r="CO9" i="1"/>
  <c r="CN9" i="1"/>
  <c r="CM9" i="1"/>
  <c r="CL9" i="1"/>
  <c r="CG9" i="1"/>
  <c r="CC9" i="1"/>
  <c r="BY9" i="1"/>
  <c r="BU9" i="1"/>
  <c r="BQ9" i="1"/>
  <c r="BM9" i="1"/>
  <c r="BL9" i="1"/>
  <c r="BK9" i="1"/>
  <c r="BJ9" i="1"/>
  <c r="GH9" i="1" s="1"/>
  <c r="BI9" i="1"/>
  <c r="BH9" i="1"/>
  <c r="BG9" i="1"/>
  <c r="BF9" i="1"/>
  <c r="BE9" i="1"/>
  <c r="CB9" i="1" s="1"/>
  <c r="BD9" i="1"/>
  <c r="BC9" i="1"/>
  <c r="BB9" i="1"/>
  <c r="FW9" i="1" s="1"/>
  <c r="BA9" i="1"/>
  <c r="AZ9" i="1"/>
  <c r="AY9" i="1"/>
  <c r="AX9" i="1"/>
  <c r="AW9" i="1"/>
  <c r="AV9" i="1"/>
  <c r="AU9" i="1"/>
  <c r="AT9" i="1"/>
  <c r="EN9" i="1" s="1"/>
  <c r="Z9" i="1"/>
  <c r="W9" i="1"/>
  <c r="T9" i="1"/>
  <c r="Q9" i="1"/>
  <c r="N9" i="1"/>
  <c r="K9" i="1"/>
  <c r="GF8" i="1"/>
  <c r="GB8" i="1"/>
  <c r="FX8" i="1"/>
  <c r="FT8" i="1"/>
  <c r="FP8" i="1"/>
  <c r="FL8" i="1"/>
  <c r="FG8" i="1"/>
  <c r="FC8" i="1"/>
  <c r="EY8" i="1"/>
  <c r="EU8" i="1"/>
  <c r="EQ8" i="1"/>
  <c r="EM8" i="1"/>
  <c r="EH8" i="1"/>
  <c r="ED8" i="1"/>
  <c r="DZ8" i="1"/>
  <c r="DV8" i="1"/>
  <c r="DR8" i="1"/>
  <c r="DN8" i="1"/>
  <c r="DI8" i="1"/>
  <c r="DE8" i="1"/>
  <c r="DA8" i="1"/>
  <c r="CW8" i="1"/>
  <c r="CS8" i="1"/>
  <c r="CO8" i="1"/>
  <c r="CN8" i="1"/>
  <c r="CM8" i="1"/>
  <c r="CL8" i="1"/>
  <c r="CG8" i="1"/>
  <c r="CC8" i="1"/>
  <c r="BY8" i="1"/>
  <c r="BU8" i="1"/>
  <c r="BQ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Z8" i="1"/>
  <c r="W8" i="1"/>
  <c r="T8" i="1"/>
  <c r="Q8" i="1"/>
  <c r="N8" i="1"/>
  <c r="K8" i="1"/>
  <c r="GF7" i="1"/>
  <c r="GB7" i="1"/>
  <c r="FX7" i="1"/>
  <c r="FT7" i="1"/>
  <c r="FP7" i="1"/>
  <c r="FL7" i="1"/>
  <c r="FG7" i="1"/>
  <c r="FC7" i="1"/>
  <c r="EY7" i="1"/>
  <c r="EU7" i="1"/>
  <c r="EQ7" i="1"/>
  <c r="ET7" i="1" s="1"/>
  <c r="EM7" i="1"/>
  <c r="EH7" i="1"/>
  <c r="ED7" i="1"/>
  <c r="DZ7" i="1"/>
  <c r="DV7" i="1"/>
  <c r="DR7" i="1"/>
  <c r="DN7" i="1"/>
  <c r="DI7" i="1"/>
  <c r="DE7" i="1"/>
  <c r="DA7" i="1"/>
  <c r="CW7" i="1"/>
  <c r="CS7" i="1"/>
  <c r="CO7" i="1"/>
  <c r="CN7" i="1"/>
  <c r="CM7" i="1"/>
  <c r="CL7" i="1"/>
  <c r="CG7" i="1"/>
  <c r="CI7" i="1" s="1"/>
  <c r="CC7" i="1"/>
  <c r="BY7" i="1"/>
  <c r="BU7" i="1"/>
  <c r="BQ7" i="1"/>
  <c r="BM7" i="1"/>
  <c r="BL7" i="1"/>
  <c r="BK7" i="1"/>
  <c r="BJ7" i="1"/>
  <c r="BI7" i="1"/>
  <c r="BH7" i="1"/>
  <c r="BG7" i="1"/>
  <c r="BF7" i="1"/>
  <c r="BE7" i="1"/>
  <c r="BD7" i="1"/>
  <c r="EB7" i="1" s="1"/>
  <c r="BC7" i="1"/>
  <c r="BB7" i="1"/>
  <c r="BA7" i="1"/>
  <c r="AZ7" i="1"/>
  <c r="AY7" i="1"/>
  <c r="DU7" i="1" s="1"/>
  <c r="AX7" i="1"/>
  <c r="DT7" i="1" s="1"/>
  <c r="AW7" i="1"/>
  <c r="AV7" i="1"/>
  <c r="AU7" i="1"/>
  <c r="AT7" i="1"/>
  <c r="Z7" i="1"/>
  <c r="W7" i="1"/>
  <c r="T7" i="1"/>
  <c r="Q7" i="1"/>
  <c r="N7" i="1"/>
  <c r="K7" i="1"/>
  <c r="GF6" i="1"/>
  <c r="GB6" i="1"/>
  <c r="FX6" i="1"/>
  <c r="FT6" i="1"/>
  <c r="FP6" i="1"/>
  <c r="FL6" i="1"/>
  <c r="FG6" i="1"/>
  <c r="FC6" i="1"/>
  <c r="EY6" i="1"/>
  <c r="EU6" i="1"/>
  <c r="EQ6" i="1"/>
  <c r="EM6" i="1"/>
  <c r="EH6" i="1"/>
  <c r="ED6" i="1"/>
  <c r="DZ6" i="1"/>
  <c r="DV6" i="1"/>
  <c r="DR6" i="1"/>
  <c r="DN6" i="1"/>
  <c r="DI6" i="1"/>
  <c r="DE6" i="1"/>
  <c r="DA6" i="1"/>
  <c r="CW6" i="1"/>
  <c r="CS6" i="1"/>
  <c r="CO6" i="1"/>
  <c r="CN6" i="1"/>
  <c r="CM6" i="1"/>
  <c r="CL6" i="1"/>
  <c r="CG6" i="1"/>
  <c r="CC6" i="1"/>
  <c r="BY6" i="1"/>
  <c r="BU6" i="1"/>
  <c r="BQ6" i="1"/>
  <c r="BM6" i="1"/>
  <c r="BL6" i="1"/>
  <c r="BK6" i="1"/>
  <c r="BJ6" i="1"/>
  <c r="BI6" i="1"/>
  <c r="BH6" i="1"/>
  <c r="BG6" i="1"/>
  <c r="BF6" i="1"/>
  <c r="BE6" i="1"/>
  <c r="BD6" i="1"/>
  <c r="BC6" i="1"/>
  <c r="DB6" i="1" s="1"/>
  <c r="BB6" i="1"/>
  <c r="BA6" i="1"/>
  <c r="AZ6" i="1"/>
  <c r="AY6" i="1"/>
  <c r="AX6" i="1"/>
  <c r="FR6" i="1" s="1"/>
  <c r="AW6" i="1"/>
  <c r="AV6" i="1"/>
  <c r="AU6" i="1"/>
  <c r="AT6" i="1"/>
  <c r="Z6" i="1"/>
  <c r="W6" i="1"/>
  <c r="T6" i="1"/>
  <c r="Q6" i="1"/>
  <c r="N6" i="1"/>
  <c r="K6" i="1"/>
  <c r="GF5" i="1"/>
  <c r="GB5" i="1"/>
  <c r="FX5" i="1"/>
  <c r="FT5" i="1"/>
  <c r="FP5" i="1"/>
  <c r="FL5" i="1"/>
  <c r="FG5" i="1"/>
  <c r="FC5" i="1"/>
  <c r="EY5" i="1"/>
  <c r="EU5" i="1"/>
  <c r="EQ5" i="1"/>
  <c r="EM5" i="1"/>
  <c r="EH5" i="1"/>
  <c r="ED5" i="1"/>
  <c r="DZ5" i="1"/>
  <c r="DV5" i="1"/>
  <c r="DR5" i="1"/>
  <c r="DN5" i="1"/>
  <c r="DI5" i="1"/>
  <c r="DE5" i="1"/>
  <c r="DA5" i="1"/>
  <c r="CW5" i="1"/>
  <c r="CS5" i="1"/>
  <c r="CO5" i="1"/>
  <c r="CN5" i="1"/>
  <c r="CM5" i="1"/>
  <c r="CL5" i="1"/>
  <c r="CG5" i="1"/>
  <c r="CC5" i="1"/>
  <c r="BY5" i="1"/>
  <c r="BU5" i="1"/>
  <c r="BQ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Z5" i="1"/>
  <c r="W5" i="1"/>
  <c r="T5" i="1"/>
  <c r="Q5" i="1"/>
  <c r="N5" i="1"/>
  <c r="K5" i="1"/>
  <c r="GF4" i="1"/>
  <c r="GB4" i="1"/>
  <c r="FX4" i="1"/>
  <c r="FT4" i="1"/>
  <c r="FP4" i="1"/>
  <c r="FL4" i="1"/>
  <c r="FG4" i="1"/>
  <c r="FC4" i="1"/>
  <c r="EY4" i="1"/>
  <c r="EU4" i="1"/>
  <c r="EQ4" i="1"/>
  <c r="EM4" i="1"/>
  <c r="EH4" i="1"/>
  <c r="ED4" i="1"/>
  <c r="DZ4" i="1"/>
  <c r="DV4" i="1"/>
  <c r="DR4" i="1"/>
  <c r="DN4" i="1"/>
  <c r="DI4" i="1"/>
  <c r="DE4" i="1"/>
  <c r="DA4" i="1"/>
  <c r="CW4" i="1"/>
  <c r="CS4" i="1"/>
  <c r="CO4" i="1"/>
  <c r="CN4" i="1"/>
  <c r="CM4" i="1"/>
  <c r="CL4" i="1"/>
  <c r="CG4" i="1"/>
  <c r="CC4" i="1"/>
  <c r="BY4" i="1"/>
  <c r="BU4" i="1"/>
  <c r="BQ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Z4" i="1"/>
  <c r="W4" i="1"/>
  <c r="T4" i="1"/>
  <c r="Q4" i="1"/>
  <c r="N4" i="1"/>
  <c r="K4" i="1"/>
  <c r="GF3" i="1"/>
  <c r="GB3" i="1"/>
  <c r="FX3" i="1"/>
  <c r="FT3" i="1"/>
  <c r="FP3" i="1"/>
  <c r="FL3" i="1"/>
  <c r="FG3" i="1"/>
  <c r="FC3" i="1"/>
  <c r="EY3" i="1"/>
  <c r="EU3" i="1"/>
  <c r="EQ3" i="1"/>
  <c r="EM3" i="1"/>
  <c r="EH3" i="1"/>
  <c r="ED3" i="1"/>
  <c r="DZ3" i="1"/>
  <c r="DV3" i="1"/>
  <c r="DR3" i="1"/>
  <c r="DN3" i="1"/>
  <c r="DI3" i="1"/>
  <c r="DE3" i="1"/>
  <c r="DA3" i="1"/>
  <c r="CW3" i="1"/>
  <c r="CS3" i="1"/>
  <c r="CO3" i="1"/>
  <c r="CN3" i="1"/>
  <c r="CM3" i="1"/>
  <c r="CL3" i="1"/>
  <c r="CG3" i="1"/>
  <c r="CC3" i="1"/>
  <c r="BY3" i="1"/>
  <c r="BU3" i="1"/>
  <c r="BQ3" i="1"/>
  <c r="BM3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Z3" i="1"/>
  <c r="W3" i="1"/>
  <c r="T3" i="1"/>
  <c r="Q3" i="1"/>
  <c r="N3" i="1"/>
  <c r="K3" i="1"/>
  <c r="GF2" i="1"/>
  <c r="GB2" i="1"/>
  <c r="FX2" i="1"/>
  <c r="FT2" i="1"/>
  <c r="FP2" i="1"/>
  <c r="FL2" i="1"/>
  <c r="FG2" i="1"/>
  <c r="FC2" i="1"/>
  <c r="EY2" i="1"/>
  <c r="EU2" i="1"/>
  <c r="EQ2" i="1"/>
  <c r="EM2" i="1"/>
  <c r="EH2" i="1"/>
  <c r="ED2" i="1"/>
  <c r="DZ2" i="1"/>
  <c r="DV2" i="1"/>
  <c r="DR2" i="1"/>
  <c r="DN2" i="1"/>
  <c r="DI2" i="1"/>
  <c r="DE2" i="1"/>
  <c r="DA2" i="1"/>
  <c r="CW2" i="1"/>
  <c r="CS2" i="1"/>
  <c r="CO2" i="1"/>
  <c r="CN2" i="1"/>
  <c r="CM2" i="1"/>
  <c r="CL2" i="1"/>
  <c r="CG2" i="1"/>
  <c r="CC2" i="1"/>
  <c r="BY2" i="1"/>
  <c r="BU2" i="1"/>
  <c r="BQ2" i="1"/>
  <c r="BM2" i="1"/>
  <c r="BL2" i="1"/>
  <c r="BK2" i="1"/>
  <c r="BJ2" i="1"/>
  <c r="BI2" i="1"/>
  <c r="BH2" i="1"/>
  <c r="BG2" i="1"/>
  <c r="DG2" i="1" s="1"/>
  <c r="BF2" i="1"/>
  <c r="BE2" i="1"/>
  <c r="BD2" i="1"/>
  <c r="BC2" i="1"/>
  <c r="BB2" i="1"/>
  <c r="BA2" i="1"/>
  <c r="CY2" i="1" s="1"/>
  <c r="AZ2" i="1"/>
  <c r="FU2" i="1" s="1"/>
  <c r="AY2" i="1"/>
  <c r="AX2" i="1"/>
  <c r="AW2" i="1"/>
  <c r="AV2" i="1"/>
  <c r="AU2" i="1"/>
  <c r="AT2" i="1"/>
  <c r="Z2" i="1"/>
  <c r="W2" i="1"/>
  <c r="T2" i="1"/>
  <c r="Q2" i="1"/>
  <c r="N2" i="1"/>
  <c r="K2" i="1"/>
  <c r="B17" i="2" l="1"/>
  <c r="B19" i="2"/>
  <c r="B15" i="2"/>
  <c r="B14" i="2"/>
  <c r="B12" i="2"/>
  <c r="B13" i="2" s="1"/>
  <c r="CY13" i="1"/>
  <c r="DC15" i="1"/>
  <c r="ES48" i="1"/>
  <c r="DD54" i="1"/>
  <c r="CY57" i="1"/>
  <c r="EB70" i="1"/>
  <c r="BZ72" i="1"/>
  <c r="ES74" i="1"/>
  <c r="BV85" i="1"/>
  <c r="EF122" i="1"/>
  <c r="CA123" i="1"/>
  <c r="DQ136" i="1"/>
  <c r="FJ143" i="1"/>
  <c r="BR151" i="1"/>
  <c r="CX155" i="1"/>
  <c r="GH168" i="1"/>
  <c r="DL169" i="1"/>
  <c r="CB157" i="1"/>
  <c r="FY99" i="1"/>
  <c r="DT8" i="1"/>
  <c r="FF8" i="1"/>
  <c r="FV12" i="1"/>
  <c r="CD15" i="1"/>
  <c r="FE17" i="1"/>
  <c r="CB22" i="1"/>
  <c r="BX33" i="1"/>
  <c r="BN39" i="1"/>
  <c r="CH50" i="1"/>
  <c r="FS51" i="1"/>
  <c r="CT52" i="1"/>
  <c r="EO58" i="1"/>
  <c r="DX61" i="1"/>
  <c r="DD70" i="1"/>
  <c r="DW81" i="1"/>
  <c r="CB84" i="1"/>
  <c r="FM92" i="1"/>
  <c r="DG123" i="1"/>
  <c r="DH129" i="1"/>
  <c r="DW131" i="1"/>
  <c r="DH41" i="1"/>
  <c r="CI91" i="1"/>
  <c r="DQ118" i="1"/>
  <c r="GC140" i="1"/>
  <c r="CX143" i="1"/>
  <c r="DT174" i="1"/>
  <c r="DH2" i="1"/>
  <c r="ER14" i="1"/>
  <c r="FF16" i="1"/>
  <c r="CH41" i="1"/>
  <c r="GG63" i="1"/>
  <c r="FV75" i="1"/>
  <c r="GE104" i="1"/>
  <c r="FR108" i="1"/>
  <c r="FR131" i="1"/>
  <c r="DQ135" i="1"/>
  <c r="CF146" i="1"/>
  <c r="DX3" i="1"/>
  <c r="DT16" i="1"/>
  <c r="DJ23" i="1"/>
  <c r="EX43" i="1"/>
  <c r="FM61" i="1"/>
  <c r="CY68" i="1"/>
  <c r="EV79" i="1"/>
  <c r="EN92" i="1"/>
  <c r="BV103" i="1"/>
  <c r="ES104" i="1"/>
  <c r="CZ108" i="1"/>
  <c r="EG108" i="1"/>
  <c r="BN114" i="1"/>
  <c r="FU131" i="1"/>
  <c r="BW138" i="1"/>
  <c r="EZ153" i="1"/>
  <c r="CV154" i="1"/>
  <c r="EC160" i="1"/>
  <c r="CV164" i="1"/>
  <c r="DD23" i="1"/>
  <c r="ET16" i="1"/>
  <c r="GH2" i="1"/>
  <c r="FU43" i="1"/>
  <c r="BT44" i="1"/>
  <c r="EW48" i="1"/>
  <c r="DG52" i="1"/>
  <c r="FZ67" i="1"/>
  <c r="EJ81" i="1"/>
  <c r="BT84" i="1"/>
  <c r="CH84" i="1"/>
  <c r="FN87" i="1"/>
  <c r="BW87" i="1"/>
  <c r="DQ111" i="1"/>
  <c r="BT131" i="1"/>
  <c r="GG134" i="1"/>
  <c r="EE138" i="1"/>
  <c r="CU139" i="1"/>
  <c r="CV142" i="1"/>
  <c r="EI142" i="1"/>
  <c r="CQ143" i="1"/>
  <c r="DO166" i="1"/>
  <c r="BV167" i="1"/>
  <c r="GA5" i="1"/>
  <c r="GG4" i="1"/>
  <c r="DS5" i="1"/>
  <c r="BW15" i="1"/>
  <c r="CJ15" i="1"/>
  <c r="BP16" i="1"/>
  <c r="FI22" i="1"/>
  <c r="EB23" i="1"/>
  <c r="EI24" i="1"/>
  <c r="ER26" i="1"/>
  <c r="GA31" i="1"/>
  <c r="DX35" i="1"/>
  <c r="CU42" i="1"/>
  <c r="GA43" i="1"/>
  <c r="BX59" i="1"/>
  <c r="GA67" i="1"/>
  <c r="FF70" i="1"/>
  <c r="BN80" i="1"/>
  <c r="BS83" i="1"/>
  <c r="BX85" i="1"/>
  <c r="EE87" i="1"/>
  <c r="EX87" i="1"/>
  <c r="GE88" i="1"/>
  <c r="DH116" i="1"/>
  <c r="DK117" i="1"/>
  <c r="ET139" i="1"/>
  <c r="EI139" i="1"/>
  <c r="DU139" i="1"/>
  <c r="CV147" i="1"/>
  <c r="EK147" i="1"/>
  <c r="FN148" i="1"/>
  <c r="DB148" i="1"/>
  <c r="ER149" i="1"/>
  <c r="EW162" i="1"/>
  <c r="EB162" i="1"/>
  <c r="DP164" i="1"/>
  <c r="BW164" i="1"/>
  <c r="ET166" i="1"/>
  <c r="EI166" i="1"/>
  <c r="DS166" i="1"/>
  <c r="BW167" i="1"/>
  <c r="DG171" i="1"/>
  <c r="EP58" i="1"/>
  <c r="FN5" i="1"/>
  <c r="CI15" i="1"/>
  <c r="GI2" i="1"/>
  <c r="BZ3" i="1"/>
  <c r="GC3" i="1"/>
  <c r="EE4" i="1"/>
  <c r="DT5" i="1"/>
  <c r="CA8" i="1"/>
  <c r="DK11" i="1"/>
  <c r="EF15" i="1"/>
  <c r="CU16" i="1"/>
  <c r="FR16" i="1"/>
  <c r="GA18" i="1"/>
  <c r="GD18" i="1"/>
  <c r="EE23" i="1"/>
  <c r="FA24" i="1"/>
  <c r="BT24" i="1"/>
  <c r="CD25" i="1"/>
  <c r="DT26" i="1"/>
  <c r="FU27" i="1"/>
  <c r="DP27" i="1"/>
  <c r="DC30" i="1"/>
  <c r="DY35" i="1"/>
  <c r="EK40" i="1"/>
  <c r="CV41" i="1"/>
  <c r="FB43" i="1"/>
  <c r="EV46" i="1"/>
  <c r="EJ49" i="1"/>
  <c r="DL51" i="1"/>
  <c r="DP55" i="1"/>
  <c r="CT65" i="1"/>
  <c r="DD66" i="1"/>
  <c r="DL72" i="1"/>
  <c r="FD81" i="1"/>
  <c r="EC84" i="1"/>
  <c r="BP85" i="1"/>
  <c r="FQ87" i="1"/>
  <c r="EZ87" i="1"/>
  <c r="DL89" i="1"/>
  <c r="EA90" i="1"/>
  <c r="GH91" i="1"/>
  <c r="DL92" i="1"/>
  <c r="EV94" i="1"/>
  <c r="CX100" i="1"/>
  <c r="BN101" i="1"/>
  <c r="DT104" i="1"/>
  <c r="FU111" i="1"/>
  <c r="GC114" i="1"/>
  <c r="BZ135" i="1"/>
  <c r="EE137" i="1"/>
  <c r="CA137" i="1"/>
  <c r="EC142" i="1"/>
  <c r="GG142" i="1"/>
  <c r="ET144" i="1"/>
  <c r="CR148" i="1"/>
  <c r="EV148" i="1"/>
  <c r="GH150" i="1"/>
  <c r="BX162" i="1"/>
  <c r="CR162" i="1"/>
  <c r="DY166" i="1"/>
  <c r="DL170" i="1"/>
  <c r="FU172" i="1"/>
  <c r="FE4" i="1"/>
  <c r="BR19" i="1"/>
  <c r="DX21" i="1"/>
  <c r="EX22" i="1"/>
  <c r="BV24" i="1"/>
  <c r="EF25" i="1"/>
  <c r="ET26" i="1"/>
  <c r="DO48" i="1"/>
  <c r="DH49" i="1"/>
  <c r="CH51" i="1"/>
  <c r="CP54" i="1"/>
  <c r="GE54" i="1"/>
  <c r="FO69" i="1"/>
  <c r="DY70" i="1"/>
  <c r="EJ77" i="1"/>
  <c r="DH82" i="1"/>
  <c r="EF89" i="1"/>
  <c r="ET98" i="1"/>
  <c r="GI99" i="1"/>
  <c r="BP112" i="1"/>
  <c r="FO116" i="1"/>
  <c r="EP118" i="1"/>
  <c r="ER125" i="1"/>
  <c r="ER131" i="1"/>
  <c r="FA137" i="1"/>
  <c r="EE142" i="1"/>
  <c r="BV144" i="1"/>
  <c r="FN147" i="1"/>
  <c r="BX147" i="1"/>
  <c r="DU149" i="1"/>
  <c r="BW150" i="1"/>
  <c r="FV161" i="1"/>
  <c r="EK166" i="1"/>
  <c r="BP169" i="1"/>
  <c r="DU6" i="1"/>
  <c r="FI20" i="1"/>
  <c r="EJ20" i="1"/>
  <c r="CZ71" i="1"/>
  <c r="BO100" i="1"/>
  <c r="FN100" i="1"/>
  <c r="DY15" i="1"/>
  <c r="FZ54" i="1"/>
  <c r="DU59" i="1"/>
  <c r="EN160" i="1"/>
  <c r="FI171" i="1"/>
  <c r="CH174" i="1"/>
  <c r="DL44" i="1"/>
  <c r="FJ93" i="1"/>
  <c r="FR8" i="1"/>
  <c r="FB10" i="1"/>
  <c r="DD10" i="1"/>
  <c r="DU13" i="1"/>
  <c r="FW23" i="1"/>
  <c r="BN23" i="1"/>
  <c r="GA24" i="1"/>
  <c r="DU30" i="1"/>
  <c r="CT41" i="1"/>
  <c r="DW43" i="1"/>
  <c r="FN45" i="1"/>
  <c r="DQ49" i="1"/>
  <c r="DJ55" i="1"/>
  <c r="DD57" i="1"/>
  <c r="CT73" i="1"/>
  <c r="DU88" i="1"/>
  <c r="DJ88" i="1"/>
  <c r="FW89" i="1"/>
  <c r="EX94" i="1"/>
  <c r="ET113" i="1"/>
  <c r="EE114" i="1"/>
  <c r="BP121" i="1"/>
  <c r="DL137" i="1"/>
  <c r="CF144" i="1"/>
  <c r="GA147" i="1"/>
  <c r="CB156" i="1"/>
  <c r="EP160" i="1"/>
  <c r="FV166" i="1"/>
  <c r="BW166" i="1"/>
  <c r="EO172" i="1"/>
  <c r="DP172" i="1"/>
  <c r="CD19" i="1"/>
  <c r="CX65" i="1"/>
  <c r="FH111" i="1"/>
  <c r="CH14" i="1"/>
  <c r="BP7" i="1"/>
  <c r="CA29" i="1"/>
  <c r="DX154" i="1"/>
  <c r="EC162" i="1"/>
  <c r="FW167" i="1"/>
  <c r="FM172" i="1"/>
  <c r="CI174" i="1"/>
  <c r="CD3" i="1"/>
  <c r="EG5" i="1"/>
  <c r="CT7" i="1"/>
  <c r="GD7" i="1"/>
  <c r="GD3" i="1"/>
  <c r="FD3" i="1"/>
  <c r="CZ5" i="1"/>
  <c r="BP5" i="1"/>
  <c r="EC6" i="1"/>
  <c r="CA9" i="1"/>
  <c r="FJ22" i="1"/>
  <c r="CD24" i="1"/>
  <c r="FN36" i="1"/>
  <c r="EO36" i="1"/>
  <c r="CB36" i="1"/>
  <c r="FH37" i="1"/>
  <c r="FH41" i="1"/>
  <c r="DB44" i="1"/>
  <c r="ER49" i="1"/>
  <c r="DF57" i="1"/>
  <c r="FA57" i="1"/>
  <c r="DL67" i="1"/>
  <c r="CX72" i="1"/>
  <c r="GH72" i="1"/>
  <c r="BR73" i="1"/>
  <c r="EO78" i="1"/>
  <c r="DD78" i="1"/>
  <c r="CA78" i="1"/>
  <c r="CF79" i="1"/>
  <c r="CX80" i="1"/>
  <c r="FF83" i="1"/>
  <c r="FV92" i="1"/>
  <c r="CY92" i="1"/>
  <c r="DL106" i="1"/>
  <c r="CA111" i="1"/>
  <c r="CT114" i="1"/>
  <c r="GI117" i="1"/>
  <c r="BX141" i="1"/>
  <c r="CH144" i="1"/>
  <c r="DW149" i="1"/>
  <c r="BS130" i="1"/>
  <c r="ES130" i="1"/>
  <c r="FH6" i="1"/>
  <c r="DD38" i="1"/>
  <c r="DD62" i="1"/>
  <c r="DC105" i="1"/>
  <c r="CB62" i="1"/>
  <c r="CF63" i="1"/>
  <c r="FY29" i="1"/>
  <c r="DB99" i="1"/>
  <c r="EX7" i="1"/>
  <c r="ET8" i="1"/>
  <c r="EP16" i="1"/>
  <c r="DU43" i="1"/>
  <c r="CR127" i="1"/>
  <c r="CZ26" i="1"/>
  <c r="BX26" i="1"/>
  <c r="FU34" i="1"/>
  <c r="EV34" i="1"/>
  <c r="CP44" i="1"/>
  <c r="BW44" i="1"/>
  <c r="FQ46" i="1"/>
  <c r="BS49" i="1"/>
  <c r="CU49" i="1"/>
  <c r="GE49" i="1"/>
  <c r="CY51" i="1"/>
  <c r="DH64" i="1"/>
  <c r="FD75" i="1"/>
  <c r="BX84" i="1"/>
  <c r="BP86" i="1"/>
  <c r="ER90" i="1"/>
  <c r="FZ106" i="1"/>
  <c r="BV109" i="1"/>
  <c r="EO118" i="1"/>
  <c r="FO130" i="1"/>
  <c r="CF130" i="1"/>
  <c r="CI140" i="1"/>
  <c r="DH143" i="1"/>
  <c r="GI146" i="1"/>
  <c r="DH156" i="1"/>
  <c r="FR64" i="1"/>
  <c r="BS64" i="1"/>
  <c r="CE73" i="1"/>
  <c r="EA75" i="1"/>
  <c r="ER8" i="1"/>
  <c r="DK27" i="1"/>
  <c r="EJ27" i="1"/>
  <c r="DG92" i="1"/>
  <c r="EF92" i="1"/>
  <c r="DF100" i="1"/>
  <c r="DU101" i="1"/>
  <c r="CH101" i="1"/>
  <c r="FY10" i="1"/>
  <c r="CZ86" i="1"/>
  <c r="FO121" i="1"/>
  <c r="FR124" i="1"/>
  <c r="CU124" i="1"/>
  <c r="BS124" i="1"/>
  <c r="CQ127" i="1"/>
  <c r="DP127" i="1"/>
  <c r="FW2" i="1"/>
  <c r="EF46" i="1"/>
  <c r="DG46" i="1"/>
  <c r="FZ94" i="1"/>
  <c r="BT98" i="1"/>
  <c r="FM117" i="1"/>
  <c r="EG3" i="1"/>
  <c r="DF2" i="1"/>
  <c r="DJ3" i="1"/>
  <c r="BV5" i="1"/>
  <c r="GG5" i="1"/>
  <c r="CJ6" i="1"/>
  <c r="BZ8" i="1"/>
  <c r="CF20" i="1"/>
  <c r="CB31" i="1"/>
  <c r="FB32" i="1"/>
  <c r="FZ35" i="1"/>
  <c r="DD44" i="1"/>
  <c r="CX61" i="1"/>
  <c r="EZ62" i="1"/>
  <c r="CB63" i="1"/>
  <c r="EZ67" i="1"/>
  <c r="GI77" i="1"/>
  <c r="BZ81" i="1"/>
  <c r="ER82" i="1"/>
  <c r="DO82" i="1"/>
  <c r="GH103" i="1"/>
  <c r="DB106" i="1"/>
  <c r="FD107" i="1"/>
  <c r="CV108" i="1"/>
  <c r="FS112" i="1"/>
  <c r="FY117" i="1"/>
  <c r="EZ117" i="1"/>
  <c r="FB118" i="1"/>
  <c r="CV120" i="1"/>
  <c r="EJ120" i="1"/>
  <c r="DD121" i="1"/>
  <c r="FI131" i="1"/>
  <c r="DK131" i="1"/>
  <c r="BO133" i="1"/>
  <c r="DD133" i="1"/>
  <c r="CH143" i="1"/>
  <c r="CU147" i="1"/>
  <c r="DD150" i="1"/>
  <c r="ES151" i="1"/>
  <c r="FR152" i="1"/>
  <c r="BN17" i="1"/>
  <c r="BV17" i="1"/>
  <c r="GH17" i="1"/>
  <c r="FF18" i="1"/>
  <c r="BP20" i="1"/>
  <c r="EA21" i="1"/>
  <c r="BX22" i="1"/>
  <c r="DB22" i="1"/>
  <c r="BN26" i="1"/>
  <c r="CR29" i="1"/>
  <c r="EE29" i="1"/>
  <c r="EI30" i="1"/>
  <c r="FH30" i="1"/>
  <c r="EE34" i="1"/>
  <c r="CU35" i="1"/>
  <c r="FS40" i="1"/>
  <c r="GC41" i="1"/>
  <c r="FD42" i="1"/>
  <c r="ER44" i="1"/>
  <c r="GD44" i="1"/>
  <c r="EV45" i="1"/>
  <c r="CX49" i="1"/>
  <c r="EK51" i="1"/>
  <c r="DF53" i="1"/>
  <c r="FI58" i="1"/>
  <c r="BZ60" i="1"/>
  <c r="EP61" i="1"/>
  <c r="FH68" i="1"/>
  <c r="EE69" i="1"/>
  <c r="BO71" i="1"/>
  <c r="BS73" i="1"/>
  <c r="EE77" i="1"/>
  <c r="ET82" i="1"/>
  <c r="GG82" i="1"/>
  <c r="CI86" i="1"/>
  <c r="CF90" i="1"/>
  <c r="CT96" i="1"/>
  <c r="EN97" i="1"/>
  <c r="EO98" i="1"/>
  <c r="CE99" i="1"/>
  <c r="DJ100" i="1"/>
  <c r="DW101" i="1"/>
  <c r="CJ105" i="1"/>
  <c r="BO112" i="1"/>
  <c r="EA116" i="1"/>
  <c r="ES118" i="1"/>
  <c r="DH118" i="1"/>
  <c r="DS118" i="1"/>
  <c r="EF119" i="1"/>
  <c r="ET120" i="1"/>
  <c r="GH120" i="1"/>
  <c r="FI123" i="1"/>
  <c r="FZ125" i="1"/>
  <c r="GG126" i="1"/>
  <c r="DY129" i="1"/>
  <c r="BN129" i="1"/>
  <c r="DO131" i="1"/>
  <c r="GA132" i="1"/>
  <c r="DO137" i="1"/>
  <c r="BO144" i="1"/>
  <c r="DO145" i="1"/>
  <c r="FZ145" i="1"/>
  <c r="DU147" i="1"/>
  <c r="CH147" i="1"/>
  <c r="FO154" i="1"/>
  <c r="ET154" i="1"/>
  <c r="EI164" i="1"/>
  <c r="DL165" i="1"/>
  <c r="EO167" i="1"/>
  <c r="DC167" i="1"/>
  <c r="BX170" i="1"/>
  <c r="BO170" i="1"/>
  <c r="EP172" i="1"/>
  <c r="FM14" i="1"/>
  <c r="BX14" i="1"/>
  <c r="ES16" i="1"/>
  <c r="EV17" i="1"/>
  <c r="FI19" i="1"/>
  <c r="BZ20" i="1"/>
  <c r="BO20" i="1"/>
  <c r="FW20" i="1"/>
  <c r="EJ25" i="1"/>
  <c r="BO26" i="1"/>
  <c r="EJ30" i="1"/>
  <c r="DY30" i="1"/>
  <c r="EK36" i="1"/>
  <c r="DS39" i="1"/>
  <c r="DX40" i="1"/>
  <c r="CJ42" i="1"/>
  <c r="ES44" i="1"/>
  <c r="EW45" i="1"/>
  <c r="CJ45" i="1"/>
  <c r="EP47" i="1"/>
  <c r="EE47" i="1"/>
  <c r="DL50" i="1"/>
  <c r="EO52" i="1"/>
  <c r="CZ55" i="1"/>
  <c r="CV55" i="1"/>
  <c r="GC59" i="1"/>
  <c r="FO60" i="1"/>
  <c r="BR61" i="1"/>
  <c r="FE61" i="1"/>
  <c r="EG64" i="1"/>
  <c r="DD65" i="1"/>
  <c r="ET65" i="1"/>
  <c r="FS73" i="1"/>
  <c r="FB76" i="1"/>
  <c r="BZ76" i="1"/>
  <c r="CT77" i="1"/>
  <c r="EF77" i="1"/>
  <c r="GE79" i="1"/>
  <c r="BP80" i="1"/>
  <c r="DF80" i="1"/>
  <c r="BZ83" i="1"/>
  <c r="EV85" i="1"/>
  <c r="DS94" i="1"/>
  <c r="CH94" i="1"/>
  <c r="EV95" i="1"/>
  <c r="DK95" i="1"/>
  <c r="CR97" i="1"/>
  <c r="DH97" i="1"/>
  <c r="EP98" i="1"/>
  <c r="EN102" i="1"/>
  <c r="FD103" i="1"/>
  <c r="CF104" i="1"/>
  <c r="CD109" i="1"/>
  <c r="BT118" i="1"/>
  <c r="GG118" i="1"/>
  <c r="CT119" i="1"/>
  <c r="FJ123" i="1"/>
  <c r="EE123" i="1"/>
  <c r="EZ136" i="1"/>
  <c r="GA145" i="1"/>
  <c r="FZ149" i="1"/>
  <c r="EB151" i="1"/>
  <c r="BR152" i="1"/>
  <c r="FN153" i="1"/>
  <c r="CQ158" i="1"/>
  <c r="BZ158" i="1"/>
  <c r="GC162" i="1"/>
  <c r="BV169" i="1"/>
  <c r="GD172" i="1"/>
  <c r="BT173" i="1"/>
  <c r="FF11" i="1"/>
  <c r="CZ13" i="1"/>
  <c r="BN13" i="1"/>
  <c r="DD14" i="1"/>
  <c r="GD15" i="1"/>
  <c r="BP26" i="1"/>
  <c r="BS29" i="1"/>
  <c r="EZ36" i="1"/>
  <c r="GA36" i="1"/>
  <c r="DJ39" i="1"/>
  <c r="CV40" i="1"/>
  <c r="EI40" i="1"/>
  <c r="FF42" i="1"/>
  <c r="EI45" i="1"/>
  <c r="FO48" i="1"/>
  <c r="CJ54" i="1"/>
  <c r="BT57" i="1"/>
  <c r="ET59" i="1"/>
  <c r="FQ60" i="1"/>
  <c r="ES61" i="1"/>
  <c r="DQ61" i="1"/>
  <c r="FN65" i="1"/>
  <c r="DH70" i="1"/>
  <c r="DC75" i="1"/>
  <c r="FB84" i="1"/>
  <c r="DH94" i="1"/>
  <c r="FH94" i="1"/>
  <c r="BX96" i="1"/>
  <c r="EC100" i="1"/>
  <c r="EV114" i="1"/>
  <c r="FM114" i="1"/>
  <c r="BN115" i="1"/>
  <c r="EC118" i="1"/>
  <c r="FQ118" i="1"/>
  <c r="ET126" i="1"/>
  <c r="GE130" i="1"/>
  <c r="EV131" i="1"/>
  <c r="DJ137" i="1"/>
  <c r="FB140" i="1"/>
  <c r="CZ151" i="1"/>
  <c r="EF151" i="1"/>
  <c r="EN152" i="1"/>
  <c r="CH154" i="1"/>
  <c r="EP158" i="1"/>
  <c r="DJ158" i="1"/>
  <c r="ET159" i="1"/>
  <c r="CE162" i="1"/>
  <c r="FV164" i="1"/>
  <c r="GI164" i="1"/>
  <c r="BZ165" i="1"/>
  <c r="BR165" i="1"/>
  <c r="CD166" i="1"/>
  <c r="EA174" i="1"/>
  <c r="BV12" i="1"/>
  <c r="DK12" i="1"/>
  <c r="EZ13" i="1"/>
  <c r="FD14" i="1"/>
  <c r="DS16" i="1"/>
  <c r="FZ19" i="1"/>
  <c r="ET21" i="1"/>
  <c r="GI21" i="1"/>
  <c r="FM23" i="1"/>
  <c r="EG24" i="1"/>
  <c r="BV25" i="1"/>
  <c r="EX26" i="1"/>
  <c r="BO30" i="1"/>
  <c r="ET34" i="1"/>
  <c r="DD36" i="1"/>
  <c r="DK39" i="1"/>
  <c r="CD41" i="1"/>
  <c r="EX46" i="1"/>
  <c r="FR48" i="1"/>
  <c r="FY49" i="1"/>
  <c r="FQ49" i="1"/>
  <c r="EF56" i="1"/>
  <c r="CX57" i="1"/>
  <c r="EE59" i="1"/>
  <c r="DF59" i="1"/>
  <c r="BZ63" i="1"/>
  <c r="EP64" i="1"/>
  <c r="GE64" i="1"/>
  <c r="DK65" i="1"/>
  <c r="CV68" i="1"/>
  <c r="CH70" i="1"/>
  <c r="DF71" i="1"/>
  <c r="BR76" i="1"/>
  <c r="FB79" i="1"/>
  <c r="CA79" i="1"/>
  <c r="DH80" i="1"/>
  <c r="BX82" i="1"/>
  <c r="FB88" i="1"/>
  <c r="CJ90" i="1"/>
  <c r="CX90" i="1"/>
  <c r="FD92" i="1"/>
  <c r="ET94" i="1"/>
  <c r="BN100" i="1"/>
  <c r="DJ102" i="1"/>
  <c r="FU110" i="1"/>
  <c r="BZ111" i="1"/>
  <c r="EF118" i="1"/>
  <c r="FV122" i="1"/>
  <c r="FQ122" i="1"/>
  <c r="EP123" i="1"/>
  <c r="GC123" i="1"/>
  <c r="GD125" i="1"/>
  <c r="FH126" i="1"/>
  <c r="GA129" i="1"/>
  <c r="DT132" i="1"/>
  <c r="FZ138" i="1"/>
  <c r="FN139" i="1"/>
  <c r="BT146" i="1"/>
  <c r="GG146" i="1"/>
  <c r="DJ149" i="1"/>
  <c r="EX151" i="1"/>
  <c r="CT151" i="1"/>
  <c r="DU154" i="1"/>
  <c r="GH157" i="1"/>
  <c r="BR158" i="1"/>
  <c r="EF158" i="1"/>
  <c r="CH158" i="1"/>
  <c r="GE162" i="1"/>
  <c r="BX164" i="1"/>
  <c r="DL173" i="1"/>
  <c r="CB11" i="1"/>
  <c r="CB13" i="1"/>
  <c r="GE20" i="1"/>
  <c r="BX4" i="1"/>
  <c r="FN4" i="1"/>
  <c r="CI4" i="1"/>
  <c r="BR3" i="1"/>
  <c r="EW5" i="1"/>
  <c r="EX6" i="1"/>
  <c r="BN7" i="1"/>
  <c r="BP8" i="1"/>
  <c r="CR10" i="1"/>
  <c r="GI11" i="1"/>
  <c r="DX14" i="1"/>
  <c r="ET15" i="1"/>
  <c r="FA17" i="1"/>
  <c r="GE18" i="1"/>
  <c r="DH19" i="1"/>
  <c r="FW21" i="1"/>
  <c r="EW24" i="1"/>
  <c r="BZ25" i="1"/>
  <c r="FV28" i="1"/>
  <c r="ES29" i="1"/>
  <c r="GE29" i="1"/>
  <c r="FO30" i="1"/>
  <c r="CR33" i="1"/>
  <c r="EI34" i="1"/>
  <c r="FJ37" i="1"/>
  <c r="GE39" i="1"/>
  <c r="DO39" i="1"/>
  <c r="BV40" i="1"/>
  <c r="DB41" i="1"/>
  <c r="EC41" i="1"/>
  <c r="DX44" i="1"/>
  <c r="EC55" i="1"/>
  <c r="CE57" i="1"/>
  <c r="CU58" i="1"/>
  <c r="DY59" i="1"/>
  <c r="FM64" i="1"/>
  <c r="EN67" i="1"/>
  <c r="DJ71" i="1"/>
  <c r="DK30" i="1"/>
  <c r="GG30" i="1"/>
  <c r="DL31" i="1"/>
  <c r="EW31" i="1"/>
  <c r="EX33" i="1"/>
  <c r="FR35" i="1"/>
  <c r="BO36" i="1"/>
  <c r="CR36" i="1"/>
  <c r="EC36" i="1"/>
  <c r="FW37" i="1"/>
  <c r="BP37" i="1"/>
  <c r="FA37" i="1"/>
  <c r="EE41" i="1"/>
  <c r="BV50" i="1"/>
  <c r="CI50" i="1"/>
  <c r="FI50" i="1"/>
  <c r="EJ50" i="1"/>
  <c r="CV58" i="1"/>
  <c r="FB68" i="1"/>
  <c r="CB68" i="1"/>
  <c r="FF2" i="1"/>
  <c r="FS3" i="1"/>
  <c r="EA5" i="1"/>
  <c r="DC6" i="1"/>
  <c r="BZ11" i="1"/>
  <c r="EV16" i="1"/>
  <c r="DL20" i="1"/>
  <c r="FV20" i="1"/>
  <c r="DW23" i="1"/>
  <c r="GE25" i="1"/>
  <c r="DL34" i="1"/>
  <c r="BS35" i="1"/>
  <c r="EG35" i="1"/>
  <c r="BO37" i="1"/>
  <c r="CQ37" i="1"/>
  <c r="BX40" i="1"/>
  <c r="FZ40" i="1"/>
  <c r="CQ41" i="1"/>
  <c r="FN41" i="1"/>
  <c r="DD41" i="1"/>
  <c r="EF41" i="1"/>
  <c r="CY44" i="1"/>
  <c r="DD56" i="1"/>
  <c r="CA56" i="1"/>
  <c r="CH71" i="1"/>
  <c r="DU71" i="1"/>
  <c r="DU2" i="1"/>
  <c r="FD2" i="1"/>
  <c r="EB5" i="1"/>
  <c r="FW10" i="1"/>
  <c r="EP14" i="1"/>
  <c r="FN14" i="1"/>
  <c r="GH16" i="1"/>
  <c r="CF17" i="1"/>
  <c r="DK20" i="1"/>
  <c r="GA21" i="1"/>
  <c r="CP23" i="1"/>
  <c r="DH25" i="1"/>
  <c r="DH26" i="1"/>
  <c r="BX28" i="1"/>
  <c r="DS29" i="1"/>
  <c r="DU31" i="1"/>
  <c r="DU33" i="1"/>
  <c r="FE33" i="1"/>
  <c r="FB45" i="1"/>
  <c r="CB45" i="1"/>
  <c r="BZ45" i="1"/>
  <c r="BN55" i="1"/>
  <c r="FD56" i="1"/>
  <c r="EE56" i="1"/>
  <c r="ES20" i="1"/>
  <c r="CD11" i="1"/>
  <c r="FH18" i="1"/>
  <c r="EV20" i="1"/>
  <c r="GI20" i="1"/>
  <c r="CZ22" i="1"/>
  <c r="CH26" i="1"/>
  <c r="GI31" i="1"/>
  <c r="EW34" i="1"/>
  <c r="DF35" i="1"/>
  <c r="CZ43" i="1"/>
  <c r="FA50" i="1"/>
  <c r="CA50" i="1"/>
  <c r="DC50" i="1"/>
  <c r="DB53" i="1"/>
  <c r="EZ53" i="1"/>
  <c r="BP55" i="1"/>
  <c r="EX55" i="1"/>
  <c r="ES56" i="1"/>
  <c r="EO62" i="1"/>
  <c r="FM72" i="1"/>
  <c r="BN72" i="1"/>
  <c r="BP22" i="1"/>
  <c r="FZ23" i="1"/>
  <c r="DT25" i="1"/>
  <c r="FF25" i="1"/>
  <c r="EV26" i="1"/>
  <c r="CI26" i="1"/>
  <c r="DS27" i="1"/>
  <c r="GH27" i="1"/>
  <c r="CY30" i="1"/>
  <c r="DX34" i="1"/>
  <c r="GD41" i="1"/>
  <c r="BO49" i="1"/>
  <c r="DP49" i="1"/>
  <c r="DB51" i="1"/>
  <c r="EP54" i="1"/>
  <c r="CE62" i="1"/>
  <c r="EA4" i="1"/>
  <c r="EX13" i="1"/>
  <c r="EB4" i="1"/>
  <c r="DB4" i="1"/>
  <c r="FB6" i="1"/>
  <c r="CF6" i="1"/>
  <c r="CT13" i="1"/>
  <c r="DO13" i="1"/>
  <c r="ET14" i="1"/>
  <c r="BZ15" i="1"/>
  <c r="CX20" i="1"/>
  <c r="DT20" i="1"/>
  <c r="CF21" i="1"/>
  <c r="BP2" i="1"/>
  <c r="DQ4" i="1"/>
  <c r="GC4" i="1"/>
  <c r="DK4" i="1"/>
  <c r="GE5" i="1"/>
  <c r="DS6" i="1"/>
  <c r="FS7" i="1"/>
  <c r="BS8" i="1"/>
  <c r="DF9" i="1"/>
  <c r="BS13" i="1"/>
  <c r="EV14" i="1"/>
  <c r="FD15" i="1"/>
  <c r="EP15" i="1"/>
  <c r="FQ16" i="1"/>
  <c r="CJ17" i="1"/>
  <c r="BP18" i="1"/>
  <c r="CV18" i="1"/>
  <c r="EG18" i="1"/>
  <c r="FS18" i="1"/>
  <c r="BN20" i="1"/>
  <c r="CT20" i="1"/>
  <c r="GH21" i="1"/>
  <c r="CJ22" i="1"/>
  <c r="FW27" i="1"/>
  <c r="BS28" i="1"/>
  <c r="FJ28" i="1"/>
  <c r="BZ30" i="1"/>
  <c r="CV30" i="1"/>
  <c r="EZ33" i="1"/>
  <c r="CV33" i="1"/>
  <c r="FW33" i="1"/>
  <c r="BT34" i="1"/>
  <c r="EA34" i="1"/>
  <c r="DQ36" i="1"/>
  <c r="DG37" i="1"/>
  <c r="CY38" i="1"/>
  <c r="CF42" i="1"/>
  <c r="FU42" i="1"/>
  <c r="BR43" i="1"/>
  <c r="BP46" i="1"/>
  <c r="FS46" i="1"/>
  <c r="EA47" i="1"/>
  <c r="FN53" i="1"/>
  <c r="EX59" i="1"/>
  <c r="EP70" i="1"/>
  <c r="BO17" i="1"/>
  <c r="BZ18" i="1"/>
  <c r="CU18" i="1"/>
  <c r="EF18" i="1"/>
  <c r="CU20" i="1"/>
  <c r="FU21" i="1"/>
  <c r="CI22" i="1"/>
  <c r="DL22" i="1"/>
  <c r="EW22" i="1"/>
  <c r="FH24" i="1"/>
  <c r="CX27" i="1"/>
  <c r="FZ29" i="1"/>
  <c r="CP30" i="1"/>
  <c r="FU30" i="1"/>
  <c r="BN31" i="1"/>
  <c r="FA33" i="1"/>
  <c r="DD34" i="1"/>
  <c r="DP36" i="1"/>
  <c r="EK41" i="1"/>
  <c r="CQ43" i="1"/>
  <c r="DP43" i="1"/>
  <c r="DJ50" i="1"/>
  <c r="GH50" i="1"/>
  <c r="DP62" i="1"/>
  <c r="BV66" i="1"/>
  <c r="GH66" i="1"/>
  <c r="CI66" i="1"/>
  <c r="FI66" i="1"/>
  <c r="FU68" i="1"/>
  <c r="FO21" i="1"/>
  <c r="EX28" i="1"/>
  <c r="DY3" i="1"/>
  <c r="EP10" i="1"/>
  <c r="GD5" i="1"/>
  <c r="EJ8" i="1"/>
  <c r="FI17" i="1"/>
  <c r="CI6" i="1"/>
  <c r="CU7" i="1"/>
  <c r="FU7" i="1"/>
  <c r="FM8" i="1"/>
  <c r="DQ10" i="1"/>
  <c r="DG12" i="1"/>
  <c r="CJ14" i="1"/>
  <c r="FA14" i="1"/>
  <c r="CA2" i="1"/>
  <c r="DU4" i="1"/>
  <c r="FH5" i="1"/>
  <c r="EK6" i="1"/>
  <c r="FN8" i="1"/>
  <c r="DP10" i="1"/>
  <c r="DH12" i="1"/>
  <c r="FU13" i="1"/>
  <c r="EB13" i="1"/>
  <c r="FR15" i="1"/>
  <c r="FF15" i="1"/>
  <c r="CF16" i="1"/>
  <c r="DB17" i="1"/>
  <c r="CR20" i="1"/>
  <c r="DF20" i="1"/>
  <c r="FF21" i="1"/>
  <c r="CV22" i="1"/>
  <c r="FH22" i="1"/>
  <c r="BP25" i="1"/>
  <c r="CU25" i="1"/>
  <c r="FI27" i="1"/>
  <c r="FU28" i="1"/>
  <c r="EP29" i="1"/>
  <c r="FN30" i="1"/>
  <c r="BW31" i="1"/>
  <c r="CQ33" i="1"/>
  <c r="EC33" i="1"/>
  <c r="CY34" i="1"/>
  <c r="GI36" i="1"/>
  <c r="DS36" i="1"/>
  <c r="BV37" i="1"/>
  <c r="EX41" i="1"/>
  <c r="FE41" i="1"/>
  <c r="EI42" i="1"/>
  <c r="CP45" i="1"/>
  <c r="EO48" i="1"/>
  <c r="CJ51" i="1"/>
  <c r="ET54" i="1"/>
  <c r="DJ58" i="1"/>
  <c r="FW67" i="1"/>
  <c r="BN67" i="1"/>
  <c r="GH69" i="1"/>
  <c r="BP49" i="1"/>
  <c r="EX51" i="1"/>
  <c r="EB51" i="1"/>
  <c r="EV53" i="1"/>
  <c r="EV55" i="1"/>
  <c r="CA57" i="1"/>
  <c r="EP57" i="1"/>
  <c r="DH60" i="1"/>
  <c r="CF61" i="1"/>
  <c r="FS68" i="1"/>
  <c r="FJ69" i="1"/>
  <c r="CP70" i="1"/>
  <c r="FZ79" i="1"/>
  <c r="CX81" i="1"/>
  <c r="EW81" i="1"/>
  <c r="GE84" i="1"/>
  <c r="DQ89" i="1"/>
  <c r="CE89" i="1"/>
  <c r="CU91" i="1"/>
  <c r="EC94" i="1"/>
  <c r="FF94" i="1"/>
  <c r="DD97" i="1"/>
  <c r="DP104" i="1"/>
  <c r="EV104" i="1"/>
  <c r="EF124" i="1"/>
  <c r="DC126" i="1"/>
  <c r="FZ126" i="1"/>
  <c r="EP130" i="1"/>
  <c r="FS137" i="1"/>
  <c r="BT137" i="1"/>
  <c r="DU137" i="1"/>
  <c r="GA76" i="1"/>
  <c r="FW95" i="1"/>
  <c r="FB104" i="1"/>
  <c r="GH104" i="1"/>
  <c r="DD124" i="1"/>
  <c r="FB124" i="1"/>
  <c r="ER130" i="1"/>
  <c r="EN132" i="1"/>
  <c r="DT134" i="1"/>
  <c r="DD76" i="1"/>
  <c r="BV84" i="1"/>
  <c r="FZ84" i="1"/>
  <c r="DC94" i="1"/>
  <c r="CD98" i="1"/>
  <c r="FY114" i="1"/>
  <c r="EZ114" i="1"/>
  <c r="EA121" i="1"/>
  <c r="EO123" i="1"/>
  <c r="DG130" i="1"/>
  <c r="EN142" i="1"/>
  <c r="GG76" i="1"/>
  <c r="CD78" i="1"/>
  <c r="DF78" i="1"/>
  <c r="DB81" i="1"/>
  <c r="CX82" i="1"/>
  <c r="EX84" i="1"/>
  <c r="FY93" i="1"/>
  <c r="BX104" i="1"/>
  <c r="GC127" i="1"/>
  <c r="ES131" i="1"/>
  <c r="GC132" i="1"/>
  <c r="CB132" i="1"/>
  <c r="ER139" i="1"/>
  <c r="EO142" i="1"/>
  <c r="CB142" i="1"/>
  <c r="GI75" i="1"/>
  <c r="DT78" i="1"/>
  <c r="GI82" i="1"/>
  <c r="EJ83" i="1"/>
  <c r="BN84" i="1"/>
  <c r="CI88" i="1"/>
  <c r="DW89" i="1"/>
  <c r="BW93" i="1"/>
  <c r="FV102" i="1"/>
  <c r="CP103" i="1"/>
  <c r="BO104" i="1"/>
  <c r="FJ111" i="1"/>
  <c r="CZ113" i="1"/>
  <c r="DC114" i="1"/>
  <c r="ES139" i="1"/>
  <c r="GD141" i="1"/>
  <c r="DW74" i="1"/>
  <c r="ES80" i="1"/>
  <c r="FA84" i="1"/>
  <c r="DC104" i="1"/>
  <c r="EB104" i="1"/>
  <c r="BT113" i="1"/>
  <c r="GA122" i="1"/>
  <c r="CB122" i="1"/>
  <c r="FB122" i="1"/>
  <c r="FA126" i="1"/>
  <c r="ES127" i="1"/>
  <c r="GE127" i="1"/>
  <c r="EV128" i="1"/>
  <c r="CQ140" i="1"/>
  <c r="DD140" i="1"/>
  <c r="CT141" i="1"/>
  <c r="DG141" i="1"/>
  <c r="FI79" i="1"/>
  <c r="FE86" i="1"/>
  <c r="DT87" i="1"/>
  <c r="EN91" i="1"/>
  <c r="EN103" i="1"/>
  <c r="FH110" i="1"/>
  <c r="EI112" i="1"/>
  <c r="FM113" i="1"/>
  <c r="EA119" i="1"/>
  <c r="DB119" i="1"/>
  <c r="BV126" i="1"/>
  <c r="GE139" i="1"/>
  <c r="CF38" i="1"/>
  <c r="FO40" i="1"/>
  <c r="GC40" i="1"/>
  <c r="EJ41" i="1"/>
  <c r="EG43" i="1"/>
  <c r="DK43" i="1"/>
  <c r="CD47" i="1"/>
  <c r="GC47" i="1"/>
  <c r="EP48" i="1"/>
  <c r="CF48" i="1"/>
  <c r="CV51" i="1"/>
  <c r="BR53" i="1"/>
  <c r="EF53" i="1"/>
  <c r="FA53" i="1"/>
  <c r="GH54" i="1"/>
  <c r="BR55" i="1"/>
  <c r="FE55" i="1"/>
  <c r="CI55" i="1"/>
  <c r="EA59" i="1"/>
  <c r="DY60" i="1"/>
  <c r="BT61" i="1"/>
  <c r="DS62" i="1"/>
  <c r="EW63" i="1"/>
  <c r="ES64" i="1"/>
  <c r="FD66" i="1"/>
  <c r="EP69" i="1"/>
  <c r="DF69" i="1"/>
  <c r="CF70" i="1"/>
  <c r="DO70" i="1"/>
  <c r="ES70" i="1"/>
  <c r="EI71" i="1"/>
  <c r="FN72" i="1"/>
  <c r="CP73" i="1"/>
  <c r="BV76" i="1"/>
  <c r="CI76" i="1"/>
  <c r="CX77" i="1"/>
  <c r="EB79" i="1"/>
  <c r="FB80" i="1"/>
  <c r="CT81" i="1"/>
  <c r="CA81" i="1"/>
  <c r="FY81" i="1"/>
  <c r="FM82" i="1"/>
  <c r="FW82" i="1"/>
  <c r="CQ84" i="1"/>
  <c r="EB84" i="1"/>
  <c r="BS86" i="1"/>
  <c r="CF86" i="1"/>
  <c r="EJ87" i="1"/>
  <c r="BO91" i="1"/>
  <c r="BP98" i="1"/>
  <c r="FO98" i="1"/>
  <c r="EB100" i="1"/>
  <c r="EO103" i="1"/>
  <c r="DJ107" i="1"/>
  <c r="CT111" i="1"/>
  <c r="CA112" i="1"/>
  <c r="FA112" i="1"/>
  <c r="GH116" i="1"/>
  <c r="EJ116" i="1"/>
  <c r="DK116" i="1"/>
  <c r="CZ117" i="1"/>
  <c r="FE124" i="1"/>
  <c r="CP126" i="1"/>
  <c r="EP137" i="1"/>
  <c r="CB137" i="1"/>
  <c r="ET137" i="1"/>
  <c r="GG137" i="1"/>
  <c r="FB139" i="1"/>
  <c r="DQ37" i="1"/>
  <c r="DQ39" i="1"/>
  <c r="EV41" i="1"/>
  <c r="CJ44" i="1"/>
  <c r="GI44" i="1"/>
  <c r="DL45" i="1"/>
  <c r="CX51" i="1"/>
  <c r="DH53" i="1"/>
  <c r="CF54" i="1"/>
  <c r="EV54" i="1"/>
  <c r="ES55" i="1"/>
  <c r="GH56" i="1"/>
  <c r="BP57" i="1"/>
  <c r="EE57" i="1"/>
  <c r="BT64" i="1"/>
  <c r="EI64" i="1"/>
  <c r="ES65" i="1"/>
  <c r="DH65" i="1"/>
  <c r="GG65" i="1"/>
  <c r="DG67" i="1"/>
  <c r="CD69" i="1"/>
  <c r="DL69" i="1"/>
  <c r="GE70" i="1"/>
  <c r="EC71" i="1"/>
  <c r="EK72" i="1"/>
  <c r="FZ72" i="1"/>
  <c r="GC73" i="1"/>
  <c r="CD74" i="1"/>
  <c r="BW74" i="1"/>
  <c r="CY74" i="1"/>
  <c r="DO75" i="1"/>
  <c r="EA76" i="1"/>
  <c r="BX77" i="1"/>
  <c r="BP77" i="1"/>
  <c r="FW79" i="1"/>
  <c r="DT80" i="1"/>
  <c r="DH81" i="1"/>
  <c r="CF81" i="1"/>
  <c r="ET81" i="1"/>
  <c r="CR84" i="1"/>
  <c r="FM84" i="1"/>
  <c r="BT86" i="1"/>
  <c r="FU88" i="1"/>
  <c r="GE89" i="1"/>
  <c r="CA90" i="1"/>
  <c r="EN90" i="1"/>
  <c r="BP91" i="1"/>
  <c r="DO92" i="1"/>
  <c r="BZ97" i="1"/>
  <c r="EE98" i="1"/>
  <c r="EP103" i="1"/>
  <c r="CB103" i="1"/>
  <c r="BN106" i="1"/>
  <c r="DO107" i="1"/>
  <c r="GG108" i="1"/>
  <c r="CV115" i="1"/>
  <c r="CX116" i="1"/>
  <c r="CX123" i="1"/>
  <c r="BX124" i="1"/>
  <c r="EC124" i="1"/>
  <c r="EB125" i="1"/>
  <c r="BN126" i="1"/>
  <c r="GI127" i="1"/>
  <c r="FW133" i="1"/>
  <c r="EV135" i="1"/>
  <c r="GH135" i="1"/>
  <c r="GE138" i="1"/>
  <c r="EG138" i="1"/>
  <c r="FA39" i="1"/>
  <c r="DU40" i="1"/>
  <c r="CV46" i="1"/>
  <c r="FH46" i="1"/>
  <c r="BT55" i="1"/>
  <c r="DU55" i="1"/>
  <c r="FI55" i="1"/>
  <c r="FV56" i="1"/>
  <c r="BS57" i="1"/>
  <c r="FS61" i="1"/>
  <c r="DU64" i="1"/>
  <c r="FF68" i="1"/>
  <c r="EG69" i="1"/>
  <c r="DT70" i="1"/>
  <c r="BR72" i="1"/>
  <c r="FO73" i="1"/>
  <c r="EX73" i="1"/>
  <c r="BW75" i="1"/>
  <c r="DB77" i="1"/>
  <c r="BR79" i="1"/>
  <c r="FD80" i="1"/>
  <c r="CV81" i="1"/>
  <c r="EI81" i="1"/>
  <c r="CA82" i="1"/>
  <c r="FZ82" i="1"/>
  <c r="CA84" i="1"/>
  <c r="DQ85" i="1"/>
  <c r="CT91" i="1"/>
  <c r="EI95" i="1"/>
  <c r="BN97" i="1"/>
  <c r="FZ99" i="1"/>
  <c r="CA100" i="1"/>
  <c r="EN101" i="1"/>
  <c r="FY105" i="1"/>
  <c r="BX109" i="1"/>
  <c r="CZ109" i="1"/>
  <c r="FU115" i="1"/>
  <c r="FI115" i="1"/>
  <c r="EJ115" i="1"/>
  <c r="DW115" i="1"/>
  <c r="BS131" i="1"/>
  <c r="CU131" i="1"/>
  <c r="CQ132" i="1"/>
  <c r="ET138" i="1"/>
  <c r="BV90" i="1"/>
  <c r="FI91" i="1"/>
  <c r="DX92" i="1"/>
  <c r="FN93" i="1"/>
  <c r="GD95" i="1"/>
  <c r="DU98" i="1"/>
  <c r="FF101" i="1"/>
  <c r="CJ101" i="1"/>
  <c r="DH104" i="1"/>
  <c r="EV106" i="1"/>
  <c r="DP108" i="1"/>
  <c r="FB108" i="1"/>
  <c r="DH108" i="1"/>
  <c r="EW111" i="1"/>
  <c r="DU113" i="1"/>
  <c r="EV116" i="1"/>
  <c r="DQ117" i="1"/>
  <c r="CT130" i="1"/>
  <c r="FU133" i="1"/>
  <c r="BR134" i="1"/>
  <c r="EO137" i="1"/>
  <c r="DD137" i="1"/>
  <c r="EV140" i="1"/>
  <c r="FI140" i="1"/>
  <c r="CZ143" i="1"/>
  <c r="BP143" i="1"/>
  <c r="ES144" i="1"/>
  <c r="EW145" i="1"/>
  <c r="ER146" i="1"/>
  <c r="GD146" i="1"/>
  <c r="DD149" i="1"/>
  <c r="FD152" i="1"/>
  <c r="BR155" i="1"/>
  <c r="CU159" i="1"/>
  <c r="GA161" i="1"/>
  <c r="GD162" i="1"/>
  <c r="CR163" i="1"/>
  <c r="FD163" i="1"/>
  <c r="DO164" i="1"/>
  <c r="FZ166" i="1"/>
  <c r="BW168" i="1"/>
  <c r="DO172" i="1"/>
  <c r="GG173" i="1"/>
  <c r="FE174" i="1"/>
  <c r="BW152" i="1"/>
  <c r="EE152" i="1"/>
  <c r="DT155" i="1"/>
  <c r="EO161" i="1"/>
  <c r="EX164" i="1"/>
  <c r="CX166" i="1"/>
  <c r="EW166" i="1"/>
  <c r="CD168" i="1"/>
  <c r="DJ173" i="1"/>
  <c r="DK174" i="1"/>
  <c r="CF149" i="1"/>
  <c r="CH150" i="1"/>
  <c r="DL150" i="1"/>
  <c r="GH155" i="1"/>
  <c r="DG156" i="1"/>
  <c r="BV164" i="1"/>
  <c r="GI168" i="1"/>
  <c r="CU171" i="1"/>
  <c r="FH173" i="1"/>
  <c r="FJ145" i="1"/>
  <c r="CB147" i="1"/>
  <c r="EV149" i="1"/>
  <c r="GE156" i="1"/>
  <c r="DF157" i="1"/>
  <c r="ES158" i="1"/>
  <c r="CH163" i="1"/>
  <c r="FE169" i="1"/>
  <c r="FH174" i="1"/>
  <c r="CR143" i="1"/>
  <c r="EE143" i="1"/>
  <c r="FI146" i="1"/>
  <c r="FJ150" i="1"/>
  <c r="CD157" i="1"/>
  <c r="GH158" i="1"/>
  <c r="CI169" i="1"/>
  <c r="EG143" i="1"/>
  <c r="FE148" i="1"/>
  <c r="FO150" i="1"/>
  <c r="EP152" i="1"/>
  <c r="DJ157" i="1"/>
  <c r="ET158" i="1"/>
  <c r="GG158" i="1"/>
  <c r="CI162" i="1"/>
  <c r="DB164" i="1"/>
  <c r="CZ165" i="1"/>
  <c r="CV165" i="1"/>
  <c r="EZ142" i="1"/>
  <c r="CF143" i="1"/>
  <c r="FB147" i="1"/>
  <c r="FR150" i="1"/>
  <c r="FV154" i="1"/>
  <c r="FQ162" i="1"/>
  <c r="CY166" i="1"/>
  <c r="DX168" i="1"/>
  <c r="CX174" i="1"/>
  <c r="ET92" i="1"/>
  <c r="EP96" i="1"/>
  <c r="EZ99" i="1"/>
  <c r="EN100" i="1"/>
  <c r="BX101" i="1"/>
  <c r="CU104" i="1"/>
  <c r="DJ105" i="1"/>
  <c r="GH105" i="1"/>
  <c r="GD106" i="1"/>
  <c r="FD106" i="1"/>
  <c r="BO109" i="1"/>
  <c r="EA109" i="1"/>
  <c r="CT110" i="1"/>
  <c r="FS110" i="1"/>
  <c r="EK111" i="1"/>
  <c r="CQ113" i="1"/>
  <c r="EF114" i="1"/>
  <c r="FU116" i="1"/>
  <c r="EP117" i="1"/>
  <c r="GA118" i="1"/>
  <c r="BZ119" i="1"/>
  <c r="EV120" i="1"/>
  <c r="CD123" i="1"/>
  <c r="EG124" i="1"/>
  <c r="CQ125" i="1"/>
  <c r="GA125" i="1"/>
  <c r="DJ126" i="1"/>
  <c r="FW127" i="1"/>
  <c r="FJ127" i="1"/>
  <c r="FR128" i="1"/>
  <c r="FS131" i="1"/>
  <c r="DW134" i="1"/>
  <c r="GH134" i="1"/>
  <c r="FW137" i="1"/>
  <c r="CJ139" i="1"/>
  <c r="CR139" i="1"/>
  <c r="EP143" i="1"/>
  <c r="EV144" i="1"/>
  <c r="GE144" i="1"/>
  <c r="BP145" i="1"/>
  <c r="FD145" i="1"/>
  <c r="FV147" i="1"/>
  <c r="FI148" i="1"/>
  <c r="EC148" i="1"/>
  <c r="BP150" i="1"/>
  <c r="EN151" i="1"/>
  <c r="CD153" i="1"/>
  <c r="BX155" i="1"/>
  <c r="EK155" i="1"/>
  <c r="FS155" i="1"/>
  <c r="EX156" i="1"/>
  <c r="DK157" i="1"/>
  <c r="DT159" i="1"/>
  <c r="FS160" i="1"/>
  <c r="BP162" i="1"/>
  <c r="EE162" i="1"/>
  <c r="FY163" i="1"/>
  <c r="FZ165" i="1"/>
  <c r="FO166" i="1"/>
  <c r="CB166" i="1"/>
  <c r="FU173" i="1"/>
  <c r="CU174" i="1"/>
  <c r="FS97" i="1"/>
  <c r="EI97" i="1"/>
  <c r="DQ98" i="1"/>
  <c r="GE99" i="1"/>
  <c r="DQ99" i="1"/>
  <c r="DF101" i="1"/>
  <c r="FO104" i="1"/>
  <c r="FF105" i="1"/>
  <c r="ES106" i="1"/>
  <c r="FI106" i="1"/>
  <c r="FJ107" i="1"/>
  <c r="FU109" i="1"/>
  <c r="BW111" i="1"/>
  <c r="FO113" i="1"/>
  <c r="DH114" i="1"/>
  <c r="GD114" i="1"/>
  <c r="CR115" i="1"/>
  <c r="EE115" i="1"/>
  <c r="GD123" i="1"/>
  <c r="DO123" i="1"/>
  <c r="EW125" i="1"/>
  <c r="EN126" i="1"/>
  <c r="GA126" i="1"/>
  <c r="BZ127" i="1"/>
  <c r="BP128" i="1"/>
  <c r="EE129" i="1"/>
  <c r="FN129" i="1"/>
  <c r="DW130" i="1"/>
  <c r="FB132" i="1"/>
  <c r="EG134" i="1"/>
  <c r="FU134" i="1"/>
  <c r="EA136" i="1"/>
  <c r="CV139" i="1"/>
  <c r="FH139" i="1"/>
  <c r="FH142" i="1"/>
  <c r="CJ145" i="1"/>
  <c r="CT146" i="1"/>
  <c r="BT150" i="1"/>
  <c r="CA151" i="1"/>
  <c r="FQ153" i="1"/>
  <c r="DL154" i="1"/>
  <c r="DB155" i="1"/>
  <c r="BZ156" i="1"/>
  <c r="FM156" i="1"/>
  <c r="EA162" i="1"/>
  <c r="GA164" i="1"/>
  <c r="FN165" i="1"/>
  <c r="GA165" i="1"/>
  <c r="GI165" i="1"/>
  <c r="DY169" i="1"/>
  <c r="FV169" i="1"/>
  <c r="FM171" i="1"/>
  <c r="EN171" i="1"/>
  <c r="CY173" i="1"/>
  <c r="CQ174" i="1"/>
  <c r="EZ89" i="1"/>
  <c r="CH90" i="1"/>
  <c r="EZ90" i="1"/>
  <c r="DX93" i="1"/>
  <c r="FJ94" i="1"/>
  <c r="EP95" i="1"/>
  <c r="GC95" i="1"/>
  <c r="FI96" i="1"/>
  <c r="DT99" i="1"/>
  <c r="EV100" i="1"/>
  <c r="CE104" i="1"/>
  <c r="EG104" i="1"/>
  <c r="FM108" i="1"/>
  <c r="EI110" i="1"/>
  <c r="GG111" i="1"/>
  <c r="DJ115" i="1"/>
  <c r="ET115" i="1"/>
  <c r="DL116" i="1"/>
  <c r="EZ121" i="1"/>
  <c r="CF126" i="1"/>
  <c r="CU127" i="1"/>
  <c r="BR128" i="1"/>
  <c r="EC129" i="1"/>
  <c r="FR129" i="1"/>
  <c r="CJ131" i="1"/>
  <c r="DU131" i="1"/>
  <c r="FF131" i="1"/>
  <c r="DJ132" i="1"/>
  <c r="CH133" i="1"/>
  <c r="EN137" i="1"/>
  <c r="ET140" i="1"/>
  <c r="DW141" i="1"/>
  <c r="EV142" i="1"/>
  <c r="CY143" i="1"/>
  <c r="CI144" i="1"/>
  <c r="EX145" i="1"/>
  <c r="CQ146" i="1"/>
  <c r="BV146" i="1"/>
  <c r="BO147" i="1"/>
  <c r="DO150" i="1"/>
  <c r="EW154" i="1"/>
  <c r="GI154" i="1"/>
  <c r="ET155" i="1"/>
  <c r="CP156" i="1"/>
  <c r="BV156" i="1"/>
  <c r="FW157" i="1"/>
  <c r="EZ158" i="1"/>
  <c r="CV159" i="1"/>
  <c r="CJ164" i="1"/>
  <c r="DL164" i="1"/>
  <c r="FO165" i="1"/>
  <c r="DD170" i="1"/>
  <c r="DQ173" i="1"/>
  <c r="DF173" i="1"/>
  <c r="BZ173" i="1"/>
  <c r="EN32" i="1"/>
  <c r="DO32" i="1"/>
  <c r="CI45" i="1"/>
  <c r="FQ7" i="1"/>
  <c r="CX6" i="1"/>
  <c r="EW11" i="1"/>
  <c r="CV6" i="1"/>
  <c r="FZ8" i="1"/>
  <c r="ES15" i="1"/>
  <c r="CZ3" i="1"/>
  <c r="FO4" i="1"/>
  <c r="DL6" i="1"/>
  <c r="FS6" i="1"/>
  <c r="BX8" i="1"/>
  <c r="BN8" i="1"/>
  <c r="FA8" i="1"/>
  <c r="FJ10" i="1"/>
  <c r="CX11" i="1"/>
  <c r="CV12" i="1"/>
  <c r="FH12" i="1"/>
  <c r="FO15" i="1"/>
  <c r="BV16" i="1"/>
  <c r="FD17" i="1"/>
  <c r="CX18" i="1"/>
  <c r="EE19" i="1"/>
  <c r="FR19" i="1"/>
  <c r="FR20" i="1"/>
  <c r="FD24" i="1"/>
  <c r="EV25" i="1"/>
  <c r="CX25" i="1"/>
  <c r="DQ25" i="1"/>
  <c r="GH26" i="1"/>
  <c r="CZ27" i="1"/>
  <c r="DQ31" i="1"/>
  <c r="DF31" i="1"/>
  <c r="CQ32" i="1"/>
  <c r="BZ35" i="1"/>
  <c r="CA38" i="1"/>
  <c r="FA38" i="1"/>
  <c r="GG40" i="1"/>
  <c r="FH42" i="1"/>
  <c r="CT44" i="1"/>
  <c r="EJ45" i="1"/>
  <c r="FV45" i="1"/>
  <c r="BX47" i="1"/>
  <c r="CP47" i="1"/>
  <c r="BP54" i="1"/>
  <c r="EP59" i="1"/>
  <c r="FO59" i="1"/>
  <c r="FH62" i="1"/>
  <c r="CH62" i="1"/>
  <c r="FN85" i="1"/>
  <c r="BO85" i="1"/>
  <c r="DL12" i="1"/>
  <c r="GI12" i="1"/>
  <c r="CU15" i="1"/>
  <c r="EG15" i="1"/>
  <c r="CZ17" i="1"/>
  <c r="EP19" i="1"/>
  <c r="DL26" i="1"/>
  <c r="EO38" i="1"/>
  <c r="BO38" i="1"/>
  <c r="FN38" i="1"/>
  <c r="FJ39" i="1"/>
  <c r="BS41" i="1"/>
  <c r="FR41" i="1"/>
  <c r="DX52" i="1"/>
  <c r="FQ54" i="1"/>
  <c r="DK58" i="1"/>
  <c r="ES58" i="1"/>
  <c r="FR63" i="1"/>
  <c r="BS63" i="1"/>
  <c r="EW6" i="1"/>
  <c r="FR10" i="1"/>
  <c r="FV11" i="1"/>
  <c r="DL13" i="1"/>
  <c r="CV14" i="1"/>
  <c r="CE15" i="1"/>
  <c r="BO16" i="1"/>
  <c r="EE17" i="1"/>
  <c r="DF19" i="1"/>
  <c r="ET19" i="1"/>
  <c r="EF24" i="1"/>
  <c r="EN28" i="1"/>
  <c r="DW30" i="1"/>
  <c r="CB33" i="1"/>
  <c r="GD34" i="1"/>
  <c r="EF44" i="1"/>
  <c r="FQ44" i="1"/>
  <c r="DK45" i="1"/>
  <c r="BZ47" i="1"/>
  <c r="EB55" i="1"/>
  <c r="EK56" i="1"/>
  <c r="GI56" i="1"/>
  <c r="DL56" i="1"/>
  <c r="DT58" i="1"/>
  <c r="CA61" i="1"/>
  <c r="GH6" i="1"/>
  <c r="BN11" i="1"/>
  <c r="DL11" i="1"/>
  <c r="EX11" i="1"/>
  <c r="CF15" i="1"/>
  <c r="BN18" i="1"/>
  <c r="BX21" i="1"/>
  <c r="CZ21" i="1"/>
  <c r="FM24" i="1"/>
  <c r="FV24" i="1"/>
  <c r="FI26" i="1"/>
  <c r="BN28" i="1"/>
  <c r="CP28" i="1"/>
  <c r="GA33" i="1"/>
  <c r="FQ35" i="1"/>
  <c r="FV39" i="1"/>
  <c r="GE44" i="1"/>
  <c r="DH44" i="1"/>
  <c r="BN50" i="1"/>
  <c r="CP52" i="1"/>
  <c r="FI57" i="1"/>
  <c r="ES69" i="1"/>
  <c r="CF69" i="1"/>
  <c r="BV9" i="1"/>
  <c r="DH15" i="1"/>
  <c r="EP17" i="1"/>
  <c r="EV19" i="1"/>
  <c r="DJ19" i="1"/>
  <c r="GG19" i="1"/>
  <c r="BV21" i="1"/>
  <c r="EV22" i="1"/>
  <c r="FN24" i="1"/>
  <c r="FZ24" i="1"/>
  <c r="CA28" i="1"/>
  <c r="GD29" i="1"/>
  <c r="CD29" i="1"/>
  <c r="FB29" i="1"/>
  <c r="FO34" i="1"/>
  <c r="EP34" i="1"/>
  <c r="GC34" i="1"/>
  <c r="FE34" i="1"/>
  <c r="EN36" i="1"/>
  <c r="GA38" i="1"/>
  <c r="FI42" i="1"/>
  <c r="DK42" i="1"/>
  <c r="BN43" i="1"/>
  <c r="EC43" i="1"/>
  <c r="CT47" i="1"/>
  <c r="FY47" i="1"/>
  <c r="FM48" i="1"/>
  <c r="CP48" i="1"/>
  <c r="EN48" i="1"/>
  <c r="EE52" i="1"/>
  <c r="FI56" i="1"/>
  <c r="GE15" i="1"/>
  <c r="BX23" i="1"/>
  <c r="EN24" i="1"/>
  <c r="GC24" i="1"/>
  <c r="BV26" i="1"/>
  <c r="DQ29" i="1"/>
  <c r="DP33" i="1"/>
  <c r="FZ36" i="1"/>
  <c r="GA37" i="1"/>
  <c r="BP39" i="1"/>
  <c r="DF39" i="1"/>
  <c r="CD39" i="1"/>
  <c r="BW40" i="1"/>
  <c r="GD42" i="1"/>
  <c r="DD43" i="1"/>
  <c r="CB43" i="1"/>
  <c r="FZ47" i="1"/>
  <c r="GD51" i="1"/>
  <c r="BZ52" i="1"/>
  <c r="DQ54" i="1"/>
  <c r="CR133" i="1"/>
  <c r="EP133" i="1"/>
  <c r="EE133" i="1"/>
  <c r="FD133" i="1"/>
  <c r="EB8" i="1"/>
  <c r="CZ52" i="1"/>
  <c r="EA2" i="1"/>
  <c r="DK3" i="1"/>
  <c r="GD4" i="1"/>
  <c r="ES10" i="1"/>
  <c r="CD8" i="1"/>
  <c r="GE10" i="1"/>
  <c r="CR18" i="1"/>
  <c r="BZ21" i="1"/>
  <c r="BT4" i="1"/>
  <c r="FR5" i="1"/>
  <c r="CE5" i="1"/>
  <c r="BX6" i="1"/>
  <c r="EB6" i="1"/>
  <c r="EP9" i="1"/>
  <c r="CD9" i="1"/>
  <c r="BN10" i="1"/>
  <c r="BV10" i="1"/>
  <c r="CU10" i="1"/>
  <c r="GH11" i="1"/>
  <c r="DQ12" i="1"/>
  <c r="DB13" i="1"/>
  <c r="DY14" i="1"/>
  <c r="DD16" i="1"/>
  <c r="EF16" i="1"/>
  <c r="FE16" i="1"/>
  <c r="ES17" i="1"/>
  <c r="DS18" i="1"/>
  <c r="CB18" i="1"/>
  <c r="DU19" i="1"/>
  <c r="FH19" i="1"/>
  <c r="ET20" i="1"/>
  <c r="DS21" i="1"/>
  <c r="EO23" i="1"/>
  <c r="CB23" i="1"/>
  <c r="BR24" i="1"/>
  <c r="EP25" i="1"/>
  <c r="EK26" i="1"/>
  <c r="FV26" i="1"/>
  <c r="CE28" i="1"/>
  <c r="DO28" i="1"/>
  <c r="CH30" i="1"/>
  <c r="EP37" i="1"/>
  <c r="DF37" i="1"/>
  <c r="CD37" i="1"/>
  <c r="EC37" i="1"/>
  <c r="FV38" i="1"/>
  <c r="DX38" i="1"/>
  <c r="BW38" i="1"/>
  <c r="EK38" i="1"/>
  <c r="DP38" i="1"/>
  <c r="BV45" i="1"/>
  <c r="CY46" i="1"/>
  <c r="EW46" i="1"/>
  <c r="GI46" i="1"/>
  <c r="DO47" i="1"/>
  <c r="ER47" i="1"/>
  <c r="FD49" i="1"/>
  <c r="DU51" i="1"/>
  <c r="DS54" i="1"/>
  <c r="CF55" i="1"/>
  <c r="FF55" i="1"/>
  <c r="DP56" i="1"/>
  <c r="EA57" i="1"/>
  <c r="BP59" i="1"/>
  <c r="EV59" i="1"/>
  <c r="EP4" i="1"/>
  <c r="DG8" i="1"/>
  <c r="DH4" i="1"/>
  <c r="DH8" i="1"/>
  <c r="BR17" i="1"/>
  <c r="FD21" i="1"/>
  <c r="BZ2" i="1"/>
  <c r="CD2" i="1"/>
  <c r="ET2" i="1"/>
  <c r="FV2" i="1"/>
  <c r="DO3" i="1"/>
  <c r="FZ3" i="1"/>
  <c r="CF5" i="1"/>
  <c r="DK5" i="1"/>
  <c r="DQ6" i="1"/>
  <c r="CD6" i="1"/>
  <c r="FI6" i="1"/>
  <c r="BW7" i="1"/>
  <c r="DL7" i="1"/>
  <c r="ER9" i="1"/>
  <c r="GC9" i="1"/>
  <c r="DT10" i="1"/>
  <c r="CA11" i="1"/>
  <c r="FJ11" i="1"/>
  <c r="FY12" i="1"/>
  <c r="EN13" i="1"/>
  <c r="FA13" i="1"/>
  <c r="DB14" i="1"/>
  <c r="BX15" i="1"/>
  <c r="DH16" i="1"/>
  <c r="ET17" i="1"/>
  <c r="CH17" i="1"/>
  <c r="CF18" i="1"/>
  <c r="DD18" i="1"/>
  <c r="BP19" i="1"/>
  <c r="BV20" i="1"/>
  <c r="DC20" i="1"/>
  <c r="FO20" i="1"/>
  <c r="BS21" i="1"/>
  <c r="DT21" i="1"/>
  <c r="ES21" i="1"/>
  <c r="FR21" i="1"/>
  <c r="DT22" i="1"/>
  <c r="DK25" i="1"/>
  <c r="GI25" i="1"/>
  <c r="BX27" i="1"/>
  <c r="EC27" i="1"/>
  <c r="CF28" i="1"/>
  <c r="EV29" i="1"/>
  <c r="DW29" i="1"/>
  <c r="EI31" i="1"/>
  <c r="FV33" i="1"/>
  <c r="FB33" i="1"/>
  <c r="EK35" i="1"/>
  <c r="DS37" i="1"/>
  <c r="DD37" i="1"/>
  <c r="CQ38" i="1"/>
  <c r="FY40" i="1"/>
  <c r="DS42" i="1"/>
  <c r="GG42" i="1"/>
  <c r="ER43" i="1"/>
  <c r="FN43" i="1"/>
  <c r="GG44" i="1"/>
  <c r="EB46" i="1"/>
  <c r="CE49" i="1"/>
  <c r="FE49" i="1"/>
  <c r="GC52" i="1"/>
  <c r="FB53" i="1"/>
  <c r="FR53" i="1"/>
  <c r="EJ56" i="1"/>
  <c r="FZ57" i="1"/>
  <c r="DW59" i="1"/>
  <c r="CZ11" i="1"/>
  <c r="FN2" i="1"/>
  <c r="FW5" i="1"/>
  <c r="BW6" i="1"/>
  <c r="CH7" i="1"/>
  <c r="EN8" i="1"/>
  <c r="BO9" i="1"/>
  <c r="DQ11" i="1"/>
  <c r="DL19" i="1"/>
  <c r="CU2" i="1"/>
  <c r="FY2" i="1"/>
  <c r="DP3" i="1"/>
  <c r="FB3" i="1"/>
  <c r="FQ3" i="1"/>
  <c r="DL4" i="1"/>
  <c r="CP4" i="1"/>
  <c r="FH7" i="1"/>
  <c r="BW8" i="1"/>
  <c r="CJ8" i="1"/>
  <c r="DO8" i="1"/>
  <c r="EV8" i="1"/>
  <c r="DQ9" i="1"/>
  <c r="DF10" i="1"/>
  <c r="CF10" i="1"/>
  <c r="GG11" i="1"/>
  <c r="CJ12" i="1"/>
  <c r="FN13" i="1"/>
  <c r="BX13" i="1"/>
  <c r="EN14" i="1"/>
  <c r="BV14" i="1"/>
  <c r="EO15" i="1"/>
  <c r="DD15" i="1"/>
  <c r="FO16" i="1"/>
  <c r="CX17" i="1"/>
  <c r="CI17" i="1"/>
  <c r="BT18" i="1"/>
  <c r="DH18" i="1"/>
  <c r="BN19" i="1"/>
  <c r="CA19" i="1"/>
  <c r="BT19" i="1"/>
  <c r="FJ20" i="1"/>
  <c r="CI20" i="1"/>
  <c r="DH20" i="1"/>
  <c r="EK20" i="1"/>
  <c r="GG21" i="1"/>
  <c r="DH21" i="1"/>
  <c r="GH22" i="1"/>
  <c r="BR23" i="1"/>
  <c r="DO23" i="1"/>
  <c r="CR27" i="1"/>
  <c r="FD27" i="1"/>
  <c r="FJ27" i="1"/>
  <c r="EW29" i="1"/>
  <c r="DK34" i="1"/>
  <c r="CZ35" i="1"/>
  <c r="FV36" i="1"/>
  <c r="BW36" i="1"/>
  <c r="CJ37" i="1"/>
  <c r="CU41" i="1"/>
  <c r="DS41" i="1"/>
  <c r="GA41" i="1"/>
  <c r="DW42" i="1"/>
  <c r="EO43" i="1"/>
  <c r="EZ44" i="1"/>
  <c r="DG49" i="1"/>
  <c r="EF49" i="1"/>
  <c r="FF49" i="1"/>
  <c r="BT51" i="1"/>
  <c r="DO52" i="1"/>
  <c r="GD52" i="1"/>
  <c r="CF53" i="1"/>
  <c r="BN54" i="1"/>
  <c r="CR54" i="1"/>
  <c r="DK55" i="1"/>
  <c r="GH55" i="1"/>
  <c r="DF56" i="1"/>
  <c r="EP56" i="1"/>
  <c r="GC58" i="1"/>
  <c r="DO61" i="1"/>
  <c r="FO66" i="1"/>
  <c r="CR66" i="1"/>
  <c r="EI66" i="1"/>
  <c r="FH66" i="1"/>
  <c r="FU70" i="1"/>
  <c r="CX70" i="1"/>
  <c r="DK70" i="1"/>
  <c r="EX71" i="1"/>
  <c r="DK75" i="1"/>
  <c r="GC80" i="1"/>
  <c r="ES82" i="1"/>
  <c r="BS82" i="1"/>
  <c r="FI82" i="1"/>
  <c r="EZ83" i="1"/>
  <c r="GD87" i="1"/>
  <c r="DL93" i="1"/>
  <c r="FF115" i="1"/>
  <c r="EG115" i="1"/>
  <c r="GE115" i="1"/>
  <c r="CZ61" i="1"/>
  <c r="FH64" i="1"/>
  <c r="FO68" i="1"/>
  <c r="EP68" i="1"/>
  <c r="EV71" i="1"/>
  <c r="FV73" i="1"/>
  <c r="CP74" i="1"/>
  <c r="FA74" i="1"/>
  <c r="DS77" i="1"/>
  <c r="EZ77" i="1"/>
  <c r="CF78" i="1"/>
  <c r="EF81" i="1"/>
  <c r="FE81" i="1"/>
  <c r="CU81" i="1"/>
  <c r="CY84" i="1"/>
  <c r="DL86" i="1"/>
  <c r="CH88" i="1"/>
  <c r="DG88" i="1"/>
  <c r="CE90" i="1"/>
  <c r="DG90" i="1"/>
  <c r="FE114" i="1"/>
  <c r="FD114" i="1"/>
  <c r="FF63" i="1"/>
  <c r="BP65" i="1"/>
  <c r="FD65" i="1"/>
  <c r="GI67" i="1"/>
  <c r="CF68" i="1"/>
  <c r="FY70" i="1"/>
  <c r="EV73" i="1"/>
  <c r="GH82" i="1"/>
  <c r="DK82" i="1"/>
  <c r="EJ82" i="1"/>
  <c r="CJ82" i="1"/>
  <c r="EK82" i="1"/>
  <c r="DW83" i="1"/>
  <c r="CT86" i="1"/>
  <c r="BR86" i="1"/>
  <c r="CB92" i="1"/>
  <c r="FO95" i="1"/>
  <c r="CR95" i="1"/>
  <c r="ER95" i="1"/>
  <c r="GA60" i="1"/>
  <c r="CR62" i="1"/>
  <c r="CH64" i="1"/>
  <c r="FS66" i="1"/>
  <c r="BS68" i="1"/>
  <c r="FR68" i="1"/>
  <c r="CB69" i="1"/>
  <c r="CR70" i="1"/>
  <c r="CJ73" i="1"/>
  <c r="EE74" i="1"/>
  <c r="BR77" i="1"/>
  <c r="DO93" i="1"/>
  <c r="EN93" i="1"/>
  <c r="CP98" i="1"/>
  <c r="EN98" i="1"/>
  <c r="CU137" i="1"/>
  <c r="BS137" i="1"/>
  <c r="DT137" i="1"/>
  <c r="GD138" i="1"/>
  <c r="EF138" i="1"/>
  <c r="CE138" i="1"/>
  <c r="EK32" i="1"/>
  <c r="BN33" i="1"/>
  <c r="EN37" i="1"/>
  <c r="CZ39" i="1"/>
  <c r="EB39" i="1"/>
  <c r="FO39" i="1"/>
  <c r="CH40" i="1"/>
  <c r="DJ40" i="1"/>
  <c r="CB41" i="1"/>
  <c r="EA44" i="1"/>
  <c r="ET45" i="1"/>
  <c r="CH45" i="1"/>
  <c r="FS45" i="1"/>
  <c r="FB47" i="1"/>
  <c r="CT49" i="1"/>
  <c r="EP49" i="1"/>
  <c r="FU50" i="1"/>
  <c r="EI50" i="1"/>
  <c r="GI51" i="1"/>
  <c r="GG53" i="1"/>
  <c r="GC53" i="1"/>
  <c r="CQ54" i="1"/>
  <c r="FB54" i="1"/>
  <c r="EF54" i="1"/>
  <c r="CH55" i="1"/>
  <c r="DD55" i="1"/>
  <c r="EZ57" i="1"/>
  <c r="CT59" i="1"/>
  <c r="CF60" i="1"/>
  <c r="CQ61" i="1"/>
  <c r="GD62" i="1"/>
  <c r="EE63" i="1"/>
  <c r="EC63" i="1"/>
  <c r="EK64" i="1"/>
  <c r="EB65" i="1"/>
  <c r="DK66" i="1"/>
  <c r="GC68" i="1"/>
  <c r="EN70" i="1"/>
  <c r="EZ72" i="1"/>
  <c r="FH73" i="1"/>
  <c r="EG74" i="1"/>
  <c r="DD77" i="1"/>
  <c r="CB77" i="1"/>
  <c r="BX80" i="1"/>
  <c r="FR81" i="1"/>
  <c r="FV82" i="1"/>
  <c r="DU86" i="1"/>
  <c r="EJ90" i="1"/>
  <c r="CI90" i="1"/>
  <c r="GC90" i="1"/>
  <c r="GA92" i="1"/>
  <c r="EO93" i="1"/>
  <c r="DP93" i="1"/>
  <c r="CB93" i="1"/>
  <c r="CD59" i="1"/>
  <c r="EB62" i="1"/>
  <c r="EG63" i="1"/>
  <c r="FY64" i="1"/>
  <c r="EO69" i="1"/>
  <c r="BV70" i="1"/>
  <c r="FI73" i="1"/>
  <c r="EV82" i="1"/>
  <c r="EV84" i="1"/>
  <c r="CY90" i="1"/>
  <c r="FV90" i="1"/>
  <c r="GI90" i="1"/>
  <c r="DQ94" i="1"/>
  <c r="CR94" i="1"/>
  <c r="CD94" i="1"/>
  <c r="DU95" i="1"/>
  <c r="FJ21" i="1"/>
  <c r="EP23" i="1"/>
  <c r="DF23" i="1"/>
  <c r="CD23" i="1"/>
  <c r="EZ23" i="1"/>
  <c r="FR24" i="1"/>
  <c r="CF24" i="1"/>
  <c r="CH24" i="1"/>
  <c r="GH24" i="1"/>
  <c r="DG25" i="1"/>
  <c r="CJ27" i="1"/>
  <c r="DD27" i="1"/>
  <c r="CJ28" i="1"/>
  <c r="EB28" i="1"/>
  <c r="FM28" i="1"/>
  <c r="BX29" i="1"/>
  <c r="FI30" i="1"/>
  <c r="CI30" i="1"/>
  <c r="GG31" i="1"/>
  <c r="GI32" i="1"/>
  <c r="DS33" i="1"/>
  <c r="DG33" i="1"/>
  <c r="DC33" i="1"/>
  <c r="EF33" i="1"/>
  <c r="EK34" i="1"/>
  <c r="DO34" i="1"/>
  <c r="CH35" i="1"/>
  <c r="ET35" i="1"/>
  <c r="CQ36" i="1"/>
  <c r="CT37" i="1"/>
  <c r="ER37" i="1"/>
  <c r="DF38" i="1"/>
  <c r="DY40" i="1"/>
  <c r="ET41" i="1"/>
  <c r="DU41" i="1"/>
  <c r="EP41" i="1"/>
  <c r="FS43" i="1"/>
  <c r="ET44" i="1"/>
  <c r="EK44" i="1"/>
  <c r="FV44" i="1"/>
  <c r="GC46" i="1"/>
  <c r="DJ47" i="1"/>
  <c r="FM47" i="1"/>
  <c r="EG49" i="1"/>
  <c r="CF49" i="1"/>
  <c r="DS49" i="1"/>
  <c r="ES49" i="1"/>
  <c r="DK50" i="1"/>
  <c r="FM51" i="1"/>
  <c r="CA51" i="1"/>
  <c r="BW51" i="1"/>
  <c r="FR52" i="1"/>
  <c r="GE52" i="1"/>
  <c r="CD54" i="1"/>
  <c r="FS55" i="1"/>
  <c r="EX56" i="1"/>
  <c r="BV57" i="1"/>
  <c r="FM57" i="1"/>
  <c r="BO58" i="1"/>
  <c r="CJ60" i="1"/>
  <c r="FF60" i="1"/>
  <c r="CU61" i="1"/>
  <c r="BV62" i="1"/>
  <c r="FE62" i="1"/>
  <c r="CH63" i="1"/>
  <c r="DH63" i="1"/>
  <c r="EP63" i="1"/>
  <c r="CP64" i="1"/>
  <c r="EX64" i="1"/>
  <c r="BN68" i="1"/>
  <c r="DB70" i="1"/>
  <c r="CZ72" i="1"/>
  <c r="BX73" i="1"/>
  <c r="GA77" i="1"/>
  <c r="EE78" i="1"/>
  <c r="BP79" i="1"/>
  <c r="BW84" i="1"/>
  <c r="CR85" i="1"/>
  <c r="CT88" i="1"/>
  <c r="CH91" i="1"/>
  <c r="DU91" i="1"/>
  <c r="DJ94" i="1"/>
  <c r="FO94" i="1"/>
  <c r="CX97" i="1"/>
  <c r="EV97" i="1"/>
  <c r="DK97" i="1"/>
  <c r="ER112" i="1"/>
  <c r="GA113" i="1"/>
  <c r="CB113" i="1"/>
  <c r="CV24" i="1"/>
  <c r="EZ29" i="1"/>
  <c r="CJ30" i="1"/>
  <c r="FW31" i="1"/>
  <c r="FO33" i="1"/>
  <c r="CV35" i="1"/>
  <c r="FH35" i="1"/>
  <c r="EX35" i="1"/>
  <c r="FF37" i="1"/>
  <c r="CU37" i="1"/>
  <c r="CB38" i="1"/>
  <c r="BS39" i="1"/>
  <c r="BN40" i="1"/>
  <c r="DC40" i="1"/>
  <c r="FH40" i="1"/>
  <c r="EX42" i="1"/>
  <c r="BP42" i="1"/>
  <c r="DW44" i="1"/>
  <c r="GH44" i="1"/>
  <c r="FY44" i="1"/>
  <c r="FY45" i="1"/>
  <c r="DU45" i="1"/>
  <c r="ER46" i="1"/>
  <c r="BV47" i="1"/>
  <c r="EN47" i="1"/>
  <c r="FA48" i="1"/>
  <c r="EI49" i="1"/>
  <c r="CP50" i="1"/>
  <c r="FN51" i="1"/>
  <c r="EP52" i="1"/>
  <c r="FD53" i="1"/>
  <c r="FH54" i="1"/>
  <c r="BZ55" i="1"/>
  <c r="BR57" i="1"/>
  <c r="EZ58" i="1"/>
  <c r="BT58" i="1"/>
  <c r="DF61" i="1"/>
  <c r="EI61" i="1"/>
  <c r="DG62" i="1"/>
  <c r="FU63" i="1"/>
  <c r="GA63" i="1"/>
  <c r="CV64" i="1"/>
  <c r="CT67" i="1"/>
  <c r="FM70" i="1"/>
  <c r="CB72" i="1"/>
  <c r="CT72" i="1"/>
  <c r="EF72" i="1"/>
  <c r="FY73" i="1"/>
  <c r="BZ73" i="1"/>
  <c r="DQ75" i="1"/>
  <c r="FW76" i="1"/>
  <c r="BX76" i="1"/>
  <c r="DT81" i="1"/>
  <c r="CU82" i="1"/>
  <c r="FF82" i="1"/>
  <c r="DB83" i="1"/>
  <c r="EF88" i="1"/>
  <c r="BX89" i="1"/>
  <c r="DX90" i="1"/>
  <c r="DW91" i="1"/>
  <c r="EV21" i="1"/>
  <c r="BS23" i="1"/>
  <c r="CF25" i="1"/>
  <c r="CX26" i="1"/>
  <c r="EN27" i="1"/>
  <c r="CT29" i="1"/>
  <c r="FS30" i="1"/>
  <c r="BT31" i="1"/>
  <c r="CX34" i="1"/>
  <c r="FS34" i="1"/>
  <c r="FI35" i="1"/>
  <c r="GG35" i="1"/>
  <c r="BZ36" i="1"/>
  <c r="DU37" i="1"/>
  <c r="GG37" i="1"/>
  <c r="CF37" i="1"/>
  <c r="FB37" i="1"/>
  <c r="EC38" i="1"/>
  <c r="FS39" i="1"/>
  <c r="ES39" i="1"/>
  <c r="CP40" i="1"/>
  <c r="DL41" i="1"/>
  <c r="CI41" i="1"/>
  <c r="DW41" i="1"/>
  <c r="BR42" i="1"/>
  <c r="FR42" i="1"/>
  <c r="EK43" i="1"/>
  <c r="FO43" i="1"/>
  <c r="DX45" i="1"/>
  <c r="EZ48" i="1"/>
  <c r="GG50" i="1"/>
  <c r="FM53" i="1"/>
  <c r="BW53" i="1"/>
  <c r="ER54" i="1"/>
  <c r="ET55" i="1"/>
  <c r="BW56" i="1"/>
  <c r="EN58" i="1"/>
  <c r="EJ58" i="1"/>
  <c r="FN58" i="1"/>
  <c r="EZ60" i="1"/>
  <c r="EA60" i="1"/>
  <c r="CI61" i="1"/>
  <c r="DK61" i="1"/>
  <c r="FO61" i="1"/>
  <c r="GE63" i="1"/>
  <c r="FO64" i="1"/>
  <c r="CX66" i="1"/>
  <c r="EX67" i="1"/>
  <c r="CP68" i="1"/>
  <c r="EN68" i="1"/>
  <c r="DK71" i="1"/>
  <c r="FI71" i="1"/>
  <c r="CI71" i="1"/>
  <c r="BX72" i="1"/>
  <c r="FZ73" i="1"/>
  <c r="BV73" i="1"/>
  <c r="FR73" i="1"/>
  <c r="EX74" i="1"/>
  <c r="FM79" i="1"/>
  <c r="EN79" i="1"/>
  <c r="DO79" i="1"/>
  <c r="DC79" i="1"/>
  <c r="EP79" i="1"/>
  <c r="DX82" i="1"/>
  <c r="FJ82" i="1"/>
  <c r="CF85" i="1"/>
  <c r="DH85" i="1"/>
  <c r="DD88" i="1"/>
  <c r="BW90" i="1"/>
  <c r="CT90" i="1"/>
  <c r="FI90" i="1"/>
  <c r="DX91" i="1"/>
  <c r="FV91" i="1"/>
  <c r="BP96" i="1"/>
  <c r="EE96" i="1"/>
  <c r="FE112" i="1"/>
  <c r="EF112" i="1"/>
  <c r="GD112" i="1"/>
  <c r="DG112" i="1"/>
  <c r="CE112" i="1"/>
  <c r="CP75" i="1"/>
  <c r="GG75" i="1"/>
  <c r="BW77" i="1"/>
  <c r="DG77" i="1"/>
  <c r="FY78" i="1"/>
  <c r="GH79" i="1"/>
  <c r="GI80" i="1"/>
  <c r="FQ82" i="1"/>
  <c r="GD83" i="1"/>
  <c r="DP84" i="1"/>
  <c r="ER85" i="1"/>
  <c r="GC85" i="1"/>
  <c r="BX86" i="1"/>
  <c r="ES89" i="1"/>
  <c r="CQ94" i="1"/>
  <c r="DD94" i="1"/>
  <c r="BV95" i="1"/>
  <c r="FQ95" i="1"/>
  <c r="GE97" i="1"/>
  <c r="FV98" i="1"/>
  <c r="CB100" i="1"/>
  <c r="FB100" i="1"/>
  <c r="EP104" i="1"/>
  <c r="CR104" i="1"/>
  <c r="GC104" i="1"/>
  <c r="CD104" i="1"/>
  <c r="BV104" i="1"/>
  <c r="BN109" i="1"/>
  <c r="BO113" i="1"/>
  <c r="FZ116" i="1"/>
  <c r="CA116" i="1"/>
  <c r="BZ120" i="1"/>
  <c r="DB120" i="1"/>
  <c r="BX122" i="1"/>
  <c r="FS128" i="1"/>
  <c r="EF131" i="1"/>
  <c r="DG131" i="1"/>
  <c r="CD146" i="1"/>
  <c r="GC146" i="1"/>
  <c r="DF146" i="1"/>
  <c r="FJ153" i="1"/>
  <c r="CT104" i="1"/>
  <c r="EP108" i="1"/>
  <c r="FW114" i="1"/>
  <c r="BX114" i="1"/>
  <c r="GA116" i="1"/>
  <c r="CB116" i="1"/>
  <c r="FN116" i="1"/>
  <c r="GA121" i="1"/>
  <c r="FY122" i="1"/>
  <c r="DY124" i="1"/>
  <c r="CY127" i="1"/>
  <c r="GA137" i="1"/>
  <c r="FB138" i="1"/>
  <c r="DD138" i="1"/>
  <c r="FV140" i="1"/>
  <c r="BW140" i="1"/>
  <c r="GH145" i="1"/>
  <c r="EJ145" i="1"/>
  <c r="EA98" i="1"/>
  <c r="EA100" i="1"/>
  <c r="CD107" i="1"/>
  <c r="ER107" i="1"/>
  <c r="CD108" i="1"/>
  <c r="CB108" i="1"/>
  <c r="DH137" i="1"/>
  <c r="FO149" i="1"/>
  <c r="CR149" i="1"/>
  <c r="CA161" i="1"/>
  <c r="FZ161" i="1"/>
  <c r="FZ97" i="1"/>
  <c r="CX103" i="1"/>
  <c r="FN103" i="1"/>
  <c r="DQ108" i="1"/>
  <c r="EO116" i="1"/>
  <c r="DB117" i="1"/>
  <c r="EA117" i="1"/>
  <c r="BZ117" i="1"/>
  <c r="GC119" i="1"/>
  <c r="BW127" i="1"/>
  <c r="GG133" i="1"/>
  <c r="EP94" i="1"/>
  <c r="GG95" i="1"/>
  <c r="DF96" i="1"/>
  <c r="DO97" i="1"/>
  <c r="GI101" i="1"/>
  <c r="CH105" i="1"/>
  <c r="BT107" i="1"/>
  <c r="CV107" i="1"/>
  <c r="DU107" i="1"/>
  <c r="BT111" i="1"/>
  <c r="DJ112" i="1"/>
  <c r="CA117" i="1"/>
  <c r="GD119" i="1"/>
  <c r="EV121" i="1"/>
  <c r="ER123" i="1"/>
  <c r="EZ131" i="1"/>
  <c r="ES133" i="1"/>
  <c r="CF133" i="1"/>
  <c r="EG133" i="1"/>
  <c r="DS138" i="1"/>
  <c r="GD143" i="1"/>
  <c r="CE143" i="1"/>
  <c r="CP97" i="1"/>
  <c r="FA97" i="1"/>
  <c r="GG97" i="1"/>
  <c r="CD103" i="1"/>
  <c r="CI104" i="1"/>
  <c r="CZ106" i="1"/>
  <c r="FH106" i="1"/>
  <c r="CU109" i="1"/>
  <c r="ES109" i="1"/>
  <c r="CA110" i="1"/>
  <c r="DK112" i="1"/>
  <c r="FI112" i="1"/>
  <c r="ER114" i="1"/>
  <c r="DS114" i="1"/>
  <c r="CE114" i="1"/>
  <c r="CB117" i="1"/>
  <c r="FB117" i="1"/>
  <c r="GA117" i="1"/>
  <c r="GE119" i="1"/>
  <c r="BV121" i="1"/>
  <c r="CX121" i="1"/>
  <c r="FB130" i="1"/>
  <c r="DB131" i="1"/>
  <c r="FY131" i="1"/>
  <c r="EB144" i="1"/>
  <c r="BZ151" i="1"/>
  <c r="EA151" i="1"/>
  <c r="DQ66" i="1"/>
  <c r="EV66" i="1"/>
  <c r="FA67" i="1"/>
  <c r="GC69" i="1"/>
  <c r="BN71" i="1"/>
  <c r="FH72" i="1"/>
  <c r="DB74" i="1"/>
  <c r="ET75" i="1"/>
  <c r="DT77" i="1"/>
  <c r="FJ77" i="1"/>
  <c r="CD80" i="1"/>
  <c r="DX81" i="1"/>
  <c r="EA83" i="1"/>
  <c r="CZ84" i="1"/>
  <c r="DD85" i="1"/>
  <c r="CX86" i="1"/>
  <c r="ER88" i="1"/>
  <c r="BO89" i="1"/>
  <c r="EI90" i="1"/>
  <c r="FS90" i="1"/>
  <c r="FE95" i="1"/>
  <c r="DU96" i="1"/>
  <c r="CI96" i="1"/>
  <c r="DP96" i="1"/>
  <c r="ER96" i="1"/>
  <c r="FY96" i="1"/>
  <c r="EC97" i="1"/>
  <c r="DP99" i="1"/>
  <c r="BX99" i="1"/>
  <c r="EO100" i="1"/>
  <c r="FY100" i="1"/>
  <c r="EB101" i="1"/>
  <c r="FZ101" i="1"/>
  <c r="ER103" i="1"/>
  <c r="FQ104" i="1"/>
  <c r="FJ106" i="1"/>
  <c r="FO108" i="1"/>
  <c r="CF109" i="1"/>
  <c r="DU112" i="1"/>
  <c r="DP113" i="1"/>
  <c r="CF114" i="1"/>
  <c r="FQ114" i="1"/>
  <c r="EW116" i="1"/>
  <c r="BW116" i="1"/>
  <c r="CJ116" i="1"/>
  <c r="GI116" i="1"/>
  <c r="EN117" i="1"/>
  <c r="EF125" i="1"/>
  <c r="DJ129" i="1"/>
  <c r="FS134" i="1"/>
  <c r="EF150" i="1"/>
  <c r="EE150" i="1"/>
  <c r="EV157" i="1"/>
  <c r="DW157" i="1"/>
  <c r="EO67" i="1"/>
  <c r="BX67" i="1"/>
  <c r="EV70" i="1"/>
  <c r="BX71" i="1"/>
  <c r="FH71" i="1"/>
  <c r="CV74" i="1"/>
  <c r="FZ75" i="1"/>
  <c r="DC76" i="1"/>
  <c r="DU76" i="1"/>
  <c r="DL81" i="1"/>
  <c r="CJ81" i="1"/>
  <c r="GE81" i="1"/>
  <c r="DD82" i="1"/>
  <c r="BV82" i="1"/>
  <c r="CD85" i="1"/>
  <c r="DL88" i="1"/>
  <c r="BP89" i="1"/>
  <c r="DH89" i="1"/>
  <c r="DJ93" i="1"/>
  <c r="DK96" i="1"/>
  <c r="EX96" i="1"/>
  <c r="DF97" i="1"/>
  <c r="GC97" i="1"/>
  <c r="CA97" i="1"/>
  <c r="CU97" i="1"/>
  <c r="EB97" i="1"/>
  <c r="FH97" i="1"/>
  <c r="DB100" i="1"/>
  <c r="DP100" i="1"/>
  <c r="GA101" i="1"/>
  <c r="CP104" i="1"/>
  <c r="BP104" i="1"/>
  <c r="DK104" i="1"/>
  <c r="DP105" i="1"/>
  <c r="EB106" i="1"/>
  <c r="FN108" i="1"/>
  <c r="CV111" i="1"/>
  <c r="EB111" i="1"/>
  <c r="FS115" i="1"/>
  <c r="FW117" i="1"/>
  <c r="CY120" i="1"/>
  <c r="DB125" i="1"/>
  <c r="EA131" i="1"/>
  <c r="FJ133" i="1"/>
  <c r="GI133" i="1"/>
  <c r="FJ134" i="1"/>
  <c r="CJ134" i="1"/>
  <c r="FY63" i="1"/>
  <c r="DU63" i="1"/>
  <c r="CV66" i="1"/>
  <c r="GG66" i="1"/>
  <c r="CA67" i="1"/>
  <c r="FB69" i="1"/>
  <c r="EA70" i="1"/>
  <c r="GG70" i="1"/>
  <c r="CJ72" i="1"/>
  <c r="EP73" i="1"/>
  <c r="DL74" i="1"/>
  <c r="ET74" i="1"/>
  <c r="GE75" i="1"/>
  <c r="BO76" i="1"/>
  <c r="CB76" i="1"/>
  <c r="CI77" i="1"/>
  <c r="FQ77" i="1"/>
  <c r="BN78" i="1"/>
  <c r="DW80" i="1"/>
  <c r="BP81" i="1"/>
  <c r="EG81" i="1"/>
  <c r="GG81" i="1"/>
  <c r="BP82" i="1"/>
  <c r="DF82" i="1"/>
  <c r="DO84" i="1"/>
  <c r="EO84" i="1"/>
  <c r="FN86" i="1"/>
  <c r="BV91" i="1"/>
  <c r="BN95" i="1"/>
  <c r="CT95" i="1"/>
  <c r="GH96" i="1"/>
  <c r="FM97" i="1"/>
  <c r="GG98" i="1"/>
  <c r="CQ100" i="1"/>
  <c r="DQ101" i="1"/>
  <c r="CY101" i="1"/>
  <c r="FJ101" i="1"/>
  <c r="EV103" i="1"/>
  <c r="DK103" i="1"/>
  <c r="GC103" i="1"/>
  <c r="BX106" i="1"/>
  <c r="CX106" i="1"/>
  <c r="EN106" i="1"/>
  <c r="FS107" i="1"/>
  <c r="BT108" i="1"/>
  <c r="BW109" i="1"/>
  <c r="DX109" i="1"/>
  <c r="GH110" i="1"/>
  <c r="EI115" i="1"/>
  <c r="CZ119" i="1"/>
  <c r="DY120" i="1"/>
  <c r="EX120" i="1"/>
  <c r="DO124" i="1"/>
  <c r="CA125" i="1"/>
  <c r="FH128" i="1"/>
  <c r="EC137" i="1"/>
  <c r="DH141" i="1"/>
  <c r="EF142" i="1"/>
  <c r="DY148" i="1"/>
  <c r="CZ148" i="1"/>
  <c r="EZ156" i="1"/>
  <c r="EP157" i="1"/>
  <c r="FM161" i="1"/>
  <c r="FR163" i="1"/>
  <c r="CU163" i="1"/>
  <c r="GG163" i="1"/>
  <c r="BO167" i="1"/>
  <c r="BO168" i="1"/>
  <c r="FA168" i="1"/>
  <c r="CB171" i="1"/>
  <c r="CA171" i="1"/>
  <c r="ES141" i="1"/>
  <c r="CU141" i="1"/>
  <c r="DT141" i="1"/>
  <c r="BS141" i="1"/>
  <c r="FR141" i="1"/>
  <c r="CE142" i="1"/>
  <c r="DF142" i="1"/>
  <c r="CT143" i="1"/>
  <c r="DK145" i="1"/>
  <c r="FS147" i="1"/>
  <c r="BO150" i="1"/>
  <c r="BN156" i="1"/>
  <c r="EJ157" i="1"/>
  <c r="DU163" i="1"/>
  <c r="EA167" i="1"/>
  <c r="EZ167" i="1"/>
  <c r="CP168" i="1"/>
  <c r="ER172" i="1"/>
  <c r="EG137" i="1"/>
  <c r="FO146" i="1"/>
  <c r="BZ159" i="1"/>
  <c r="DB159" i="1"/>
  <c r="FI163" i="1"/>
  <c r="GH163" i="1"/>
  <c r="DT163" i="1"/>
  <c r="FZ164" i="1"/>
  <c r="ET169" i="1"/>
  <c r="CV169" i="1"/>
  <c r="DG173" i="1"/>
  <c r="EF173" i="1"/>
  <c r="FE173" i="1"/>
  <c r="CE173" i="1"/>
  <c r="GA149" i="1"/>
  <c r="DC156" i="1"/>
  <c r="CA156" i="1"/>
  <c r="FA156" i="1"/>
  <c r="EB156" i="1"/>
  <c r="CH157" i="1"/>
  <c r="CD173" i="1"/>
  <c r="CF108" i="1"/>
  <c r="DJ108" i="1"/>
  <c r="ES108" i="1"/>
  <c r="FW112" i="1"/>
  <c r="FD113" i="1"/>
  <c r="EE113" i="1"/>
  <c r="FN113" i="1"/>
  <c r="GI114" i="1"/>
  <c r="GC116" i="1"/>
  <c r="CE119" i="1"/>
  <c r="DG119" i="1"/>
  <c r="FW123" i="1"/>
  <c r="CZ123" i="1"/>
  <c r="DD127" i="1"/>
  <c r="EC127" i="1"/>
  <c r="GH133" i="1"/>
  <c r="DX133" i="1"/>
  <c r="CJ135" i="1"/>
  <c r="DW135" i="1"/>
  <c r="EE140" i="1"/>
  <c r="DS149" i="1"/>
  <c r="EG163" i="1"/>
  <c r="CE165" i="1"/>
  <c r="EJ140" i="1"/>
  <c r="DT149" i="1"/>
  <c r="ES149" i="1"/>
  <c r="EG149" i="1"/>
  <c r="BO151" i="1"/>
  <c r="EO151" i="1"/>
  <c r="BP154" i="1"/>
  <c r="DU157" i="1"/>
  <c r="CQ162" i="1"/>
  <c r="BZ162" i="1"/>
  <c r="EI169" i="1"/>
  <c r="EW171" i="1"/>
  <c r="DX171" i="1"/>
  <c r="ES173" i="1"/>
  <c r="GD173" i="1"/>
  <c r="FH105" i="1"/>
  <c r="CZ107" i="1"/>
  <c r="DG111" i="1"/>
  <c r="CT112" i="1"/>
  <c r="EB112" i="1"/>
  <c r="EO113" i="1"/>
  <c r="FW113" i="1"/>
  <c r="CU115" i="1"/>
  <c r="FH115" i="1"/>
  <c r="FA117" i="1"/>
  <c r="CQ118" i="1"/>
  <c r="CR121" i="1"/>
  <c r="CE122" i="1"/>
  <c r="CP123" i="1"/>
  <c r="GI123" i="1"/>
  <c r="EB126" i="1"/>
  <c r="FQ127" i="1"/>
  <c r="CE127" i="1"/>
  <c r="CJ127" i="1"/>
  <c r="EK127" i="1"/>
  <c r="BZ132" i="1"/>
  <c r="DG138" i="1"/>
  <c r="FY138" i="1"/>
  <c r="FA139" i="1"/>
  <c r="FZ139" i="1"/>
  <c r="CT139" i="1"/>
  <c r="BR142" i="1"/>
  <c r="CP142" i="1"/>
  <c r="DL143" i="1"/>
  <c r="ET148" i="1"/>
  <c r="FB149" i="1"/>
  <c r="FH150" i="1"/>
  <c r="DH150" i="1"/>
  <c r="GD152" i="1"/>
  <c r="BW153" i="1"/>
  <c r="BZ154" i="1"/>
  <c r="EA154" i="1"/>
  <c r="DT156" i="1"/>
  <c r="CU156" i="1"/>
  <c r="EN156" i="1"/>
  <c r="FI157" i="1"/>
  <c r="DQ159" i="1"/>
  <c r="CP164" i="1"/>
  <c r="EB164" i="1"/>
  <c r="DC164" i="1"/>
  <c r="EI165" i="1"/>
  <c r="CI168" i="1"/>
  <c r="EJ169" i="1"/>
  <c r="FV171" i="1"/>
  <c r="GE173" i="1"/>
  <c r="CR174" i="1"/>
  <c r="BZ174" i="1"/>
  <c r="FR104" i="1"/>
  <c r="FI105" i="1"/>
  <c r="ET106" i="1"/>
  <c r="EX106" i="1"/>
  <c r="FV108" i="1"/>
  <c r="DT108" i="1"/>
  <c r="GC108" i="1"/>
  <c r="FH113" i="1"/>
  <c r="EP113" i="1"/>
  <c r="EG116" i="1"/>
  <c r="DC117" i="1"/>
  <c r="GC117" i="1"/>
  <c r="FU119" i="1"/>
  <c r="FH120" i="1"/>
  <c r="GG120" i="1"/>
  <c r="FE121" i="1"/>
  <c r="CQ123" i="1"/>
  <c r="CF124" i="1"/>
  <c r="DX125" i="1"/>
  <c r="FE125" i="1"/>
  <c r="FQ126" i="1"/>
  <c r="CA126" i="1"/>
  <c r="DL127" i="1"/>
  <c r="FH131" i="1"/>
  <c r="EI134" i="1"/>
  <c r="ER138" i="1"/>
  <c r="EC139" i="1"/>
  <c r="GA139" i="1"/>
  <c r="DF140" i="1"/>
  <c r="BT142" i="1"/>
  <c r="EE145" i="1"/>
  <c r="CI150" i="1"/>
  <c r="ES150" i="1"/>
  <c r="EZ151" i="1"/>
  <c r="GC152" i="1"/>
  <c r="BX153" i="1"/>
  <c r="EK153" i="1"/>
  <c r="CP154" i="1"/>
  <c r="FZ156" i="1"/>
  <c r="DO157" i="1"/>
  <c r="EN157" i="1"/>
  <c r="CR157" i="1"/>
  <c r="ES160" i="1"/>
  <c r="CU160" i="1"/>
  <c r="BS160" i="1"/>
  <c r="ET163" i="1"/>
  <c r="CQ164" i="1"/>
  <c r="FN164" i="1"/>
  <c r="DD164" i="1"/>
  <c r="CB164" i="1"/>
  <c r="EK169" i="1"/>
  <c r="EA99" i="1"/>
  <c r="FM99" i="1"/>
  <c r="FW104" i="1"/>
  <c r="DK105" i="1"/>
  <c r="EJ105" i="1"/>
  <c r="FD108" i="1"/>
  <c r="CT109" i="1"/>
  <c r="CH110" i="1"/>
  <c r="ET111" i="1"/>
  <c r="CR112" i="1"/>
  <c r="DJ113" i="1"/>
  <c r="CA115" i="1"/>
  <c r="BV115" i="1"/>
  <c r="EK116" i="1"/>
  <c r="GD118" i="1"/>
  <c r="DG118" i="1"/>
  <c r="DX119" i="1"/>
  <c r="EE121" i="1"/>
  <c r="GC122" i="1"/>
  <c r="BP123" i="1"/>
  <c r="EJ123" i="1"/>
  <c r="DG124" i="1"/>
  <c r="BP125" i="1"/>
  <c r="EA125" i="1"/>
  <c r="FJ125" i="1"/>
  <c r="EP128" i="1"/>
  <c r="EF129" i="1"/>
  <c r="DG129" i="1"/>
  <c r="FZ136" i="1"/>
  <c r="EB136" i="1"/>
  <c r="DC136" i="1"/>
  <c r="EN136" i="1"/>
  <c r="CP137" i="1"/>
  <c r="DF139" i="1"/>
  <c r="DK140" i="1"/>
  <c r="GE141" i="1"/>
  <c r="DD142" i="1"/>
  <c r="FB142" i="1"/>
  <c r="DQ146" i="1"/>
  <c r="EK148" i="1"/>
  <c r="FJ148" i="1"/>
  <c r="CX148" i="1"/>
  <c r="FH149" i="1"/>
  <c r="DK150" i="1"/>
  <c r="GE152" i="1"/>
  <c r="EP153" i="1"/>
  <c r="GA153" i="1"/>
  <c r="CQ154" i="1"/>
  <c r="FN154" i="1"/>
  <c r="CB154" i="1"/>
  <c r="EV156" i="1"/>
  <c r="FU156" i="1"/>
  <c r="DO156" i="1"/>
  <c r="FM157" i="1"/>
  <c r="DJ161" i="1"/>
  <c r="DJ163" i="1"/>
  <c r="ES163" i="1"/>
  <c r="DT173" i="1"/>
  <c r="FF173" i="1"/>
  <c r="CF174" i="1"/>
  <c r="FQ130" i="1"/>
  <c r="DY131" i="1"/>
  <c r="DY132" i="1"/>
  <c r="BO132" i="1"/>
  <c r="GG132" i="1"/>
  <c r="ER133" i="1"/>
  <c r="ET135" i="1"/>
  <c r="BZ136" i="1"/>
  <c r="FO138" i="1"/>
  <c r="DC138" i="1"/>
  <c r="DJ139" i="1"/>
  <c r="GG139" i="1"/>
  <c r="FE140" i="1"/>
  <c r="FJ140" i="1"/>
  <c r="CE141" i="1"/>
  <c r="DB145" i="1"/>
  <c r="FJ146" i="1"/>
  <c r="CQ147" i="1"/>
  <c r="GI147" i="1"/>
  <c r="DS148" i="1"/>
  <c r="DG148" i="1"/>
  <c r="EW148" i="1"/>
  <c r="GA148" i="1"/>
  <c r="FM149" i="1"/>
  <c r="EC149" i="1"/>
  <c r="CF158" i="1"/>
  <c r="GI159" i="1"/>
  <c r="EX159" i="1"/>
  <c r="BN161" i="1"/>
  <c r="EC161" i="1"/>
  <c r="DS162" i="1"/>
  <c r="FB162" i="1"/>
  <c r="EI163" i="1"/>
  <c r="FS163" i="1"/>
  <c r="FW164" i="1"/>
  <c r="EK165" i="1"/>
  <c r="DX167" i="1"/>
  <c r="FY168" i="1"/>
  <c r="BV170" i="1"/>
  <c r="BX174" i="1"/>
  <c r="FM126" i="1"/>
  <c r="BR129" i="1"/>
  <c r="CR130" i="1"/>
  <c r="EF130" i="1"/>
  <c r="FE130" i="1"/>
  <c r="FR132" i="1"/>
  <c r="CF132" i="1"/>
  <c r="FO134" i="1"/>
  <c r="CP136" i="1"/>
  <c r="CF139" i="1"/>
  <c r="EG139" i="1"/>
  <c r="BT140" i="1"/>
  <c r="GA140" i="1"/>
  <c r="DJ142" i="1"/>
  <c r="DQ143" i="1"/>
  <c r="ER143" i="1"/>
  <c r="GC143" i="1"/>
  <c r="FA145" i="1"/>
  <c r="DG146" i="1"/>
  <c r="CX147" i="1"/>
  <c r="EF148" i="1"/>
  <c r="CI149" i="1"/>
  <c r="EO150" i="1"/>
  <c r="GI150" i="1"/>
  <c r="BP151" i="1"/>
  <c r="FH152" i="1"/>
  <c r="BS153" i="1"/>
  <c r="GI153" i="1"/>
  <c r="EB158" i="1"/>
  <c r="FS159" i="1"/>
  <c r="CZ160" i="1"/>
  <c r="FB161" i="1"/>
  <c r="FY162" i="1"/>
  <c r="EA164" i="1"/>
  <c r="FJ164" i="1"/>
  <c r="GI166" i="1"/>
  <c r="DF167" i="1"/>
  <c r="FU169" i="1"/>
  <c r="DL172" i="1"/>
  <c r="ET173" i="1"/>
  <c r="ER128" i="1"/>
  <c r="FB129" i="1"/>
  <c r="CI131" i="1"/>
  <c r="FM133" i="1"/>
  <c r="BS133" i="1"/>
  <c r="CT134" i="1"/>
  <c r="BP135" i="1"/>
  <c r="FD135" i="1"/>
  <c r="FF138" i="1"/>
  <c r="CH139" i="1"/>
  <c r="BX140" i="1"/>
  <c r="EP141" i="1"/>
  <c r="FJ141" i="1"/>
  <c r="GA142" i="1"/>
  <c r="DS143" i="1"/>
  <c r="EG144" i="1"/>
  <c r="EP146" i="1"/>
  <c r="CP148" i="1"/>
  <c r="BV148" i="1"/>
  <c r="EJ148" i="1"/>
  <c r="GC150" i="1"/>
  <c r="CY150" i="1"/>
  <c r="FE151" i="1"/>
  <c r="DL153" i="1"/>
  <c r="FB153" i="1"/>
  <c r="FS154" i="1"/>
  <c r="DF156" i="1"/>
  <c r="EO157" i="1"/>
  <c r="CJ159" i="1"/>
  <c r="FR159" i="1"/>
  <c r="DO161" i="1"/>
  <c r="CV163" i="1"/>
  <c r="FM164" i="1"/>
  <c r="CU165" i="1"/>
  <c r="CF165" i="1"/>
  <c r="BN166" i="1"/>
  <c r="DL166" i="1"/>
  <c r="FB167" i="1"/>
  <c r="FF168" i="1"/>
  <c r="CX170" i="1"/>
  <c r="BT171" i="1"/>
  <c r="BX172" i="1"/>
  <c r="CV172" i="1"/>
  <c r="BV173" i="1"/>
  <c r="BT174" i="1"/>
  <c r="EN174" i="1"/>
  <c r="CE128" i="1"/>
  <c r="CR129" i="1"/>
  <c r="FA129" i="1"/>
  <c r="CE130" i="1"/>
  <c r="DH130" i="1"/>
  <c r="EJ130" i="1"/>
  <c r="BV131" i="1"/>
  <c r="DJ131" i="1"/>
  <c r="DO132" i="1"/>
  <c r="EX132" i="1"/>
  <c r="BV133" i="1"/>
  <c r="FW135" i="1"/>
  <c r="EW137" i="1"/>
  <c r="FV137" i="1"/>
  <c r="CT138" i="1"/>
  <c r="DY140" i="1"/>
  <c r="GI140" i="1"/>
  <c r="FI142" i="1"/>
  <c r="DU142" i="1"/>
  <c r="GD142" i="1"/>
  <c r="DP147" i="1"/>
  <c r="GG149" i="1"/>
  <c r="FD150" i="1"/>
  <c r="EG151" i="1"/>
  <c r="GD151" i="1"/>
  <c r="DP153" i="1"/>
  <c r="CF154" i="1"/>
  <c r="FH155" i="1"/>
  <c r="BT157" i="1"/>
  <c r="ES159" i="1"/>
  <c r="FW159" i="1"/>
  <c r="ER162" i="1"/>
  <c r="FM163" i="1"/>
  <c r="FH163" i="1"/>
  <c r="CJ165" i="1"/>
  <c r="EN166" i="1"/>
  <c r="DD168" i="1"/>
  <c r="FN172" i="1"/>
  <c r="FU174" i="1"/>
  <c r="DH174" i="1"/>
  <c r="GA8" i="1"/>
  <c r="FB8" i="1"/>
  <c r="FI12" i="1"/>
  <c r="FY32" i="1"/>
  <c r="EA32" i="1"/>
  <c r="GG38" i="1"/>
  <c r="CH38" i="1"/>
  <c r="CB40" i="1"/>
  <c r="EC40" i="1"/>
  <c r="GA40" i="1"/>
  <c r="DS45" i="1"/>
  <c r="ER45" i="1"/>
  <c r="DJ57" i="1"/>
  <c r="FH57" i="1"/>
  <c r="GA2" i="1"/>
  <c r="BR2" i="1"/>
  <c r="CA3" i="1"/>
  <c r="EG4" i="1"/>
  <c r="FD4" i="1"/>
  <c r="GE4" i="1"/>
  <c r="FO5" i="1"/>
  <c r="EC5" i="1"/>
  <c r="GH5" i="1"/>
  <c r="FQ6" i="1"/>
  <c r="CE6" i="1"/>
  <c r="GD6" i="1"/>
  <c r="BZ6" i="1"/>
  <c r="CR6" i="1"/>
  <c r="DK6" i="1"/>
  <c r="EV6" i="1"/>
  <c r="FW7" i="1"/>
  <c r="CJ7" i="1"/>
  <c r="EE8" i="1"/>
  <c r="DO10" i="1"/>
  <c r="FZ10" i="1"/>
  <c r="BT11" i="1"/>
  <c r="FB11" i="1"/>
  <c r="CX12" i="1"/>
  <c r="FJ12" i="1"/>
  <c r="CF13" i="1"/>
  <c r="EG13" i="1"/>
  <c r="CA13" i="1"/>
  <c r="DB16" i="1"/>
  <c r="FW17" i="1"/>
  <c r="CD17" i="1"/>
  <c r="CP17" i="1"/>
  <c r="EF19" i="1"/>
  <c r="FD19" i="1"/>
  <c r="GC19" i="1"/>
  <c r="CH20" i="1"/>
  <c r="CR21" i="1"/>
  <c r="DF21" i="1"/>
  <c r="FQ21" i="1"/>
  <c r="DF24" i="1"/>
  <c r="CT25" i="1"/>
  <c r="EJ26" i="1"/>
  <c r="EC28" i="1"/>
  <c r="GA28" i="1"/>
  <c r="DK29" i="1"/>
  <c r="CI29" i="1"/>
  <c r="EO29" i="1"/>
  <c r="FA32" i="1"/>
  <c r="FZ32" i="1"/>
  <c r="EB32" i="1"/>
  <c r="DC32" i="1"/>
  <c r="CA32" i="1"/>
  <c r="DJ34" i="1"/>
  <c r="DO35" i="1"/>
  <c r="CP35" i="1"/>
  <c r="EV35" i="1"/>
  <c r="CI37" i="1"/>
  <c r="CZ37" i="1"/>
  <c r="DW38" i="1"/>
  <c r="CX38" i="1"/>
  <c r="FI38" i="1"/>
  <c r="CI38" i="1"/>
  <c r="EJ38" i="1"/>
  <c r="CR40" i="1"/>
  <c r="DX42" i="1"/>
  <c r="FV42" i="1"/>
  <c r="BW42" i="1"/>
  <c r="BP43" i="1"/>
  <c r="DQ43" i="1"/>
  <c r="CD43" i="1"/>
  <c r="EE43" i="1"/>
  <c r="EP43" i="1"/>
  <c r="ES45" i="1"/>
  <c r="DT45" i="1"/>
  <c r="FF45" i="1"/>
  <c r="CF45" i="1"/>
  <c r="FB48" i="1"/>
  <c r="CB48" i="1"/>
  <c r="BO64" i="1"/>
  <c r="CQ64" i="1"/>
  <c r="FN64" i="1"/>
  <c r="DP64" i="1"/>
  <c r="FB64" i="1"/>
  <c r="CB64" i="1"/>
  <c r="CR64" i="1"/>
  <c r="DQ88" i="1"/>
  <c r="EP88" i="1"/>
  <c r="DF88" i="1"/>
  <c r="CD88" i="1"/>
  <c r="BS90" i="1"/>
  <c r="CU90" i="1"/>
  <c r="FR90" i="1"/>
  <c r="DT90" i="1"/>
  <c r="ES90" i="1"/>
  <c r="DX7" i="1"/>
  <c r="EZ11" i="1"/>
  <c r="DC18" i="1"/>
  <c r="FA18" i="1"/>
  <c r="EB18" i="1"/>
  <c r="GI33" i="1"/>
  <c r="DL33" i="1"/>
  <c r="FS38" i="1"/>
  <c r="CV38" i="1"/>
  <c r="DP40" i="1"/>
  <c r="CQ40" i="1"/>
  <c r="FN40" i="1"/>
  <c r="EO40" i="1"/>
  <c r="FJ2" i="1"/>
  <c r="EC3" i="1"/>
  <c r="CQ4" i="1"/>
  <c r="BR5" i="1"/>
  <c r="BS6" i="1"/>
  <c r="DT6" i="1"/>
  <c r="FY7" i="1"/>
  <c r="DH7" i="1"/>
  <c r="BT9" i="1"/>
  <c r="FM9" i="1"/>
  <c r="BT10" i="1"/>
  <c r="CI11" i="1"/>
  <c r="EJ11" i="1"/>
  <c r="FY11" i="1"/>
  <c r="CI12" i="1"/>
  <c r="CZ12" i="1"/>
  <c r="DF14" i="1"/>
  <c r="EE14" i="1"/>
  <c r="GC14" i="1"/>
  <c r="BN16" i="1"/>
  <c r="CR17" i="1"/>
  <c r="EF17" i="1"/>
  <c r="GD17" i="1"/>
  <c r="EE18" i="1"/>
  <c r="FM18" i="1"/>
  <c r="EG19" i="1"/>
  <c r="EZ20" i="1"/>
  <c r="BT21" i="1"/>
  <c r="CV21" i="1"/>
  <c r="BZ23" i="1"/>
  <c r="FJ24" i="1"/>
  <c r="DJ26" i="1"/>
  <c r="FO28" i="1"/>
  <c r="BP28" i="1"/>
  <c r="FD28" i="1"/>
  <c r="GC28" i="1"/>
  <c r="EE28" i="1"/>
  <c r="CD28" i="1"/>
  <c r="BZ28" i="1"/>
  <c r="CJ29" i="1"/>
  <c r="EO35" i="1"/>
  <c r="DP35" i="1"/>
  <c r="CQ35" i="1"/>
  <c r="FB35" i="1"/>
  <c r="CB35" i="1"/>
  <c r="GA35" i="1"/>
  <c r="BR35" i="1"/>
  <c r="FU37" i="1"/>
  <c r="DS40" i="1"/>
  <c r="FQ40" i="1"/>
  <c r="FB40" i="1"/>
  <c r="EF43" i="1"/>
  <c r="CE43" i="1"/>
  <c r="CZ44" i="1"/>
  <c r="FW44" i="1"/>
  <c r="EK50" i="1"/>
  <c r="BN52" i="1"/>
  <c r="EN52" i="1"/>
  <c r="DC52" i="1"/>
  <c r="EB52" i="1"/>
  <c r="FZ52" i="1"/>
  <c r="CA52" i="1"/>
  <c r="CJ57" i="1"/>
  <c r="FJ57" i="1"/>
  <c r="FV57" i="1"/>
  <c r="DY58" i="1"/>
  <c r="EX58" i="1"/>
  <c r="CP58" i="1"/>
  <c r="CY58" i="1"/>
  <c r="DO63" i="1"/>
  <c r="FM63" i="1"/>
  <c r="EN63" i="1"/>
  <c r="CP63" i="1"/>
  <c r="DC63" i="1"/>
  <c r="FZ63" i="1"/>
  <c r="CA63" i="1"/>
  <c r="GC64" i="1"/>
  <c r="FD64" i="1"/>
  <c r="EE64" i="1"/>
  <c r="DF64" i="1"/>
  <c r="BX68" i="1"/>
  <c r="EX68" i="1"/>
  <c r="CQ70" i="1"/>
  <c r="FN70" i="1"/>
  <c r="EE80" i="1"/>
  <c r="EG80" i="1"/>
  <c r="FW83" i="1"/>
  <c r="CZ83" i="1"/>
  <c r="BX139" i="1"/>
  <c r="DY139" i="1"/>
  <c r="BS140" i="1"/>
  <c r="CU140" i="1"/>
  <c r="DT140" i="1"/>
  <c r="ES140" i="1"/>
  <c r="FF140" i="1"/>
  <c r="DH140" i="1"/>
  <c r="FR4" i="1"/>
  <c r="DT4" i="1"/>
  <c r="CR4" i="1"/>
  <c r="DP5" i="1"/>
  <c r="BR7" i="1"/>
  <c r="DO11" i="1"/>
  <c r="EV12" i="1"/>
  <c r="CD14" i="1"/>
  <c r="DG14" i="1"/>
  <c r="GD14" i="1"/>
  <c r="DF15" i="1"/>
  <c r="EC16" i="1"/>
  <c r="GA16" i="1"/>
  <c r="BX18" i="1"/>
  <c r="EN18" i="1"/>
  <c r="BS19" i="1"/>
  <c r="CR19" i="1"/>
  <c r="GC20" i="1"/>
  <c r="BT20" i="1"/>
  <c r="FD20" i="1"/>
  <c r="CT21" i="1"/>
  <c r="DJ21" i="1"/>
  <c r="FB21" i="1"/>
  <c r="FE23" i="1"/>
  <c r="CA23" i="1"/>
  <c r="DK26" i="1"/>
  <c r="CT28" i="1"/>
  <c r="GI30" i="1"/>
  <c r="EF31" i="1"/>
  <c r="DQ33" i="1"/>
  <c r="GC36" i="1"/>
  <c r="CD36" i="1"/>
  <c r="DB37" i="1"/>
  <c r="FY37" i="1"/>
  <c r="FV37" i="1"/>
  <c r="BS40" i="1"/>
  <c r="ES40" i="1"/>
  <c r="DT40" i="1"/>
  <c r="CU40" i="1"/>
  <c r="DB42" i="1"/>
  <c r="EZ42" i="1"/>
  <c r="FY42" i="1"/>
  <c r="BZ42" i="1"/>
  <c r="EA42" i="1"/>
  <c r="CU43" i="1"/>
  <c r="DT43" i="1"/>
  <c r="FR43" i="1"/>
  <c r="FU44" i="1"/>
  <c r="FN48" i="1"/>
  <c r="EK49" i="1"/>
  <c r="CJ49" i="1"/>
  <c r="DD52" i="1"/>
  <c r="CB52" i="1"/>
  <c r="DK54" i="1"/>
  <c r="DJ54" i="1"/>
  <c r="CQ58" i="1"/>
  <c r="EF64" i="1"/>
  <c r="DG64" i="1"/>
  <c r="GD64" i="1"/>
  <c r="CE64" i="1"/>
  <c r="FY68" i="1"/>
  <c r="BZ68" i="1"/>
  <c r="EZ68" i="1"/>
  <c r="BP68" i="1"/>
  <c r="DG75" i="1"/>
  <c r="EF75" i="1"/>
  <c r="GD75" i="1"/>
  <c r="FE75" i="1"/>
  <c r="CE75" i="1"/>
  <c r="FQ157" i="1"/>
  <c r="ER157" i="1"/>
  <c r="FE157" i="1"/>
  <c r="EF157" i="1"/>
  <c r="CE157" i="1"/>
  <c r="GD157" i="1"/>
  <c r="DG157" i="1"/>
  <c r="CQ5" i="1"/>
  <c r="CX10" i="1"/>
  <c r="EN10" i="1"/>
  <c r="EP11" i="1"/>
  <c r="FZ11" i="1"/>
  <c r="CR14" i="1"/>
  <c r="EK2" i="1"/>
  <c r="FW3" i="1"/>
  <c r="EX3" i="1"/>
  <c r="FM3" i="1"/>
  <c r="CR5" i="1"/>
  <c r="BV6" i="1"/>
  <c r="CU6" i="1"/>
  <c r="EF6" i="1"/>
  <c r="EK10" i="1"/>
  <c r="GI10" i="1"/>
  <c r="DX12" i="1"/>
  <c r="EI15" i="1"/>
  <c r="EI16" i="1"/>
  <c r="DK19" i="1"/>
  <c r="DD20" i="1"/>
  <c r="DK21" i="1"/>
  <c r="BT22" i="1"/>
  <c r="FA27" i="1"/>
  <c r="FZ27" i="1"/>
  <c r="CA27" i="1"/>
  <c r="DT31" i="1"/>
  <c r="BS31" i="1"/>
  <c r="ES31" i="1"/>
  <c r="EW37" i="1"/>
  <c r="DJ38" i="1"/>
  <c r="BR39" i="1"/>
  <c r="FQ39" i="1"/>
  <c r="FM42" i="1"/>
  <c r="BX49" i="1"/>
  <c r="FW49" i="1"/>
  <c r="FY57" i="1"/>
  <c r="CA58" i="1"/>
  <c r="FA58" i="1"/>
  <c r="FZ58" i="1"/>
  <c r="DF60" i="1"/>
  <c r="FA63" i="1"/>
  <c r="CD64" i="1"/>
  <c r="CF64" i="1"/>
  <c r="DC68" i="1"/>
  <c r="CA68" i="1"/>
  <c r="EB68" i="1"/>
  <c r="FF72" i="1"/>
  <c r="FS80" i="1"/>
  <c r="ET80" i="1"/>
  <c r="CV80" i="1"/>
  <c r="FH80" i="1"/>
  <c r="GG80" i="1"/>
  <c r="EI80" i="1"/>
  <c r="DY81" i="1"/>
  <c r="FU92" i="1"/>
  <c r="EV92" i="1"/>
  <c r="DW92" i="1"/>
  <c r="CI92" i="1"/>
  <c r="GH92" i="1"/>
  <c r="EJ92" i="1"/>
  <c r="DK92" i="1"/>
  <c r="FB4" i="1"/>
  <c r="CY7" i="1"/>
  <c r="FA19" i="1"/>
  <c r="EV3" i="1"/>
  <c r="CB3" i="1"/>
  <c r="ER2" i="1"/>
  <c r="GD2" i="1"/>
  <c r="FE2" i="1"/>
  <c r="EJ2" i="1"/>
  <c r="FV3" i="1"/>
  <c r="CD4" i="1"/>
  <c r="EF4" i="1"/>
  <c r="BW5" i="1"/>
  <c r="EF5" i="1"/>
  <c r="BT6" i="1"/>
  <c r="DJ6" i="1"/>
  <c r="CT6" i="1"/>
  <c r="EE6" i="1"/>
  <c r="DF7" i="1"/>
  <c r="EF7" i="1"/>
  <c r="FJ7" i="1"/>
  <c r="DO9" i="1"/>
  <c r="BP12" i="1"/>
  <c r="DL2" i="1"/>
  <c r="BN3" i="1"/>
  <c r="DL3" i="1"/>
  <c r="CE4" i="1"/>
  <c r="CT4" i="1"/>
  <c r="DP4" i="1"/>
  <c r="BZ5" i="1"/>
  <c r="DQ5" i="1"/>
  <c r="FQ5" i="1"/>
  <c r="CH6" i="1"/>
  <c r="BO7" i="1"/>
  <c r="DD7" i="1"/>
  <c r="GG8" i="1"/>
  <c r="CU8" i="1"/>
  <c r="ES8" i="1"/>
  <c r="DP9" i="1"/>
  <c r="EO9" i="1"/>
  <c r="EW10" i="1"/>
  <c r="FV10" i="1"/>
  <c r="DB11" i="1"/>
  <c r="CA12" i="1"/>
  <c r="BR12" i="1"/>
  <c r="DB12" i="1"/>
  <c r="EW12" i="1"/>
  <c r="FM13" i="1"/>
  <c r="CE14" i="1"/>
  <c r="ER15" i="1"/>
  <c r="DG15" i="1"/>
  <c r="FE15" i="1"/>
  <c r="CQ16" i="1"/>
  <c r="DK16" i="1"/>
  <c r="CZ18" i="1"/>
  <c r="DG18" i="1"/>
  <c r="FQ18" i="1"/>
  <c r="CF19" i="1"/>
  <c r="DQ20" i="1"/>
  <c r="FY20" i="1"/>
  <c r="CH21" i="1"/>
  <c r="EC21" i="1"/>
  <c r="EZ22" i="1"/>
  <c r="EG23" i="1"/>
  <c r="FF23" i="1"/>
  <c r="DQ24" i="1"/>
  <c r="BW25" i="1"/>
  <c r="DL25" i="1"/>
  <c r="CJ25" i="1"/>
  <c r="GD25" i="1"/>
  <c r="CA26" i="1"/>
  <c r="FM27" i="1"/>
  <c r="BP27" i="1"/>
  <c r="DF27" i="1"/>
  <c r="EX30" i="1"/>
  <c r="FW30" i="1"/>
  <c r="FF31" i="1"/>
  <c r="BW33" i="1"/>
  <c r="ER33" i="1"/>
  <c r="EA35" i="1"/>
  <c r="GI35" i="1"/>
  <c r="ER36" i="1"/>
  <c r="FQ36" i="1"/>
  <c r="DG36" i="1"/>
  <c r="CE36" i="1"/>
  <c r="GD36" i="1"/>
  <c r="CT36" i="1"/>
  <c r="FZ37" i="1"/>
  <c r="DC37" i="1"/>
  <c r="GH38" i="1"/>
  <c r="FE39" i="1"/>
  <c r="EF39" i="1"/>
  <c r="CE39" i="1"/>
  <c r="FM39" i="1"/>
  <c r="EE40" i="1"/>
  <c r="FD40" i="1"/>
  <c r="BN42" i="1"/>
  <c r="CP42" i="1"/>
  <c r="DC42" i="1"/>
  <c r="EB42" i="1"/>
  <c r="FZ42" i="1"/>
  <c r="CA42" i="1"/>
  <c r="FA42" i="1"/>
  <c r="FS2" i="1"/>
  <c r="CB2" i="1"/>
  <c r="CV2" i="1"/>
  <c r="EO3" i="1"/>
  <c r="CF4" i="1"/>
  <c r="FS4" i="1"/>
  <c r="EN5" i="1"/>
  <c r="FV6" i="1"/>
  <c r="EJ6" i="1"/>
  <c r="FF6" i="1"/>
  <c r="BX7" i="1"/>
  <c r="CZ7" i="1"/>
  <c r="FN7" i="1"/>
  <c r="FU8" i="1"/>
  <c r="CI8" i="1"/>
  <c r="CB8" i="1"/>
  <c r="CV8" i="1"/>
  <c r="DY8" i="1"/>
  <c r="DY9" i="1"/>
  <c r="BP9" i="1"/>
  <c r="CQ9" i="1"/>
  <c r="DY10" i="1"/>
  <c r="BP10" i="1"/>
  <c r="FN10" i="1"/>
  <c r="GE11" i="1"/>
  <c r="DC11" i="1"/>
  <c r="ES11" i="1"/>
  <c r="EZ12" i="1"/>
  <c r="FW13" i="1"/>
  <c r="CT14" i="1"/>
  <c r="DQ14" i="1"/>
  <c r="FO14" i="1"/>
  <c r="BS15" i="1"/>
  <c r="DT15" i="1"/>
  <c r="CR15" i="1"/>
  <c r="DJ15" i="1"/>
  <c r="GG15" i="1"/>
  <c r="BR16" i="1"/>
  <c r="CR16" i="1"/>
  <c r="EJ16" i="1"/>
  <c r="FH16" i="1"/>
  <c r="GG16" i="1"/>
  <c r="BP17" i="1"/>
  <c r="BT17" i="1"/>
  <c r="DS17" i="1"/>
  <c r="FO17" i="1"/>
  <c r="CH18" i="1"/>
  <c r="CP18" i="1"/>
  <c r="DJ18" i="1"/>
  <c r="ER18" i="1"/>
  <c r="FR18" i="1"/>
  <c r="FS19" i="1"/>
  <c r="CH19" i="1"/>
  <c r="EN19" i="1"/>
  <c r="EG20" i="1"/>
  <c r="DB20" i="1"/>
  <c r="EP20" i="1"/>
  <c r="CI21" i="1"/>
  <c r="FM22" i="1"/>
  <c r="BN22" i="1"/>
  <c r="FA22" i="1"/>
  <c r="CA22" i="1"/>
  <c r="FZ22" i="1"/>
  <c r="BS22" i="1"/>
  <c r="ER23" i="1"/>
  <c r="CA24" i="1"/>
  <c r="CP24" i="1"/>
  <c r="DO24" i="1"/>
  <c r="EX25" i="1"/>
  <c r="DY25" i="1"/>
  <c r="BX25" i="1"/>
  <c r="CI25" i="1"/>
  <c r="DB25" i="1"/>
  <c r="EZ25" i="1"/>
  <c r="CB26" i="1"/>
  <c r="FB27" i="1"/>
  <c r="BT28" i="1"/>
  <c r="DJ28" i="1"/>
  <c r="DF28" i="1"/>
  <c r="EP28" i="1"/>
  <c r="BN30" i="1"/>
  <c r="DB35" i="1"/>
  <c r="BS36" i="1"/>
  <c r="FR36" i="1"/>
  <c r="GE36" i="1"/>
  <c r="EA37" i="1"/>
  <c r="DK38" i="1"/>
  <c r="EI38" i="1"/>
  <c r="EG39" i="1"/>
  <c r="FF39" i="1"/>
  <c r="DH39" i="1"/>
  <c r="CF39" i="1"/>
  <c r="FJ41" i="1"/>
  <c r="GA42" i="1"/>
  <c r="CB42" i="1"/>
  <c r="EC42" i="1"/>
  <c r="EN42" i="1"/>
  <c r="DJ45" i="1"/>
  <c r="EK45" i="1"/>
  <c r="BV46" i="1"/>
  <c r="CX46" i="1"/>
  <c r="DK46" i="1"/>
  <c r="CI46" i="1"/>
  <c r="GH46" i="1"/>
  <c r="FI46" i="1"/>
  <c r="EJ46" i="1"/>
  <c r="CJ46" i="1"/>
  <c r="FE47" i="1"/>
  <c r="DG47" i="1"/>
  <c r="BN49" i="1"/>
  <c r="CV50" i="1"/>
  <c r="DD51" i="1"/>
  <c r="CB51" i="1"/>
  <c r="BX51" i="1"/>
  <c r="FM52" i="1"/>
  <c r="BX54" i="1"/>
  <c r="EW56" i="1"/>
  <c r="EV56" i="1"/>
  <c r="DD58" i="1"/>
  <c r="FB58" i="1"/>
  <c r="CB58" i="1"/>
  <c r="GA58" i="1"/>
  <c r="BX58" i="1"/>
  <c r="DJ60" i="1"/>
  <c r="EI60" i="1"/>
  <c r="EK61" i="1"/>
  <c r="DL61" i="1"/>
  <c r="EB63" i="1"/>
  <c r="BP66" i="1"/>
  <c r="BN66" i="1"/>
  <c r="EX69" i="1"/>
  <c r="ET72" i="1"/>
  <c r="BT72" i="1"/>
  <c r="FJ74" i="1"/>
  <c r="FH74" i="1"/>
  <c r="FM77" i="1"/>
  <c r="EN77" i="1"/>
  <c r="BN77" i="1"/>
  <c r="CA77" i="1"/>
  <c r="FZ77" i="1"/>
  <c r="FB89" i="1"/>
  <c r="BX91" i="1"/>
  <c r="FV4" i="1"/>
  <c r="DL5" i="1"/>
  <c r="CD12" i="1"/>
  <c r="FH15" i="1"/>
  <c r="CH15" i="1"/>
  <c r="CE17" i="1"/>
  <c r="ER17" i="1"/>
  <c r="CA18" i="1"/>
  <c r="DO18" i="1"/>
  <c r="CI19" i="1"/>
  <c r="GH19" i="1"/>
  <c r="CX19" i="1"/>
  <c r="FM19" i="1"/>
  <c r="EZ21" i="1"/>
  <c r="FY21" i="1"/>
  <c r="DB21" i="1"/>
  <c r="BR21" i="1"/>
  <c r="CX21" i="1"/>
  <c r="CQ24" i="1"/>
  <c r="EP26" i="1"/>
  <c r="DQ26" i="1"/>
  <c r="GC27" i="1"/>
  <c r="CD27" i="1"/>
  <c r="EE27" i="1"/>
  <c r="DW28" i="1"/>
  <c r="CX28" i="1"/>
  <c r="EV28" i="1"/>
  <c r="FZ30" i="1"/>
  <c r="CA30" i="1"/>
  <c r="BV31" i="1"/>
  <c r="DW31" i="1"/>
  <c r="CI31" i="1"/>
  <c r="DK31" i="1"/>
  <c r="GH31" i="1"/>
  <c r="EJ31" i="1"/>
  <c r="FQ33" i="1"/>
  <c r="BR33" i="1"/>
  <c r="BO34" i="1"/>
  <c r="DP34" i="1"/>
  <c r="FN35" i="1"/>
  <c r="FS36" i="1"/>
  <c r="ET36" i="1"/>
  <c r="DF43" i="1"/>
  <c r="CX44" i="1"/>
  <c r="EV44" i="1"/>
  <c r="FV46" i="1"/>
  <c r="BW46" i="1"/>
  <c r="EK46" i="1"/>
  <c r="DL46" i="1"/>
  <c r="FJ46" i="1"/>
  <c r="BP51" i="1"/>
  <c r="CR51" i="1"/>
  <c r="GH53" i="1"/>
  <c r="EJ53" i="1"/>
  <c r="DK53" i="1"/>
  <c r="EZ54" i="1"/>
  <c r="BZ54" i="1"/>
  <c r="FA55" i="1"/>
  <c r="CA55" i="1"/>
  <c r="FU59" i="1"/>
  <c r="CX59" i="1"/>
  <c r="FI59" i="1"/>
  <c r="CI59" i="1"/>
  <c r="GH59" i="1"/>
  <c r="EJ59" i="1"/>
  <c r="DK59" i="1"/>
  <c r="FW61" i="1"/>
  <c r="DY61" i="1"/>
  <c r="CQ69" i="1"/>
  <c r="CX69" i="1"/>
  <c r="CP86" i="1"/>
  <c r="BN86" i="1"/>
  <c r="DC86" i="1"/>
  <c r="FZ86" i="1"/>
  <c r="EB86" i="1"/>
  <c r="EG91" i="1"/>
  <c r="EF91" i="1"/>
  <c r="GA99" i="1"/>
  <c r="FB99" i="1"/>
  <c r="EC99" i="1"/>
  <c r="DD99" i="1"/>
  <c r="EN76" i="1"/>
  <c r="CP76" i="1"/>
  <c r="FV8" i="1"/>
  <c r="FZ9" i="1"/>
  <c r="CA10" i="1"/>
  <c r="FA10" i="1"/>
  <c r="EV11" i="1"/>
  <c r="CP11" i="1"/>
  <c r="BX12" i="1"/>
  <c r="DC13" i="1"/>
  <c r="DP13" i="1"/>
  <c r="CV15" i="1"/>
  <c r="DQ15" i="1"/>
  <c r="DJ16" i="1"/>
  <c r="FN16" i="1"/>
  <c r="FF17" i="1"/>
  <c r="DU17" i="1"/>
  <c r="EX17" i="1"/>
  <c r="FQ17" i="1"/>
  <c r="CT18" i="1"/>
  <c r="EX18" i="1"/>
  <c r="EW19" i="1"/>
  <c r="CY19" i="1"/>
  <c r="FJ19" i="1"/>
  <c r="CZ19" i="1"/>
  <c r="ES19" i="1"/>
  <c r="CP20" i="1"/>
  <c r="FM20" i="1"/>
  <c r="BN21" i="1"/>
  <c r="CP21" i="1"/>
  <c r="FA21" i="1"/>
  <c r="FZ21" i="1"/>
  <c r="DC21" i="1"/>
  <c r="EN21" i="1"/>
  <c r="FI21" i="1"/>
  <c r="BV22" i="1"/>
  <c r="ET22" i="1"/>
  <c r="EX23" i="1"/>
  <c r="EP24" i="1"/>
  <c r="EN25" i="1"/>
  <c r="CP25" i="1"/>
  <c r="FE25" i="1"/>
  <c r="GH25" i="1"/>
  <c r="FE26" i="1"/>
  <c r="ER27" i="1"/>
  <c r="CT27" i="1"/>
  <c r="EF27" i="1"/>
  <c r="DG27" i="1"/>
  <c r="BV27" i="1"/>
  <c r="CE29" i="1"/>
  <c r="CU29" i="1"/>
  <c r="DD30" i="1"/>
  <c r="GA30" i="1"/>
  <c r="FB30" i="1"/>
  <c r="EC30" i="1"/>
  <c r="GD33" i="1"/>
  <c r="DF34" i="1"/>
  <c r="FD34" i="1"/>
  <c r="EE36" i="1"/>
  <c r="ER39" i="1"/>
  <c r="DH43" i="1"/>
  <c r="FQ45" i="1"/>
  <c r="FW46" i="1"/>
  <c r="BX46" i="1"/>
  <c r="BS50" i="1"/>
  <c r="ES50" i="1"/>
  <c r="FR50" i="1"/>
  <c r="DT50" i="1"/>
  <c r="GE50" i="1"/>
  <c r="CF50" i="1"/>
  <c r="ER51" i="1"/>
  <c r="DS51" i="1"/>
  <c r="CT51" i="1"/>
  <c r="EB54" i="1"/>
  <c r="EW59" i="1"/>
  <c r="FV59" i="1"/>
  <c r="DX59" i="1"/>
  <c r="BW59" i="1"/>
  <c r="FJ59" i="1"/>
  <c r="CJ59" i="1"/>
  <c r="GI59" i="1"/>
  <c r="FV60" i="1"/>
  <c r="EW60" i="1"/>
  <c r="DX60" i="1"/>
  <c r="CY60" i="1"/>
  <c r="FJ60" i="1"/>
  <c r="EK60" i="1"/>
  <c r="GI60" i="1"/>
  <c r="EX60" i="1"/>
  <c r="FY60" i="1"/>
  <c r="BZ61" i="1"/>
  <c r="EZ61" i="1"/>
  <c r="DJ65" i="1"/>
  <c r="FA68" i="1"/>
  <c r="CP69" i="1"/>
  <c r="EN69" i="1"/>
  <c r="DO69" i="1"/>
  <c r="BN69" i="1"/>
  <c r="CA69" i="1"/>
  <c r="FA69" i="1"/>
  <c r="EW76" i="1"/>
  <c r="DX76" i="1"/>
  <c r="CJ76" i="1"/>
  <c r="DL76" i="1"/>
  <c r="EK76" i="1"/>
  <c r="FF78" i="1"/>
  <c r="DH78" i="1"/>
  <c r="FR78" i="1"/>
  <c r="BN79" i="1"/>
  <c r="CR88" i="1"/>
  <c r="CZ88" i="1"/>
  <c r="EO4" i="1"/>
  <c r="BP6" i="1"/>
  <c r="CX2" i="1"/>
  <c r="CJ2" i="1"/>
  <c r="CQ3" i="1"/>
  <c r="GA3" i="1"/>
  <c r="ER4" i="1"/>
  <c r="CJ5" i="1"/>
  <c r="DD9" i="1"/>
  <c r="FA9" i="1"/>
  <c r="EA10" i="1"/>
  <c r="EA11" i="1"/>
  <c r="DD13" i="1"/>
  <c r="CP14" i="1"/>
  <c r="FU16" i="1"/>
  <c r="CH16" i="1"/>
  <c r="DX17" i="1"/>
  <c r="FR17" i="1"/>
  <c r="CJ20" i="1"/>
  <c r="CQ20" i="1"/>
  <c r="DX20" i="1"/>
  <c r="CB21" i="1"/>
  <c r="ES26" i="1"/>
  <c r="CU26" i="1"/>
  <c r="BR29" i="1"/>
  <c r="FQ29" i="1"/>
  <c r="EF29" i="1"/>
  <c r="DG29" i="1"/>
  <c r="FI29" i="1"/>
  <c r="BP30" i="1"/>
  <c r="CR30" i="1"/>
  <c r="EN30" i="1"/>
  <c r="BW32" i="1"/>
  <c r="FV32" i="1"/>
  <c r="EW32" i="1"/>
  <c r="CY32" i="1"/>
  <c r="DX32" i="1"/>
  <c r="CP32" i="1"/>
  <c r="EZ32" i="1"/>
  <c r="ET33" i="1"/>
  <c r="BT33" i="1"/>
  <c r="FS33" i="1"/>
  <c r="FH33" i="1"/>
  <c r="CE33" i="1"/>
  <c r="GG33" i="1"/>
  <c r="BR34" i="1"/>
  <c r="ER34" i="1"/>
  <c r="FQ34" i="1"/>
  <c r="DG34" i="1"/>
  <c r="CE34" i="1"/>
  <c r="BW35" i="1"/>
  <c r="CY35" i="1"/>
  <c r="FV35" i="1"/>
  <c r="EW35" i="1"/>
  <c r="GI37" i="1"/>
  <c r="ET38" i="1"/>
  <c r="EC45" i="1"/>
  <c r="GA45" i="1"/>
  <c r="ET46" i="1"/>
  <c r="BT50" i="1"/>
  <c r="ET50" i="1"/>
  <c r="CR55" i="1"/>
  <c r="DQ55" i="1"/>
  <c r="FD55" i="1"/>
  <c r="DF55" i="1"/>
  <c r="BX55" i="1"/>
  <c r="BV55" i="1"/>
  <c r="FZ55" i="1"/>
  <c r="FM56" i="1"/>
  <c r="EN56" i="1"/>
  <c r="BN56" i="1"/>
  <c r="FA56" i="1"/>
  <c r="EB56" i="1"/>
  <c r="CV57" i="1"/>
  <c r="FM58" i="1"/>
  <c r="BX60" i="1"/>
  <c r="CZ60" i="1"/>
  <c r="FW60" i="1"/>
  <c r="DL65" i="1"/>
  <c r="FZ68" i="1"/>
  <c r="EX72" i="1"/>
  <c r="EW72" i="1"/>
  <c r="DH74" i="1"/>
  <c r="DF74" i="1"/>
  <c r="EV76" i="1"/>
  <c r="EX76" i="1"/>
  <c r="EZ85" i="1"/>
  <c r="EA85" i="1"/>
  <c r="BO90" i="1"/>
  <c r="EO90" i="1"/>
  <c r="DD91" i="1"/>
  <c r="FB91" i="1"/>
  <c r="FN95" i="1"/>
  <c r="EO95" i="1"/>
  <c r="DP95" i="1"/>
  <c r="CQ95" i="1"/>
  <c r="EC95" i="1"/>
  <c r="DD95" i="1"/>
  <c r="GA95" i="1"/>
  <c r="EV98" i="1"/>
  <c r="DW98" i="1"/>
  <c r="CX98" i="1"/>
  <c r="FI98" i="1"/>
  <c r="GH98" i="1"/>
  <c r="DY5" i="1"/>
  <c r="BX5" i="1"/>
  <c r="CF7" i="1"/>
  <c r="EG7" i="1"/>
  <c r="DS7" i="1"/>
  <c r="BV3" i="1"/>
  <c r="EW3" i="1"/>
  <c r="DF4" i="1"/>
  <c r="FY5" i="1"/>
  <c r="BN5" i="1"/>
  <c r="DD5" i="1"/>
  <c r="ER6" i="1"/>
  <c r="EW8" i="1"/>
  <c r="EB9" i="1"/>
  <c r="EJ12" i="1"/>
  <c r="CX13" i="1"/>
  <c r="CA14" i="1"/>
  <c r="EB14" i="1"/>
  <c r="FS14" i="1"/>
  <c r="BX17" i="1"/>
  <c r="ER22" i="1"/>
  <c r="DS22" i="1"/>
  <c r="EZ2" i="1"/>
  <c r="BO2" i="1"/>
  <c r="CZ2" i="1"/>
  <c r="DW2" i="1"/>
  <c r="FA3" i="1"/>
  <c r="FM4" i="1"/>
  <c r="EN4" i="1"/>
  <c r="CA4" i="1"/>
  <c r="DG4" i="1"/>
  <c r="CP5" i="1"/>
  <c r="BO5" i="1"/>
  <c r="DH5" i="1"/>
  <c r="FA5" i="1"/>
  <c r="DF6" i="1"/>
  <c r="ES6" i="1"/>
  <c r="FM6" i="1"/>
  <c r="BV7" i="1"/>
  <c r="FI7" i="1"/>
  <c r="CX7" i="1"/>
  <c r="FA7" i="1"/>
  <c r="FV7" i="1"/>
  <c r="DC8" i="1"/>
  <c r="EI8" i="1"/>
  <c r="EX8" i="1"/>
  <c r="FD9" i="1"/>
  <c r="GC10" i="1"/>
  <c r="CD10" i="1"/>
  <c r="BZ10" i="1"/>
  <c r="DL10" i="1"/>
  <c r="EB10" i="1"/>
  <c r="BX11" i="1"/>
  <c r="DY11" i="1"/>
  <c r="DJ11" i="1"/>
  <c r="EB11" i="1"/>
  <c r="FW11" i="1"/>
  <c r="DJ12" i="1"/>
  <c r="GH12" i="1"/>
  <c r="DF13" i="1"/>
  <c r="FZ13" i="1"/>
  <c r="BP15" i="1"/>
  <c r="CI16" i="1"/>
  <c r="CX16" i="1"/>
  <c r="FU17" i="1"/>
  <c r="DK17" i="1"/>
  <c r="DC17" i="1"/>
  <c r="FS17" i="1"/>
  <c r="CE18" i="1"/>
  <c r="FZ18" i="1"/>
  <c r="CJ19" i="1"/>
  <c r="EB19" i="1"/>
  <c r="CZ20" i="1"/>
  <c r="CD20" i="1"/>
  <c r="DY20" i="1"/>
  <c r="GH20" i="1"/>
  <c r="DD21" i="1"/>
  <c r="FN21" i="1"/>
  <c r="DH22" i="1"/>
  <c r="DU22" i="1"/>
  <c r="DX23" i="1"/>
  <c r="FA23" i="1"/>
  <c r="CU24" i="1"/>
  <c r="ES24" i="1"/>
  <c r="DT24" i="1"/>
  <c r="CB24" i="1"/>
  <c r="EE24" i="1"/>
  <c r="FB24" i="1"/>
  <c r="GE24" i="1"/>
  <c r="CR25" i="1"/>
  <c r="FO25" i="1"/>
  <c r="GC25" i="1"/>
  <c r="DF25" i="1"/>
  <c r="CV26" i="1"/>
  <c r="FF26" i="1"/>
  <c r="EP27" i="1"/>
  <c r="EG29" i="1"/>
  <c r="DH29" i="1"/>
  <c r="CF29" i="1"/>
  <c r="FM29" i="1"/>
  <c r="FO29" i="1"/>
  <c r="CX31" i="1"/>
  <c r="CZ32" i="1"/>
  <c r="EX32" i="1"/>
  <c r="CD34" i="1"/>
  <c r="ES38" i="1"/>
  <c r="BS38" i="1"/>
  <c r="DT38" i="1"/>
  <c r="FR38" i="1"/>
  <c r="EW39" i="1"/>
  <c r="EV39" i="1"/>
  <c r="FR40" i="1"/>
  <c r="FV41" i="1"/>
  <c r="EW41" i="1"/>
  <c r="CY41" i="1"/>
  <c r="BW41" i="1"/>
  <c r="CJ41" i="1"/>
  <c r="GI41" i="1"/>
  <c r="FH44" i="1"/>
  <c r="DJ44" i="1"/>
  <c r="FO45" i="1"/>
  <c r="CR45" i="1"/>
  <c r="DU46" i="1"/>
  <c r="FH50" i="1"/>
  <c r="GE53" i="1"/>
  <c r="ER55" i="1"/>
  <c r="FQ55" i="1"/>
  <c r="CT55" i="1"/>
  <c r="EO64" i="1"/>
  <c r="CR67" i="1"/>
  <c r="EP67" i="1"/>
  <c r="DF67" i="1"/>
  <c r="FD67" i="1"/>
  <c r="EX70" i="1"/>
  <c r="BX70" i="1"/>
  <c r="FF73" i="1"/>
  <c r="EG73" i="1"/>
  <c r="GE73" i="1"/>
  <c r="DH73" i="1"/>
  <c r="CF73" i="1"/>
  <c r="EV74" i="1"/>
  <c r="CX74" i="1"/>
  <c r="EJ74" i="1"/>
  <c r="DK74" i="1"/>
  <c r="ER75" i="1"/>
  <c r="FU78" i="1"/>
  <c r="BV78" i="1"/>
  <c r="DP72" i="1"/>
  <c r="FD73" i="1"/>
  <c r="DF73" i="1"/>
  <c r="EE73" i="1"/>
  <c r="CD73" i="1"/>
  <c r="FD74" i="1"/>
  <c r="CF75" i="1"/>
  <c r="EG75" i="1"/>
  <c r="DH75" i="1"/>
  <c r="FF75" i="1"/>
  <c r="ES75" i="1"/>
  <c r="EX77" i="1"/>
  <c r="DY82" i="1"/>
  <c r="CZ82" i="1"/>
  <c r="DX83" i="1"/>
  <c r="CY83" i="1"/>
  <c r="EK83" i="1"/>
  <c r="GI83" i="1"/>
  <c r="DL83" i="1"/>
  <c r="DB86" i="1"/>
  <c r="DU90" i="1"/>
  <c r="DS90" i="1"/>
  <c r="CZ91" i="1"/>
  <c r="CX91" i="1"/>
  <c r="FM94" i="1"/>
  <c r="DO94" i="1"/>
  <c r="BN94" i="1"/>
  <c r="CA94" i="1"/>
  <c r="EB94" i="1"/>
  <c r="CI98" i="1"/>
  <c r="CU99" i="1"/>
  <c r="CT99" i="1"/>
  <c r="DK144" i="1"/>
  <c r="DJ144" i="1"/>
  <c r="DQ152" i="1"/>
  <c r="DO152" i="1"/>
  <c r="GH29" i="1"/>
  <c r="CB30" i="1"/>
  <c r="CY31" i="1"/>
  <c r="EK31" i="1"/>
  <c r="FJ31" i="1"/>
  <c r="BZ32" i="1"/>
  <c r="CY36" i="1"/>
  <c r="EX38" i="1"/>
  <c r="DY39" i="1"/>
  <c r="EJ40" i="1"/>
  <c r="FB42" i="1"/>
  <c r="EV43" i="1"/>
  <c r="EJ43" i="1"/>
  <c r="CI43" i="1"/>
  <c r="DL43" i="1"/>
  <c r="DG44" i="1"/>
  <c r="FM46" i="1"/>
  <c r="BN46" i="1"/>
  <c r="FA46" i="1"/>
  <c r="FZ46" i="1"/>
  <c r="BT46" i="1"/>
  <c r="EX47" i="1"/>
  <c r="EJ51" i="1"/>
  <c r="EX53" i="1"/>
  <c r="BO53" i="1"/>
  <c r="BS55" i="1"/>
  <c r="CU55" i="1"/>
  <c r="DH56" i="1"/>
  <c r="EX57" i="1"/>
  <c r="GC57" i="1"/>
  <c r="BP58" i="1"/>
  <c r="ET58" i="1"/>
  <c r="DL59" i="1"/>
  <c r="FZ59" i="1"/>
  <c r="EG60" i="1"/>
  <c r="FZ62" i="1"/>
  <c r="DC62" i="1"/>
  <c r="CT63" i="1"/>
  <c r="ER63" i="1"/>
  <c r="FE63" i="1"/>
  <c r="EF63" i="1"/>
  <c r="EE67" i="1"/>
  <c r="DO68" i="1"/>
  <c r="BP70" i="1"/>
  <c r="BV72" i="1"/>
  <c r="EV72" i="1"/>
  <c r="DK72" i="1"/>
  <c r="EJ72" i="1"/>
  <c r="BT73" i="1"/>
  <c r="CV73" i="1"/>
  <c r="EB73" i="1"/>
  <c r="BX78" i="1"/>
  <c r="EX78" i="1"/>
  <c r="CP79" i="1"/>
  <c r="CR79" i="1"/>
  <c r="BV80" i="1"/>
  <c r="FI80" i="1"/>
  <c r="CI80" i="1"/>
  <c r="GH80" i="1"/>
  <c r="EJ80" i="1"/>
  <c r="CT85" i="1"/>
  <c r="GD85" i="1"/>
  <c r="CE85" i="1"/>
  <c r="EF85" i="1"/>
  <c r="DQ86" i="1"/>
  <c r="FO86" i="1"/>
  <c r="CR86" i="1"/>
  <c r="DF86" i="1"/>
  <c r="EE86" i="1"/>
  <c r="GC86" i="1"/>
  <c r="FD86" i="1"/>
  <c r="FO89" i="1"/>
  <c r="CR89" i="1"/>
  <c r="DQ91" i="1"/>
  <c r="CR91" i="1"/>
  <c r="FD91" i="1"/>
  <c r="EE91" i="1"/>
  <c r="FO93" i="1"/>
  <c r="EP93" i="1"/>
  <c r="DQ93" i="1"/>
  <c r="GC93" i="1"/>
  <c r="FD93" i="1"/>
  <c r="CD93" i="1"/>
  <c r="CE94" i="1"/>
  <c r="DC95" i="1"/>
  <c r="DB95" i="1"/>
  <c r="GI98" i="1"/>
  <c r="FJ98" i="1"/>
  <c r="FU22" i="1"/>
  <c r="BZ22" i="1"/>
  <c r="FY23" i="1"/>
  <c r="BR25" i="1"/>
  <c r="ER25" i="1"/>
  <c r="DU27" i="1"/>
  <c r="FR30" i="1"/>
  <c r="DJ30" i="1"/>
  <c r="DS34" i="1"/>
  <c r="EV113" i="1"/>
  <c r="CX113" i="1"/>
  <c r="FU113" i="1"/>
  <c r="FI113" i="1"/>
  <c r="DK113" i="1"/>
  <c r="EG130" i="1"/>
  <c r="EE130" i="1"/>
  <c r="FH27" i="1"/>
  <c r="GI34" i="1"/>
  <c r="FY35" i="1"/>
  <c r="FY38" i="1"/>
  <c r="FH38" i="1"/>
  <c r="GE38" i="1"/>
  <c r="DB39" i="1"/>
  <c r="DL40" i="1"/>
  <c r="FQ42" i="1"/>
  <c r="CT42" i="1"/>
  <c r="DG42" i="1"/>
  <c r="GC43" i="1"/>
  <c r="EO44" i="1"/>
  <c r="BO44" i="1"/>
  <c r="CQ44" i="1"/>
  <c r="FU45" i="1"/>
  <c r="FI45" i="1"/>
  <c r="GA48" i="1"/>
  <c r="FJ50" i="1"/>
  <c r="BV51" i="1"/>
  <c r="DK51" i="1"/>
  <c r="FI51" i="1"/>
  <c r="BS54" i="1"/>
  <c r="ES54" i="1"/>
  <c r="FO55" i="1"/>
  <c r="BT56" i="1"/>
  <c r="FZ56" i="1"/>
  <c r="DB57" i="1"/>
  <c r="BZ57" i="1"/>
  <c r="EN59" i="1"/>
  <c r="BN59" i="1"/>
  <c r="FA59" i="1"/>
  <c r="CP60" i="1"/>
  <c r="DO60" i="1"/>
  <c r="CV67" i="1"/>
  <c r="FS67" i="1"/>
  <c r="ER68" i="1"/>
  <c r="BR68" i="1"/>
  <c r="FE68" i="1"/>
  <c r="GD68" i="1"/>
  <c r="DG68" i="1"/>
  <c r="BR70" i="1"/>
  <c r="ER70" i="1"/>
  <c r="DG70" i="1"/>
  <c r="FE70" i="1"/>
  <c r="GD70" i="1"/>
  <c r="FB71" i="1"/>
  <c r="DD71" i="1"/>
  <c r="CB71" i="1"/>
  <c r="DJ80" i="1"/>
  <c r="BO83" i="1"/>
  <c r="DD83" i="1"/>
  <c r="CB83" i="1"/>
  <c r="FB83" i="1"/>
  <c r="BX83" i="1"/>
  <c r="CU85" i="1"/>
  <c r="ES85" i="1"/>
  <c r="DT85" i="1"/>
  <c r="FU87" i="1"/>
  <c r="DW87" i="1"/>
  <c r="FQ89" i="1"/>
  <c r="FR89" i="1"/>
  <c r="BX2" i="1"/>
  <c r="EX4" i="1"/>
  <c r="BN4" i="1"/>
  <c r="EI5" i="1"/>
  <c r="FE5" i="1"/>
  <c r="CQ6" i="1"/>
  <c r="DD6" i="1"/>
  <c r="EP6" i="1"/>
  <c r="EE7" i="1"/>
  <c r="GI7" i="1"/>
  <c r="FO9" i="1"/>
  <c r="EG10" i="1"/>
  <c r="CJ11" i="1"/>
  <c r="FM11" i="1"/>
  <c r="CQ12" i="1"/>
  <c r="CB12" i="1"/>
  <c r="EA12" i="1"/>
  <c r="FV13" i="1"/>
  <c r="FJ13" i="1"/>
  <c r="FB14" i="1"/>
  <c r="CV16" i="1"/>
  <c r="CQ17" i="1"/>
  <c r="EC17" i="1"/>
  <c r="CU17" i="1"/>
  <c r="DQ17" i="1"/>
  <c r="EK17" i="1"/>
  <c r="GA17" i="1"/>
  <c r="BR18" i="1"/>
  <c r="DQ19" i="1"/>
  <c r="FO19" i="1"/>
  <c r="BR20" i="1"/>
  <c r="GE21" i="1"/>
  <c r="GI22" i="1"/>
  <c r="EJ22" i="1"/>
  <c r="DC23" i="1"/>
  <c r="BP23" i="1"/>
  <c r="EV24" i="1"/>
  <c r="EJ24" i="1"/>
  <c r="ER24" i="1"/>
  <c r="FO24" i="1"/>
  <c r="BS25" i="1"/>
  <c r="ES25" i="1"/>
  <c r="FR25" i="1"/>
  <c r="FU26" i="1"/>
  <c r="FH26" i="1"/>
  <c r="EV27" i="1"/>
  <c r="FW28" i="1"/>
  <c r="CZ28" i="1"/>
  <c r="EB29" i="1"/>
  <c r="DO30" i="1"/>
  <c r="FF30" i="1"/>
  <c r="CJ31" i="1"/>
  <c r="DD32" i="1"/>
  <c r="CA33" i="1"/>
  <c r="BX34" i="1"/>
  <c r="BP34" i="1"/>
  <c r="CI34" i="1"/>
  <c r="DU34" i="1"/>
  <c r="EJ34" i="1"/>
  <c r="FA34" i="1"/>
  <c r="DH35" i="1"/>
  <c r="EI35" i="1"/>
  <c r="FY36" i="1"/>
  <c r="EA36" i="1"/>
  <c r="CJ36" i="1"/>
  <c r="DB36" i="1"/>
  <c r="CP37" i="1"/>
  <c r="GC37" i="1"/>
  <c r="BN38" i="1"/>
  <c r="CZ38" i="1"/>
  <c r="DY38" i="1"/>
  <c r="GC38" i="1"/>
  <c r="CP39" i="1"/>
  <c r="FZ39" i="1"/>
  <c r="CA39" i="1"/>
  <c r="CH39" i="1"/>
  <c r="DC39" i="1"/>
  <c r="EA39" i="1"/>
  <c r="CJ40" i="1"/>
  <c r="DD40" i="1"/>
  <c r="CF41" i="1"/>
  <c r="EG41" i="1"/>
  <c r="DG41" i="1"/>
  <c r="FQ41" i="1"/>
  <c r="EG42" i="1"/>
  <c r="GE42" i="1"/>
  <c r="DH42" i="1"/>
  <c r="BX43" i="1"/>
  <c r="FW43" i="1"/>
  <c r="DY43" i="1"/>
  <c r="FD43" i="1"/>
  <c r="GI43" i="1"/>
  <c r="DQ44" i="1"/>
  <c r="CR44" i="1"/>
  <c r="EG44" i="1"/>
  <c r="FE44" i="1"/>
  <c r="FJ45" i="1"/>
  <c r="FH45" i="1"/>
  <c r="BN47" i="1"/>
  <c r="DC47" i="1"/>
  <c r="EB47" i="1"/>
  <c r="FA47" i="1"/>
  <c r="CU48" i="1"/>
  <c r="FF48" i="1"/>
  <c r="CD48" i="1"/>
  <c r="DX48" i="1"/>
  <c r="GC48" i="1"/>
  <c r="CR49" i="1"/>
  <c r="GC49" i="1"/>
  <c r="CD49" i="1"/>
  <c r="DB50" i="1"/>
  <c r="EV50" i="1"/>
  <c r="FV51" i="1"/>
  <c r="CD51" i="1"/>
  <c r="EN51" i="1"/>
  <c r="FJ51" i="1"/>
  <c r="ET52" i="1"/>
  <c r="CA53" i="1"/>
  <c r="CX53" i="1"/>
  <c r="EN53" i="1"/>
  <c r="BT54" i="1"/>
  <c r="FM54" i="1"/>
  <c r="FU55" i="1"/>
  <c r="BV56" i="1"/>
  <c r="DK56" i="1"/>
  <c r="CI56" i="1"/>
  <c r="BN57" i="1"/>
  <c r="DC57" i="1"/>
  <c r="EB57" i="1"/>
  <c r="EN57" i="1"/>
  <c r="CF58" i="1"/>
  <c r="GE58" i="1"/>
  <c r="EG58" i="1"/>
  <c r="DH58" i="1"/>
  <c r="CD58" i="1"/>
  <c r="EC58" i="1"/>
  <c r="CB59" i="1"/>
  <c r="EO60" i="1"/>
  <c r="FN60" i="1"/>
  <c r="BO60" i="1"/>
  <c r="DD60" i="1"/>
  <c r="DP60" i="1"/>
  <c r="EE61" i="1"/>
  <c r="FD61" i="1"/>
  <c r="BS61" i="1"/>
  <c r="DJ61" i="1"/>
  <c r="GC61" i="1"/>
  <c r="CV63" i="1"/>
  <c r="CU63" i="1"/>
  <c r="DS63" i="1"/>
  <c r="EP65" i="1"/>
  <c r="DQ65" i="1"/>
  <c r="CR65" i="1"/>
  <c r="EO66" i="1"/>
  <c r="BO66" i="1"/>
  <c r="DP66" i="1"/>
  <c r="CB66" i="1"/>
  <c r="EC66" i="1"/>
  <c r="GA66" i="1"/>
  <c r="FB66" i="1"/>
  <c r="CQ66" i="1"/>
  <c r="FN66" i="1"/>
  <c r="BV67" i="1"/>
  <c r="EV67" i="1"/>
  <c r="CX67" i="1"/>
  <c r="DK67" i="1"/>
  <c r="EJ67" i="1"/>
  <c r="CI67" i="1"/>
  <c r="GH67" i="1"/>
  <c r="EK67" i="1"/>
  <c r="FJ67" i="1"/>
  <c r="DH68" i="1"/>
  <c r="GE68" i="1"/>
  <c r="CT68" i="1"/>
  <c r="DT68" i="1"/>
  <c r="CU69" i="1"/>
  <c r="DT69" i="1"/>
  <c r="FR69" i="1"/>
  <c r="FF69" i="1"/>
  <c r="DH69" i="1"/>
  <c r="CT70" i="1"/>
  <c r="DQ70" i="1"/>
  <c r="EP71" i="1"/>
  <c r="DQ71" i="1"/>
  <c r="BP71" i="1"/>
  <c r="CR71" i="1"/>
  <c r="FD71" i="1"/>
  <c r="BV71" i="1"/>
  <c r="CI72" i="1"/>
  <c r="EZ75" i="1"/>
  <c r="DJ75" i="1"/>
  <c r="GH76" i="1"/>
  <c r="ER77" i="1"/>
  <c r="CU77" i="1"/>
  <c r="EV77" i="1"/>
  <c r="EC79" i="1"/>
  <c r="DK80" i="1"/>
  <c r="EF82" i="1"/>
  <c r="FE82" i="1"/>
  <c r="CV85" i="1"/>
  <c r="BZ85" i="1"/>
  <c r="CV88" i="1"/>
  <c r="FS88" i="1"/>
  <c r="EI88" i="1"/>
  <c r="GG88" i="1"/>
  <c r="FH88" i="1"/>
  <c r="FD88" i="1"/>
  <c r="CF89" i="1"/>
  <c r="DD90" i="1"/>
  <c r="DF93" i="1"/>
  <c r="FW22" i="1"/>
  <c r="EN22" i="1"/>
  <c r="BT25" i="1"/>
  <c r="GG25" i="1"/>
  <c r="EB25" i="1"/>
  <c r="FW25" i="1"/>
  <c r="GI27" i="1"/>
  <c r="DL27" i="1"/>
  <c r="EW27" i="1"/>
  <c r="GA27" i="1"/>
  <c r="FY28" i="1"/>
  <c r="FA29" i="1"/>
  <c r="CF30" i="1"/>
  <c r="CU30" i="1"/>
  <c r="DC31" i="1"/>
  <c r="EB31" i="1"/>
  <c r="CA31" i="1"/>
  <c r="DY31" i="1"/>
  <c r="GE32" i="1"/>
  <c r="CJ32" i="1"/>
  <c r="EZ34" i="1"/>
  <c r="CJ34" i="1"/>
  <c r="EJ35" i="1"/>
  <c r="CA36" i="1"/>
  <c r="DC36" i="1"/>
  <c r="FR37" i="1"/>
  <c r="BS37" i="1"/>
  <c r="BZ37" i="1"/>
  <c r="DW37" i="1"/>
  <c r="FO37" i="1"/>
  <c r="GE37" i="1"/>
  <c r="EO39" i="1"/>
  <c r="CQ39" i="1"/>
  <c r="EC39" i="1"/>
  <c r="DG39" i="1"/>
  <c r="FD39" i="1"/>
  <c r="BT41" i="1"/>
  <c r="ET42" i="1"/>
  <c r="CH42" i="1"/>
  <c r="DJ42" i="1"/>
  <c r="GH43" i="1"/>
  <c r="CE44" i="1"/>
  <c r="CU44" i="1"/>
  <c r="FF44" i="1"/>
  <c r="GG45" i="1"/>
  <c r="DD47" i="1"/>
  <c r="EC48" i="1"/>
  <c r="FZ49" i="1"/>
  <c r="EC50" i="1"/>
  <c r="EW50" i="1"/>
  <c r="FW51" i="1"/>
  <c r="DW52" i="1"/>
  <c r="FB52" i="1"/>
  <c r="CB53" i="1"/>
  <c r="EO53" i="1"/>
  <c r="CX54" i="1"/>
  <c r="BV54" i="1"/>
  <c r="FI54" i="1"/>
  <c r="EJ54" i="1"/>
  <c r="CU54" i="1"/>
  <c r="CJ56" i="1"/>
  <c r="CH58" i="1"/>
  <c r="EE58" i="1"/>
  <c r="CP59" i="1"/>
  <c r="CA62" i="1"/>
  <c r="EN62" i="1"/>
  <c r="DT63" i="1"/>
  <c r="FW64" i="1"/>
  <c r="DY64" i="1"/>
  <c r="BP64" i="1"/>
  <c r="BR65" i="1"/>
  <c r="ER65" i="1"/>
  <c r="DG65" i="1"/>
  <c r="FE65" i="1"/>
  <c r="EF65" i="1"/>
  <c r="GD65" i="1"/>
  <c r="BW67" i="1"/>
  <c r="EW67" i="1"/>
  <c r="CJ67" i="1"/>
  <c r="CV69" i="1"/>
  <c r="ET69" i="1"/>
  <c r="FH69" i="1"/>
  <c r="CH69" i="1"/>
  <c r="CD70" i="1"/>
  <c r="BR71" i="1"/>
  <c r="DS71" i="1"/>
  <c r="ER71" i="1"/>
  <c r="DB72" i="1"/>
  <c r="BN73" i="1"/>
  <c r="BO74" i="1"/>
  <c r="EO74" i="1"/>
  <c r="DP74" i="1"/>
  <c r="GA74" i="1"/>
  <c r="FB74" i="1"/>
  <c r="CB74" i="1"/>
  <c r="EJ75" i="1"/>
  <c r="EI75" i="1"/>
  <c r="BS76" i="1"/>
  <c r="ES76" i="1"/>
  <c r="GE76" i="1"/>
  <c r="CF76" i="1"/>
  <c r="ES77" i="1"/>
  <c r="FQ79" i="1"/>
  <c r="ER79" i="1"/>
  <c r="CT79" i="1"/>
  <c r="GD79" i="1"/>
  <c r="CE79" i="1"/>
  <c r="FH81" i="1"/>
  <c r="CH81" i="1"/>
  <c r="EP84" i="1"/>
  <c r="FS84" i="1"/>
  <c r="FU85" i="1"/>
  <c r="EJ85" i="1"/>
  <c r="GH85" i="1"/>
  <c r="FI85" i="1"/>
  <c r="DK85" i="1"/>
  <c r="EP91" i="1"/>
  <c r="CP92" i="1"/>
  <c r="BN92" i="1"/>
  <c r="DC92" i="1"/>
  <c r="FZ92" i="1"/>
  <c r="EB92" i="1"/>
  <c r="CA92" i="1"/>
  <c r="FA92" i="1"/>
  <c r="FH21" i="1"/>
  <c r="CX22" i="1"/>
  <c r="FD23" i="1"/>
  <c r="FS23" i="1"/>
  <c r="BP24" i="1"/>
  <c r="EB24" i="1"/>
  <c r="FI25" i="1"/>
  <c r="FW26" i="1"/>
  <c r="DS26" i="1"/>
  <c r="FR26" i="1"/>
  <c r="EX27" i="1"/>
  <c r="BW30" i="1"/>
  <c r="DT30" i="1"/>
  <c r="DP31" i="1"/>
  <c r="CQ31" i="1"/>
  <c r="EX31" i="1"/>
  <c r="FS32" i="1"/>
  <c r="EC32" i="1"/>
  <c r="GC33" i="1"/>
  <c r="EE33" i="1"/>
  <c r="DW34" i="1"/>
  <c r="FY34" i="1"/>
  <c r="DU35" i="1"/>
  <c r="DL36" i="1"/>
  <c r="EW36" i="1"/>
  <c r="CV37" i="1"/>
  <c r="DH38" i="1"/>
  <c r="EP39" i="1"/>
  <c r="GC39" i="1"/>
  <c r="FM40" i="1"/>
  <c r="FA40" i="1"/>
  <c r="DF40" i="1"/>
  <c r="DO42" i="1"/>
  <c r="DO43" i="1"/>
  <c r="CF44" i="1"/>
  <c r="EZ45" i="1"/>
  <c r="BR45" i="1"/>
  <c r="DB45" i="1"/>
  <c r="DS46" i="1"/>
  <c r="BP47" i="1"/>
  <c r="FD47" i="1"/>
  <c r="DF47" i="1"/>
  <c r="EJ48" i="1"/>
  <c r="DF48" i="1"/>
  <c r="EE48" i="1"/>
  <c r="EN50" i="1"/>
  <c r="EB50" i="1"/>
  <c r="EZ51" i="1"/>
  <c r="BZ51" i="1"/>
  <c r="BN51" i="1"/>
  <c r="CY52" i="1"/>
  <c r="EP53" i="1"/>
  <c r="CD53" i="1"/>
  <c r="CE54" i="1"/>
  <c r="FR55" i="1"/>
  <c r="BX56" i="1"/>
  <c r="FO57" i="1"/>
  <c r="FD57" i="1"/>
  <c r="CD57" i="1"/>
  <c r="CX58" i="1"/>
  <c r="DF58" i="1"/>
  <c r="FD58" i="1"/>
  <c r="DH61" i="1"/>
  <c r="GE62" i="1"/>
  <c r="CP62" i="1"/>
  <c r="ES63" i="1"/>
  <c r="BS65" i="1"/>
  <c r="GE65" i="1"/>
  <c r="CF65" i="1"/>
  <c r="CE65" i="1"/>
  <c r="EG65" i="1"/>
  <c r="BR66" i="1"/>
  <c r="CT66" i="1"/>
  <c r="ER66" i="1"/>
  <c r="FQ66" i="1"/>
  <c r="CD68" i="1"/>
  <c r="EV69" i="1"/>
  <c r="DK69" i="1"/>
  <c r="EJ69" i="1"/>
  <c r="FI70" i="1"/>
  <c r="CI70" i="1"/>
  <c r="CE70" i="1"/>
  <c r="BS71" i="1"/>
  <c r="FR71" i="1"/>
  <c r="CU71" i="1"/>
  <c r="GE71" i="1"/>
  <c r="CF71" i="1"/>
  <c r="FF71" i="1"/>
  <c r="DT71" i="1"/>
  <c r="ES71" i="1"/>
  <c r="FA72" i="1"/>
  <c r="BP73" i="1"/>
  <c r="EN73" i="1"/>
  <c r="EP74" i="1"/>
  <c r="CR74" i="1"/>
  <c r="CQ74" i="1"/>
  <c r="EO75" i="1"/>
  <c r="DP75" i="1"/>
  <c r="DD75" i="1"/>
  <c r="FB75" i="1"/>
  <c r="CQ75" i="1"/>
  <c r="CH76" i="1"/>
  <c r="DJ76" i="1"/>
  <c r="FF76" i="1"/>
  <c r="EN80" i="1"/>
  <c r="FM80" i="1"/>
  <c r="CB82" i="1"/>
  <c r="CD86" i="1"/>
  <c r="FI87" i="1"/>
  <c r="FJ102" i="1"/>
  <c r="CJ102" i="1"/>
  <c r="CB111" i="1"/>
  <c r="EC111" i="1"/>
  <c r="CB50" i="1"/>
  <c r="DD50" i="1"/>
  <c r="GA50" i="1"/>
  <c r="CI51" i="1"/>
  <c r="EV51" i="1"/>
  <c r="CE53" i="1"/>
  <c r="EX54" i="1"/>
  <c r="DY54" i="1"/>
  <c r="CZ54" i="1"/>
  <c r="FY55" i="1"/>
  <c r="BZ56" i="1"/>
  <c r="EZ56" i="1"/>
  <c r="FE57" i="1"/>
  <c r="CT57" i="1"/>
  <c r="ER57" i="1"/>
  <c r="FM59" i="1"/>
  <c r="BS60" i="1"/>
  <c r="DT60" i="1"/>
  <c r="ES60" i="1"/>
  <c r="FR60" i="1"/>
  <c r="FS62" i="1"/>
  <c r="ET62" i="1"/>
  <c r="BS66" i="1"/>
  <c r="FR66" i="1"/>
  <c r="ES66" i="1"/>
  <c r="CU66" i="1"/>
  <c r="GE66" i="1"/>
  <c r="FF66" i="1"/>
  <c r="CF66" i="1"/>
  <c r="DT66" i="1"/>
  <c r="BZ67" i="1"/>
  <c r="DB67" i="1"/>
  <c r="CE68" i="1"/>
  <c r="FQ70" i="1"/>
  <c r="DC73" i="1"/>
  <c r="CA73" i="1"/>
  <c r="FO75" i="1"/>
  <c r="EP75" i="1"/>
  <c r="GC75" i="1"/>
  <c r="CD75" i="1"/>
  <c r="CR75" i="1"/>
  <c r="BZ78" i="1"/>
  <c r="DF84" i="1"/>
  <c r="GC84" i="1"/>
  <c r="FZ87" i="1"/>
  <c r="CA87" i="1"/>
  <c r="CU96" i="1"/>
  <c r="FR96" i="1"/>
  <c r="FF96" i="1"/>
  <c r="GE96" i="1"/>
  <c r="EG96" i="1"/>
  <c r="CF96" i="1"/>
  <c r="BT100" i="1"/>
  <c r="ET100" i="1"/>
  <c r="DU100" i="1"/>
  <c r="CH100" i="1"/>
  <c r="FU107" i="1"/>
  <c r="CX107" i="1"/>
  <c r="DW107" i="1"/>
  <c r="EV107" i="1"/>
  <c r="EA61" i="1"/>
  <c r="EW61" i="1"/>
  <c r="FW62" i="1"/>
  <c r="EX62" i="1"/>
  <c r="BX62" i="1"/>
  <c r="FQ63" i="1"/>
  <c r="FS64" i="1"/>
  <c r="ET64" i="1"/>
  <c r="BW65" i="1"/>
  <c r="BT66" i="1"/>
  <c r="BT71" i="1"/>
  <c r="EN72" i="1"/>
  <c r="DW73" i="1"/>
  <c r="FU73" i="1"/>
  <c r="DU73" i="1"/>
  <c r="FM73" i="1"/>
  <c r="CU74" i="1"/>
  <c r="FR74" i="1"/>
  <c r="FF74" i="1"/>
  <c r="CF74" i="1"/>
  <c r="EB77" i="1"/>
  <c r="EN78" i="1"/>
  <c r="DC78" i="1"/>
  <c r="EB78" i="1"/>
  <c r="FZ78" i="1"/>
  <c r="EO79" i="1"/>
  <c r="DP79" i="1"/>
  <c r="CQ79" i="1"/>
  <c r="DS79" i="1"/>
  <c r="EP80" i="1"/>
  <c r="FO80" i="1"/>
  <c r="CR80" i="1"/>
  <c r="DQ80" i="1"/>
  <c r="BT82" i="1"/>
  <c r="ER84" i="1"/>
  <c r="BR84" i="1"/>
  <c r="FE84" i="1"/>
  <c r="GD84" i="1"/>
  <c r="CE84" i="1"/>
  <c r="FA86" i="1"/>
  <c r="DD87" i="1"/>
  <c r="FM87" i="1"/>
  <c r="EE88" i="1"/>
  <c r="EI89" i="1"/>
  <c r="DJ89" i="1"/>
  <c r="CH89" i="1"/>
  <c r="FH89" i="1"/>
  <c r="DH90" i="1"/>
  <c r="FS91" i="1"/>
  <c r="CV91" i="1"/>
  <c r="FW92" i="1"/>
  <c r="EX92" i="1"/>
  <c r="DY92" i="1"/>
  <c r="CZ92" i="1"/>
  <c r="BW97" i="1"/>
  <c r="BX100" i="1"/>
  <c r="FW100" i="1"/>
  <c r="EI100" i="1"/>
  <c r="DC102" i="1"/>
  <c r="FZ102" i="1"/>
  <c r="CA102" i="1"/>
  <c r="GI131" i="1"/>
  <c r="BR132" i="1"/>
  <c r="FQ132" i="1"/>
  <c r="DS132" i="1"/>
  <c r="GD132" i="1"/>
  <c r="CE132" i="1"/>
  <c r="CT30" i="1"/>
  <c r="DF30" i="1"/>
  <c r="EV30" i="1"/>
  <c r="FQ30" i="1"/>
  <c r="BO33" i="1"/>
  <c r="CH33" i="1"/>
  <c r="CT34" i="1"/>
  <c r="FJ34" i="1"/>
  <c r="FW35" i="1"/>
  <c r="DO38" i="1"/>
  <c r="FB38" i="1"/>
  <c r="BV39" i="1"/>
  <c r="BP40" i="1"/>
  <c r="FB41" i="1"/>
  <c r="FH43" i="1"/>
  <c r="DJ43" i="1"/>
  <c r="FJ44" i="1"/>
  <c r="EA45" i="1"/>
  <c r="ES46" i="1"/>
  <c r="DT46" i="1"/>
  <c r="DH46" i="1"/>
  <c r="CU46" i="1"/>
  <c r="FF46" i="1"/>
  <c r="CA48" i="1"/>
  <c r="DQ48" i="1"/>
  <c r="FU49" i="1"/>
  <c r="BV49" i="1"/>
  <c r="FI49" i="1"/>
  <c r="GH49" i="1"/>
  <c r="EV49" i="1"/>
  <c r="FW50" i="1"/>
  <c r="BX50" i="1"/>
  <c r="CZ50" i="1"/>
  <c r="DU50" i="1"/>
  <c r="ES51" i="1"/>
  <c r="DG51" i="1"/>
  <c r="BP52" i="1"/>
  <c r="FD52" i="1"/>
  <c r="EC53" i="1"/>
  <c r="DX54" i="1"/>
  <c r="EK54" i="1"/>
  <c r="DL54" i="1"/>
  <c r="DW57" i="1"/>
  <c r="EV57" i="1"/>
  <c r="FU57" i="1"/>
  <c r="EW58" i="1"/>
  <c r="DL58" i="1"/>
  <c r="FV58" i="1"/>
  <c r="FW59" i="1"/>
  <c r="CD60" i="1"/>
  <c r="FU61" i="1"/>
  <c r="BV61" i="1"/>
  <c r="EJ61" i="1"/>
  <c r="EB61" i="1"/>
  <c r="BZ62" i="1"/>
  <c r="DB62" i="1"/>
  <c r="CZ62" i="1"/>
  <c r="CZ63" i="1"/>
  <c r="BN63" i="1"/>
  <c r="DW64" i="1"/>
  <c r="EO65" i="1"/>
  <c r="DP65" i="1"/>
  <c r="CU65" i="1"/>
  <c r="CH66" i="1"/>
  <c r="FI67" i="1"/>
  <c r="FD68" i="1"/>
  <c r="EE68" i="1"/>
  <c r="DD68" i="1"/>
  <c r="EF69" i="1"/>
  <c r="CR69" i="1"/>
  <c r="DQ69" i="1"/>
  <c r="FU71" i="1"/>
  <c r="CX71" i="1"/>
  <c r="GH71" i="1"/>
  <c r="ER72" i="1"/>
  <c r="FQ72" i="1"/>
  <c r="EP72" i="1"/>
  <c r="GG74" i="1"/>
  <c r="DJ74" i="1"/>
  <c r="CH74" i="1"/>
  <c r="FU75" i="1"/>
  <c r="FI75" i="1"/>
  <c r="GH75" i="1"/>
  <c r="CX75" i="1"/>
  <c r="DK76" i="1"/>
  <c r="FN76" i="1"/>
  <c r="EK77" i="1"/>
  <c r="DL77" i="1"/>
  <c r="CJ77" i="1"/>
  <c r="DU79" i="1"/>
  <c r="EN82" i="1"/>
  <c r="BN82" i="1"/>
  <c r="CV83" i="1"/>
  <c r="DU83" i="1"/>
  <c r="BT83" i="1"/>
  <c r="FF85" i="1"/>
  <c r="EO87" i="1"/>
  <c r="EV89" i="1"/>
  <c r="FI89" i="1"/>
  <c r="CI89" i="1"/>
  <c r="CT93" i="1"/>
  <c r="FR95" i="1"/>
  <c r="BX97" i="1"/>
  <c r="EX97" i="1"/>
  <c r="FW97" i="1"/>
  <c r="FY98" i="1"/>
  <c r="DB101" i="1"/>
  <c r="EZ101" i="1"/>
  <c r="FY101" i="1"/>
  <c r="FU105" i="1"/>
  <c r="BV105" i="1"/>
  <c r="CX105" i="1"/>
  <c r="EA113" i="1"/>
  <c r="EC113" i="1"/>
  <c r="EJ118" i="1"/>
  <c r="DK118" i="1"/>
  <c r="CI118" i="1"/>
  <c r="FI118" i="1"/>
  <c r="GH118" i="1"/>
  <c r="ER118" i="1"/>
  <c r="ET118" i="1"/>
  <c r="FH122" i="1"/>
  <c r="FI122" i="1"/>
  <c r="EK131" i="1"/>
  <c r="CV95" i="1"/>
  <c r="FS95" i="1"/>
  <c r="ET95" i="1"/>
  <c r="DT96" i="1"/>
  <c r="CT101" i="1"/>
  <c r="CV101" i="1"/>
  <c r="CU111" i="1"/>
  <c r="ES111" i="1"/>
  <c r="FR111" i="1"/>
  <c r="GE111" i="1"/>
  <c r="DH111" i="1"/>
  <c r="GI118" i="1"/>
  <c r="EK118" i="1"/>
  <c r="DH125" i="1"/>
  <c r="DG125" i="1"/>
  <c r="FV131" i="1"/>
  <c r="EW131" i="1"/>
  <c r="DX131" i="1"/>
  <c r="CY131" i="1"/>
  <c r="EN96" i="1"/>
  <c r="BN96" i="1"/>
  <c r="DC96" i="1"/>
  <c r="EO101" i="1"/>
  <c r="FN101" i="1"/>
  <c r="BT104" i="1"/>
  <c r="ET104" i="1"/>
  <c r="FW105" i="1"/>
  <c r="CZ105" i="1"/>
  <c r="BX105" i="1"/>
  <c r="BN107" i="1"/>
  <c r="CP107" i="1"/>
  <c r="DC107" i="1"/>
  <c r="FZ107" i="1"/>
  <c r="EB107" i="1"/>
  <c r="CA107" i="1"/>
  <c r="FA107" i="1"/>
  <c r="FO110" i="1"/>
  <c r="EP116" i="1"/>
  <c r="DQ116" i="1"/>
  <c r="BV117" i="1"/>
  <c r="DG93" i="1"/>
  <c r="CE93" i="1"/>
  <c r="GD93" i="1"/>
  <c r="DW99" i="1"/>
  <c r="GE108" i="1"/>
  <c r="DQ109" i="1"/>
  <c r="CR109" i="1"/>
  <c r="BP109" i="1"/>
  <c r="GC109" i="1"/>
  <c r="CR59" i="1"/>
  <c r="CZ59" i="1"/>
  <c r="DJ63" i="1"/>
  <c r="EN64" i="1"/>
  <c r="EW69" i="1"/>
  <c r="CY69" i="1"/>
  <c r="BZ70" i="1"/>
  <c r="EZ70" i="1"/>
  <c r="ET71" i="1"/>
  <c r="FO71" i="1"/>
  <c r="BW72" i="1"/>
  <c r="GI72" i="1"/>
  <c r="EZ74" i="1"/>
  <c r="FU76" i="1"/>
  <c r="CX76" i="1"/>
  <c r="FM78" i="1"/>
  <c r="EF79" i="1"/>
  <c r="DX80" i="1"/>
  <c r="CY80" i="1"/>
  <c r="CH80" i="1"/>
  <c r="BW81" i="1"/>
  <c r="FV81" i="1"/>
  <c r="FJ81" i="1"/>
  <c r="CV82" i="1"/>
  <c r="FO85" i="1"/>
  <c r="EP85" i="1"/>
  <c r="BO88" i="1"/>
  <c r="EO88" i="1"/>
  <c r="BN91" i="1"/>
  <c r="FZ91" i="1"/>
  <c r="DS100" i="1"/>
  <c r="BR100" i="1"/>
  <c r="GG100" i="1"/>
  <c r="FA102" i="1"/>
  <c r="CU103" i="1"/>
  <c r="ES103" i="1"/>
  <c r="FF103" i="1"/>
  <c r="CF103" i="1"/>
  <c r="DH103" i="1"/>
  <c r="GE103" i="1"/>
  <c r="BW104" i="1"/>
  <c r="DX104" i="1"/>
  <c r="FJ104" i="1"/>
  <c r="GI104" i="1"/>
  <c r="DL104" i="1"/>
  <c r="CZ115" i="1"/>
  <c r="FW115" i="1"/>
  <c r="EX115" i="1"/>
  <c r="BX115" i="1"/>
  <c r="DB141" i="1"/>
  <c r="BZ141" i="1"/>
  <c r="FY141" i="1"/>
  <c r="EA141" i="1"/>
  <c r="GA146" i="1"/>
  <c r="EC146" i="1"/>
  <c r="DD146" i="1"/>
  <c r="FB146" i="1"/>
  <c r="ER52" i="1"/>
  <c r="FE52" i="1"/>
  <c r="FS52" i="1"/>
  <c r="CU53" i="1"/>
  <c r="DT53" i="1"/>
  <c r="ES53" i="1"/>
  <c r="BR54" i="1"/>
  <c r="GD54" i="1"/>
  <c r="DG54" i="1"/>
  <c r="FW55" i="1"/>
  <c r="FJ56" i="1"/>
  <c r="DT57" i="1"/>
  <c r="GE57" i="1"/>
  <c r="DO57" i="1"/>
  <c r="GE60" i="1"/>
  <c r="BN61" i="1"/>
  <c r="CP61" i="1"/>
  <c r="FA61" i="1"/>
  <c r="DC61" i="1"/>
  <c r="FY61" i="1"/>
  <c r="FF64" i="1"/>
  <c r="FH65" i="1"/>
  <c r="FO65" i="1"/>
  <c r="FU66" i="1"/>
  <c r="FM67" i="1"/>
  <c r="BT67" i="1"/>
  <c r="EC67" i="1"/>
  <c r="CZ68" i="1"/>
  <c r="ER69" i="1"/>
  <c r="FU69" i="1"/>
  <c r="DS70" i="1"/>
  <c r="FZ70" i="1"/>
  <c r="FW71" i="1"/>
  <c r="GG71" i="1"/>
  <c r="GC72" i="1"/>
  <c r="ER73" i="1"/>
  <c r="EF73" i="1"/>
  <c r="FW74" i="1"/>
  <c r="BP74" i="1"/>
  <c r="FH75" i="1"/>
  <c r="CZ77" i="1"/>
  <c r="BT79" i="1"/>
  <c r="EI79" i="1"/>
  <c r="DJ79" i="1"/>
  <c r="FU79" i="1"/>
  <c r="CF80" i="1"/>
  <c r="GE80" i="1"/>
  <c r="DU80" i="1"/>
  <c r="FO81" i="1"/>
  <c r="CD81" i="1"/>
  <c r="FD83" i="1"/>
  <c r="DP83" i="1"/>
  <c r="DT89" i="1"/>
  <c r="CU89" i="1"/>
  <c r="EG89" i="1"/>
  <c r="FF89" i="1"/>
  <c r="BS94" i="1"/>
  <c r="FR94" i="1"/>
  <c r="CF94" i="1"/>
  <c r="FV95" i="1"/>
  <c r="EN95" i="1"/>
  <c r="EV96" i="1"/>
  <c r="BV96" i="1"/>
  <c r="EZ98" i="1"/>
  <c r="FA98" i="1"/>
  <c r="BP101" i="1"/>
  <c r="FO101" i="1"/>
  <c r="GC101" i="1"/>
  <c r="CD101" i="1"/>
  <c r="DB109" i="1"/>
  <c r="DX110" i="1"/>
  <c r="EW110" i="1"/>
  <c r="FV110" i="1"/>
  <c r="CY110" i="1"/>
  <c r="GI110" i="1"/>
  <c r="CJ110" i="1"/>
  <c r="EK110" i="1"/>
  <c r="DL110" i="1"/>
  <c r="DT111" i="1"/>
  <c r="FV113" i="1"/>
  <c r="DX113" i="1"/>
  <c r="FJ113" i="1"/>
  <c r="DL113" i="1"/>
  <c r="DU126" i="1"/>
  <c r="DS126" i="1"/>
  <c r="DF122" i="1"/>
  <c r="DG122" i="1"/>
  <c r="CR93" i="1"/>
  <c r="DK94" i="1"/>
  <c r="CI94" i="1"/>
  <c r="FW96" i="1"/>
  <c r="FU100" i="1"/>
  <c r="BV100" i="1"/>
  <c r="GH100" i="1"/>
  <c r="EJ100" i="1"/>
  <c r="CI100" i="1"/>
  <c r="BS105" i="1"/>
  <c r="FR105" i="1"/>
  <c r="DT105" i="1"/>
  <c r="CU105" i="1"/>
  <c r="GE105" i="1"/>
  <c r="CF105" i="1"/>
  <c r="FB106" i="1"/>
  <c r="CB106" i="1"/>
  <c r="GA106" i="1"/>
  <c r="DD106" i="1"/>
  <c r="BZ110" i="1"/>
  <c r="BV112" i="1"/>
  <c r="DW112" i="1"/>
  <c r="CX112" i="1"/>
  <c r="CI112" i="1"/>
  <c r="EF133" i="1"/>
  <c r="GD133" i="1"/>
  <c r="FJ89" i="1"/>
  <c r="EK89" i="1"/>
  <c r="CJ89" i="1"/>
  <c r="EP89" i="1"/>
  <c r="FU90" i="1"/>
  <c r="EV90" i="1"/>
  <c r="DK90" i="1"/>
  <c r="GH90" i="1"/>
  <c r="CV90" i="1"/>
  <c r="FM93" i="1"/>
  <c r="CP93" i="1"/>
  <c r="CA93" i="1"/>
  <c r="DC93" i="1"/>
  <c r="CQ93" i="1"/>
  <c r="FS93" i="1"/>
  <c r="DL94" i="1"/>
  <c r="EA96" i="1"/>
  <c r="CV97" i="1"/>
  <c r="ET97" i="1"/>
  <c r="BT97" i="1"/>
  <c r="DH98" i="1"/>
  <c r="CF98" i="1"/>
  <c r="CH99" i="1"/>
  <c r="CF99" i="1"/>
  <c r="EG99" i="1"/>
  <c r="FI100" i="1"/>
  <c r="EP106" i="1"/>
  <c r="BP106" i="1"/>
  <c r="CR106" i="1"/>
  <c r="GC106" i="1"/>
  <c r="EE106" i="1"/>
  <c r="DH107" i="1"/>
  <c r="FF107" i="1"/>
  <c r="CF107" i="1"/>
  <c r="BP115" i="1"/>
  <c r="CR126" i="1"/>
  <c r="DQ126" i="1"/>
  <c r="EE127" i="1"/>
  <c r="EG127" i="1"/>
  <c r="EF127" i="1"/>
  <c r="FU139" i="1"/>
  <c r="BV139" i="1"/>
  <c r="DW139" i="1"/>
  <c r="EI144" i="1"/>
  <c r="EJ144" i="1"/>
  <c r="EO146" i="1"/>
  <c r="CA148" i="1"/>
  <c r="FZ148" i="1"/>
  <c r="DC148" i="1"/>
  <c r="FA73" i="1"/>
  <c r="EN75" i="1"/>
  <c r="EZ76" i="1"/>
  <c r="DB76" i="1"/>
  <c r="BZ77" i="1"/>
  <c r="GD77" i="1"/>
  <c r="CB78" i="1"/>
  <c r="CP78" i="1"/>
  <c r="EV80" i="1"/>
  <c r="BV81" i="1"/>
  <c r="FU81" i="1"/>
  <c r="FI81" i="1"/>
  <c r="CI81" i="1"/>
  <c r="DL84" i="1"/>
  <c r="DS84" i="1"/>
  <c r="DW85" i="1"/>
  <c r="EC86" i="1"/>
  <c r="GC88" i="1"/>
  <c r="FQ90" i="1"/>
  <c r="BZ90" i="1"/>
  <c r="EF90" i="1"/>
  <c r="BR92" i="1"/>
  <c r="BV94" i="1"/>
  <c r="CP94" i="1"/>
  <c r="FD95" i="1"/>
  <c r="DQ95" i="1"/>
  <c r="DW96" i="1"/>
  <c r="FB98" i="1"/>
  <c r="BW98" i="1"/>
  <c r="CQ98" i="1"/>
  <c r="FU98" i="1"/>
  <c r="EJ99" i="1"/>
  <c r="FW99" i="1"/>
  <c r="FH100" i="1"/>
  <c r="CU101" i="1"/>
  <c r="FR101" i="1"/>
  <c r="EP102" i="1"/>
  <c r="BP102" i="1"/>
  <c r="FD102" i="1"/>
  <c r="DF102" i="1"/>
  <c r="DH106" i="1"/>
  <c r="FM107" i="1"/>
  <c r="FM109" i="1"/>
  <c r="CP109" i="1"/>
  <c r="EB109" i="1"/>
  <c r="FZ109" i="1"/>
  <c r="ER117" i="1"/>
  <c r="DS117" i="1"/>
  <c r="GD117" i="1"/>
  <c r="CE117" i="1"/>
  <c r="DC127" i="1"/>
  <c r="FA127" i="1"/>
  <c r="DS128" i="1"/>
  <c r="DT128" i="1"/>
  <c r="DU128" i="1"/>
  <c r="CZ136" i="1"/>
  <c r="DY136" i="1"/>
  <c r="BP164" i="1"/>
  <c r="FO164" i="1"/>
  <c r="CR164" i="1"/>
  <c r="FV146" i="1"/>
  <c r="FU146" i="1"/>
  <c r="BX158" i="1"/>
  <c r="CZ158" i="1"/>
  <c r="FE88" i="1"/>
  <c r="CE88" i="1"/>
  <c r="FH90" i="1"/>
  <c r="FJ90" i="1"/>
  <c r="FE91" i="1"/>
  <c r="FU95" i="1"/>
  <c r="CX95" i="1"/>
  <c r="GH95" i="1"/>
  <c r="EJ95" i="1"/>
  <c r="CH97" i="1"/>
  <c r="DO102" i="1"/>
  <c r="GA103" i="1"/>
  <c r="FB103" i="1"/>
  <c r="BR104" i="1"/>
  <c r="ER104" i="1"/>
  <c r="DG104" i="1"/>
  <c r="GD104" i="1"/>
  <c r="FE104" i="1"/>
  <c r="CZ104" i="1"/>
  <c r="CX104" i="1"/>
  <c r="DS105" i="1"/>
  <c r="BR105" i="1"/>
  <c r="FF110" i="1"/>
  <c r="EG110" i="1"/>
  <c r="CF110" i="1"/>
  <c r="DF110" i="1"/>
  <c r="FV118" i="1"/>
  <c r="FS124" i="1"/>
  <c r="DU124" i="1"/>
  <c r="ET124" i="1"/>
  <c r="CV124" i="1"/>
  <c r="FH124" i="1"/>
  <c r="CH124" i="1"/>
  <c r="GG124" i="1"/>
  <c r="EI124" i="1"/>
  <c r="GE78" i="1"/>
  <c r="FD79" i="1"/>
  <c r="CD79" i="1"/>
  <c r="EX80" i="1"/>
  <c r="ES81" i="1"/>
  <c r="DD84" i="1"/>
  <c r="BP88" i="1"/>
  <c r="EX89" i="1"/>
  <c r="DO90" i="1"/>
  <c r="FM90" i="1"/>
  <c r="CP90" i="1"/>
  <c r="GE91" i="1"/>
  <c r="CJ92" i="1"/>
  <c r="BZ93" i="1"/>
  <c r="EF93" i="1"/>
  <c r="BP95" i="1"/>
  <c r="BS97" i="1"/>
  <c r="DF107" i="1"/>
  <c r="EN108" i="1"/>
  <c r="GD111" i="1"/>
  <c r="GC111" i="1"/>
  <c r="FD112" i="1"/>
  <c r="GC112" i="1"/>
  <c r="FJ118" i="1"/>
  <c r="ET119" i="1"/>
  <c r="ES119" i="1"/>
  <c r="FV121" i="1"/>
  <c r="BW121" i="1"/>
  <c r="CY121" i="1"/>
  <c r="EK121" i="1"/>
  <c r="GI121" i="1"/>
  <c r="FJ121" i="1"/>
  <c r="FQ124" i="1"/>
  <c r="DS124" i="1"/>
  <c r="CB124" i="1"/>
  <c r="FJ132" i="1"/>
  <c r="EZ141" i="1"/>
  <c r="FW121" i="1"/>
  <c r="EX121" i="1"/>
  <c r="FN126" i="1"/>
  <c r="DP126" i="1"/>
  <c r="CQ126" i="1"/>
  <c r="EN130" i="1"/>
  <c r="CP130" i="1"/>
  <c r="FZ130" i="1"/>
  <c r="FA130" i="1"/>
  <c r="DC130" i="1"/>
  <c r="BO137" i="1"/>
  <c r="BN137" i="1"/>
  <c r="CP146" i="1"/>
  <c r="EN146" i="1"/>
  <c r="FZ146" i="1"/>
  <c r="EB146" i="1"/>
  <c r="DC146" i="1"/>
  <c r="ER163" i="1"/>
  <c r="DS163" i="1"/>
  <c r="DG163" i="1"/>
  <c r="FE163" i="1"/>
  <c r="CT171" i="1"/>
  <c r="FQ171" i="1"/>
  <c r="BR171" i="1"/>
  <c r="FO107" i="1"/>
  <c r="EP107" i="1"/>
  <c r="BV107" i="1"/>
  <c r="CA108" i="1"/>
  <c r="FA108" i="1"/>
  <c r="FD110" i="1"/>
  <c r="FH112" i="1"/>
  <c r="BN116" i="1"/>
  <c r="FI119" i="1"/>
  <c r="GH119" i="1"/>
  <c r="EJ119" i="1"/>
  <c r="DH123" i="1"/>
  <c r="FV135" i="1"/>
  <c r="CY135" i="1"/>
  <c r="EW135" i="1"/>
  <c r="EK135" i="1"/>
  <c r="GI135" i="1"/>
  <c r="BW139" i="1"/>
  <c r="DX139" i="1"/>
  <c r="DT147" i="1"/>
  <c r="FR147" i="1"/>
  <c r="DH147" i="1"/>
  <c r="EG147" i="1"/>
  <c r="FI111" i="1"/>
  <c r="DK111" i="1"/>
  <c r="DB112" i="1"/>
  <c r="BZ112" i="1"/>
  <c r="EA112" i="1"/>
  <c r="DD114" i="1"/>
  <c r="EO117" i="1"/>
  <c r="BO117" i="1"/>
  <c r="EJ132" i="1"/>
  <c r="DK132" i="1"/>
  <c r="BW135" i="1"/>
  <c r="BT143" i="1"/>
  <c r="ET143" i="1"/>
  <c r="DX144" i="1"/>
  <c r="BW144" i="1"/>
  <c r="EK144" i="1"/>
  <c r="BP156" i="1"/>
  <c r="EP156" i="1"/>
  <c r="ER102" i="1"/>
  <c r="BR102" i="1"/>
  <c r="FE102" i="1"/>
  <c r="DG102" i="1"/>
  <c r="EZ104" i="1"/>
  <c r="ET105" i="1"/>
  <c r="CV105" i="1"/>
  <c r="DU105" i="1"/>
  <c r="EI108" i="1"/>
  <c r="FH108" i="1"/>
  <c r="FN109" i="1"/>
  <c r="EO109" i="1"/>
  <c r="EZ112" i="1"/>
  <c r="FY112" i="1"/>
  <c r="EW113" i="1"/>
  <c r="FO114" i="1"/>
  <c r="BP114" i="1"/>
  <c r="CR114" i="1"/>
  <c r="ET116" i="1"/>
  <c r="FA118" i="1"/>
  <c r="DC118" i="1"/>
  <c r="BO120" i="1"/>
  <c r="FS122" i="1"/>
  <c r="BO124" i="1"/>
  <c r="FN124" i="1"/>
  <c r="EO124" i="1"/>
  <c r="DP124" i="1"/>
  <c r="CQ124" i="1"/>
  <c r="DX132" i="1"/>
  <c r="EW132" i="1"/>
  <c r="CY132" i="1"/>
  <c r="BW132" i="1"/>
  <c r="EK132" i="1"/>
  <c r="BP133" i="1"/>
  <c r="DQ133" i="1"/>
  <c r="DX136" i="1"/>
  <c r="CY136" i="1"/>
  <c r="EK136" i="1"/>
  <c r="FJ136" i="1"/>
  <c r="FN143" i="1"/>
  <c r="FO143" i="1"/>
  <c r="CJ112" i="1"/>
  <c r="EK112" i="1"/>
  <c r="ES117" i="1"/>
  <c r="FR117" i="1"/>
  <c r="CU117" i="1"/>
  <c r="FH119" i="1"/>
  <c r="GG119" i="1"/>
  <c r="CQ120" i="1"/>
  <c r="DD120" i="1"/>
  <c r="DP130" i="1"/>
  <c r="FN130" i="1"/>
  <c r="EO130" i="1"/>
  <c r="CQ130" i="1"/>
  <c r="BO130" i="1"/>
  <c r="FO133" i="1"/>
  <c r="EV137" i="1"/>
  <c r="FU137" i="1"/>
  <c r="GH137" i="1"/>
  <c r="DK137" i="1"/>
  <c r="BZ140" i="1"/>
  <c r="CU142" i="1"/>
  <c r="ES142" i="1"/>
  <c r="DT142" i="1"/>
  <c r="FR142" i="1"/>
  <c r="BS142" i="1"/>
  <c r="GE142" i="1"/>
  <c r="DH142" i="1"/>
  <c r="CF142" i="1"/>
  <c r="EG142" i="1"/>
  <c r="DX39" i="1"/>
  <c r="BT40" i="1"/>
  <c r="CA40" i="1"/>
  <c r="ET40" i="1"/>
  <c r="DQ41" i="1"/>
  <c r="FD41" i="1"/>
  <c r="BX41" i="1"/>
  <c r="EV42" i="1"/>
  <c r="BZ44" i="1"/>
  <c r="DS44" i="1"/>
  <c r="BP45" i="1"/>
  <c r="EN46" i="1"/>
  <c r="DB47" i="1"/>
  <c r="FW48" i="1"/>
  <c r="BO48" i="1"/>
  <c r="DL48" i="1"/>
  <c r="BR49" i="1"/>
  <c r="FO49" i="1"/>
  <c r="DS50" i="1"/>
  <c r="FS50" i="1"/>
  <c r="ET51" i="1"/>
  <c r="FZ51" i="1"/>
  <c r="DB52" i="1"/>
  <c r="EA52" i="1"/>
  <c r="DX53" i="1"/>
  <c r="FO53" i="1"/>
  <c r="GC54" i="1"/>
  <c r="CI54" i="1"/>
  <c r="FN55" i="1"/>
  <c r="FB55" i="1"/>
  <c r="EI55" i="1"/>
  <c r="GG55" i="1"/>
  <c r="GC56" i="1"/>
  <c r="CY56" i="1"/>
  <c r="EK59" i="1"/>
  <c r="FD59" i="1"/>
  <c r="CV61" i="1"/>
  <c r="EN61" i="1"/>
  <c r="FI61" i="1"/>
  <c r="GH61" i="1"/>
  <c r="ER62" i="1"/>
  <c r="EA62" i="1"/>
  <c r="CD63" i="1"/>
  <c r="EZ63" i="1"/>
  <c r="BZ64" i="1"/>
  <c r="DB64" i="1"/>
  <c r="CJ65" i="1"/>
  <c r="DF66" i="1"/>
  <c r="CZ67" i="1"/>
  <c r="EG68" i="1"/>
  <c r="FM68" i="1"/>
  <c r="BX69" i="1"/>
  <c r="BZ71" i="1"/>
  <c r="CZ73" i="1"/>
  <c r="EI74" i="1"/>
  <c r="EV75" i="1"/>
  <c r="BV77" i="1"/>
  <c r="DK77" i="1"/>
  <c r="GH77" i="1"/>
  <c r="FD78" i="1"/>
  <c r="DO78" i="1"/>
  <c r="DY80" i="1"/>
  <c r="EA81" i="1"/>
  <c r="DL82" i="1"/>
  <c r="EX86" i="1"/>
  <c r="FY86" i="1"/>
  <c r="BN87" i="1"/>
  <c r="FA87" i="1"/>
  <c r="BT90" i="1"/>
  <c r="ET90" i="1"/>
  <c r="DJ90" i="1"/>
  <c r="EJ91" i="1"/>
  <c r="ET91" i="1"/>
  <c r="FU91" i="1"/>
  <c r="DB93" i="1"/>
  <c r="DT94" i="1"/>
  <c r="ES94" i="1"/>
  <c r="BR95" i="1"/>
  <c r="CD96" i="1"/>
  <c r="GC96" i="1"/>
  <c r="EK98" i="1"/>
  <c r="DH99" i="1"/>
  <c r="EB99" i="1"/>
  <c r="DC101" i="1"/>
  <c r="EA101" i="1"/>
  <c r="FA101" i="1"/>
  <c r="EX102" i="1"/>
  <c r="BN102" i="1"/>
  <c r="BT103" i="1"/>
  <c r="DQ104" i="1"/>
  <c r="EX105" i="1"/>
  <c r="BW106" i="1"/>
  <c r="GI106" i="1"/>
  <c r="CJ106" i="1"/>
  <c r="EW106" i="1"/>
  <c r="EX107" i="1"/>
  <c r="EG109" i="1"/>
  <c r="GE109" i="1"/>
  <c r="DH109" i="1"/>
  <c r="CY111" i="1"/>
  <c r="GI111" i="1"/>
  <c r="FF111" i="1"/>
  <c r="FE111" i="1"/>
  <c r="BR112" i="1"/>
  <c r="BT112" i="1"/>
  <c r="FV114" i="1"/>
  <c r="BS116" i="1"/>
  <c r="DT116" i="1"/>
  <c r="ES116" i="1"/>
  <c r="CU116" i="1"/>
  <c r="FF116" i="1"/>
  <c r="FR116" i="1"/>
  <c r="FV117" i="1"/>
  <c r="CR118" i="1"/>
  <c r="DB121" i="1"/>
  <c r="FY121" i="1"/>
  <c r="FU122" i="1"/>
  <c r="DW122" i="1"/>
  <c r="BV122" i="1"/>
  <c r="EX122" i="1"/>
  <c r="DP123" i="1"/>
  <c r="FU123" i="1"/>
  <c r="FV123" i="1"/>
  <c r="DJ124" i="1"/>
  <c r="EV125" i="1"/>
  <c r="DK126" i="1"/>
  <c r="CI126" i="1"/>
  <c r="FV136" i="1"/>
  <c r="EZ137" i="1"/>
  <c r="FW144" i="1"/>
  <c r="DY144" i="1"/>
  <c r="DB160" i="1"/>
  <c r="EA160" i="1"/>
  <c r="EZ160" i="1"/>
  <c r="FY160" i="1"/>
  <c r="FS161" i="1"/>
  <c r="DU161" i="1"/>
  <c r="BT161" i="1"/>
  <c r="CV161" i="1"/>
  <c r="BP97" i="1"/>
  <c r="CY98" i="1"/>
  <c r="DO99" i="1"/>
  <c r="DC99" i="1"/>
  <c r="FA99" i="1"/>
  <c r="DO100" i="1"/>
  <c r="DC100" i="1"/>
  <c r="EX101" i="1"/>
  <c r="FY102" i="1"/>
  <c r="BZ102" i="1"/>
  <c r="FM102" i="1"/>
  <c r="EJ103" i="1"/>
  <c r="FD104" i="1"/>
  <c r="BN105" i="1"/>
  <c r="EN105" i="1"/>
  <c r="FA105" i="1"/>
  <c r="CA105" i="1"/>
  <c r="FY107" i="1"/>
  <c r="EZ107" i="1"/>
  <c r="BZ107" i="1"/>
  <c r="GC107" i="1"/>
  <c r="DF108" i="1"/>
  <c r="EV110" i="1"/>
  <c r="DW110" i="1"/>
  <c r="CI110" i="1"/>
  <c r="DK110" i="1"/>
  <c r="FI110" i="1"/>
  <c r="EA110" i="1"/>
  <c r="BZ113" i="1"/>
  <c r="FY113" i="1"/>
  <c r="EG114" i="1"/>
  <c r="CV116" i="1"/>
  <c r="DU116" i="1"/>
  <c r="GG116" i="1"/>
  <c r="DJ120" i="1"/>
  <c r="DK120" i="1"/>
  <c r="DL121" i="1"/>
  <c r="FO127" i="1"/>
  <c r="DQ127" i="1"/>
  <c r="CD127" i="1"/>
  <c r="EZ127" i="1"/>
  <c r="DB128" i="1"/>
  <c r="EZ128" i="1"/>
  <c r="EA128" i="1"/>
  <c r="BZ128" i="1"/>
  <c r="BP131" i="1"/>
  <c r="DQ131" i="1"/>
  <c r="CD131" i="1"/>
  <c r="DF131" i="1"/>
  <c r="CB131" i="1"/>
  <c r="BZ131" i="1"/>
  <c r="CY134" i="1"/>
  <c r="DX134" i="1"/>
  <c r="FV134" i="1"/>
  <c r="GI134" i="1"/>
  <c r="FQ135" i="1"/>
  <c r="FE135" i="1"/>
  <c r="DG135" i="1"/>
  <c r="EO138" i="1"/>
  <c r="FN138" i="1"/>
  <c r="CQ138" i="1"/>
  <c r="CD145" i="1"/>
  <c r="EF153" i="1"/>
  <c r="BX154" i="1"/>
  <c r="FW154" i="1"/>
  <c r="DY154" i="1"/>
  <c r="CZ154" i="1"/>
  <c r="EV161" i="1"/>
  <c r="FU161" i="1"/>
  <c r="CX161" i="1"/>
  <c r="EW169" i="1"/>
  <c r="EX169" i="1"/>
  <c r="EV169" i="1"/>
  <c r="FF118" i="1"/>
  <c r="EG118" i="1"/>
  <c r="CF118" i="1"/>
  <c r="GE118" i="1"/>
  <c r="EN119" i="1"/>
  <c r="DO119" i="1"/>
  <c r="BN119" i="1"/>
  <c r="FM119" i="1"/>
  <c r="BV119" i="1"/>
  <c r="EN123" i="1"/>
  <c r="BN123" i="1"/>
  <c r="BX123" i="1"/>
  <c r="BV123" i="1"/>
  <c r="BR124" i="1"/>
  <c r="FW126" i="1"/>
  <c r="CZ126" i="1"/>
  <c r="EX126" i="1"/>
  <c r="DY126" i="1"/>
  <c r="BX126" i="1"/>
  <c r="CA128" i="1"/>
  <c r="FZ128" i="1"/>
  <c r="FW134" i="1"/>
  <c r="DY134" i="1"/>
  <c r="BX134" i="1"/>
  <c r="BS135" i="1"/>
  <c r="FR135" i="1"/>
  <c r="FF135" i="1"/>
  <c r="DH135" i="1"/>
  <c r="EG135" i="1"/>
  <c r="FE138" i="1"/>
  <c r="BW141" i="1"/>
  <c r="EW141" i="1"/>
  <c r="DL141" i="1"/>
  <c r="CJ141" i="1"/>
  <c r="DP143" i="1"/>
  <c r="FD147" i="1"/>
  <c r="CF153" i="1"/>
  <c r="DH153" i="1"/>
  <c r="GE153" i="1"/>
  <c r="EG153" i="1"/>
  <c r="FR153" i="1"/>
  <c r="FU159" i="1"/>
  <c r="CX159" i="1"/>
  <c r="BV159" i="1"/>
  <c r="EV159" i="1"/>
  <c r="CI159" i="1"/>
  <c r="DK159" i="1"/>
  <c r="GH159" i="1"/>
  <c r="EJ159" i="1"/>
  <c r="FI159" i="1"/>
  <c r="EO163" i="1"/>
  <c r="BO163" i="1"/>
  <c r="FN163" i="1"/>
  <c r="FB163" i="1"/>
  <c r="GA163" i="1"/>
  <c r="EC163" i="1"/>
  <c r="DD163" i="1"/>
  <c r="CB163" i="1"/>
  <c r="ES97" i="1"/>
  <c r="DJ97" i="1"/>
  <c r="CR98" i="1"/>
  <c r="BP99" i="1"/>
  <c r="FO99" i="1"/>
  <c r="CR99" i="1"/>
  <c r="CA99" i="1"/>
  <c r="CP99" i="1"/>
  <c r="FZ100" i="1"/>
  <c r="FO103" i="1"/>
  <c r="FM103" i="1"/>
  <c r="FM106" i="1"/>
  <c r="FA106" i="1"/>
  <c r="CA106" i="1"/>
  <c r="EP109" i="1"/>
  <c r="FV116" i="1"/>
  <c r="CY116" i="1"/>
  <c r="BS117" i="1"/>
  <c r="CX117" i="1"/>
  <c r="FB119" i="1"/>
  <c r="FV120" i="1"/>
  <c r="BW120" i="1"/>
  <c r="FJ120" i="1"/>
  <c r="EK120" i="1"/>
  <c r="DL120" i="1"/>
  <c r="GI120" i="1"/>
  <c r="CJ120" i="1"/>
  <c r="EW120" i="1"/>
  <c r="FD121" i="1"/>
  <c r="BT121" i="1"/>
  <c r="DB122" i="1"/>
  <c r="EA122" i="1"/>
  <c r="EZ122" i="1"/>
  <c r="DD123" i="1"/>
  <c r="GA123" i="1"/>
  <c r="FA124" i="1"/>
  <c r="CA124" i="1"/>
  <c r="EZ125" i="1"/>
  <c r="BZ125" i="1"/>
  <c r="FY125" i="1"/>
  <c r="EJ126" i="1"/>
  <c r="FD127" i="1"/>
  <c r="GD127" i="1"/>
  <c r="EC128" i="1"/>
  <c r="CB128" i="1"/>
  <c r="GA128" i="1"/>
  <c r="DD128" i="1"/>
  <c r="EO132" i="1"/>
  <c r="CR132" i="1"/>
  <c r="FA132" i="1"/>
  <c r="FA142" i="1"/>
  <c r="CE153" i="1"/>
  <c r="EX154" i="1"/>
  <c r="FN145" i="1"/>
  <c r="DP145" i="1"/>
  <c r="CB145" i="1"/>
  <c r="FO163" i="1"/>
  <c r="BR168" i="1"/>
  <c r="CT168" i="1"/>
  <c r="ER168" i="1"/>
  <c r="GD168" i="1"/>
  <c r="EF168" i="1"/>
  <c r="DG168" i="1"/>
  <c r="CE168" i="1"/>
  <c r="FZ170" i="1"/>
  <c r="DC170" i="1"/>
  <c r="CA170" i="1"/>
  <c r="CH79" i="1"/>
  <c r="DD79" i="1"/>
  <c r="EK81" i="1"/>
  <c r="FF81" i="1"/>
  <c r="FU82" i="1"/>
  <c r="CP84" i="1"/>
  <c r="DO87" i="1"/>
  <c r="FO88" i="1"/>
  <c r="BR89" i="1"/>
  <c r="GD89" i="1"/>
  <c r="BZ89" i="1"/>
  <c r="FU89" i="1"/>
  <c r="EK90" i="1"/>
  <c r="CX92" i="1"/>
  <c r="GG94" i="1"/>
  <c r="CU94" i="1"/>
  <c r="EG94" i="1"/>
  <c r="FU94" i="1"/>
  <c r="FQ96" i="1"/>
  <c r="FE96" i="1"/>
  <c r="EF96" i="1"/>
  <c r="DC97" i="1"/>
  <c r="DY97" i="1"/>
  <c r="EI98" i="1"/>
  <c r="EK101" i="1"/>
  <c r="DL101" i="1"/>
  <c r="EW101" i="1"/>
  <c r="DF103" i="1"/>
  <c r="DD105" i="1"/>
  <c r="CU108" i="1"/>
  <c r="DW109" i="1"/>
  <c r="CX109" i="1"/>
  <c r="EJ109" i="1"/>
  <c r="GH109" i="1"/>
  <c r="FI109" i="1"/>
  <c r="CI109" i="1"/>
  <c r="BT110" i="1"/>
  <c r="CV110" i="1"/>
  <c r="EN110" i="1"/>
  <c r="GG110" i="1"/>
  <c r="EC112" i="1"/>
  <c r="EP112" i="1"/>
  <c r="CV113" i="1"/>
  <c r="EK114" i="1"/>
  <c r="BP117" i="1"/>
  <c r="FO117" i="1"/>
  <c r="FS118" i="1"/>
  <c r="DJ118" i="1"/>
  <c r="CH118" i="1"/>
  <c r="FN123" i="1"/>
  <c r="DT124" i="1"/>
  <c r="ES124" i="1"/>
  <c r="GI125" i="1"/>
  <c r="DD126" i="1"/>
  <c r="FM129" i="1"/>
  <c r="EN129" i="1"/>
  <c r="DO129" i="1"/>
  <c r="FZ129" i="1"/>
  <c r="CA129" i="1"/>
  <c r="CV131" i="1"/>
  <c r="EZ138" i="1"/>
  <c r="DB138" i="1"/>
  <c r="BN140" i="1"/>
  <c r="DO140" i="1"/>
  <c r="BP141" i="1"/>
  <c r="FI143" i="1"/>
  <c r="CI143" i="1"/>
  <c r="GG144" i="1"/>
  <c r="EI147" i="1"/>
  <c r="GG147" i="1"/>
  <c r="CF157" i="1"/>
  <c r="DH157" i="1"/>
  <c r="DP137" i="1"/>
  <c r="EN138" i="1"/>
  <c r="FM138" i="1"/>
  <c r="CP138" i="1"/>
  <c r="EO140" i="1"/>
  <c r="FN140" i="1"/>
  <c r="CY140" i="1"/>
  <c r="CX140" i="1"/>
  <c r="FR145" i="1"/>
  <c r="BS145" i="1"/>
  <c r="FF145" i="1"/>
  <c r="CI147" i="1"/>
  <c r="EJ147" i="1"/>
  <c r="GH147" i="1"/>
  <c r="FD151" i="1"/>
  <c r="GC151" i="1"/>
  <c r="BZ152" i="1"/>
  <c r="EZ152" i="1"/>
  <c r="DB152" i="1"/>
  <c r="DQ140" i="1"/>
  <c r="FO140" i="1"/>
  <c r="FD140" i="1"/>
  <c r="CD140" i="1"/>
  <c r="EP140" i="1"/>
  <c r="FD141" i="1"/>
  <c r="DF141" i="1"/>
  <c r="CD141" i="1"/>
  <c r="FF144" i="1"/>
  <c r="BT145" i="1"/>
  <c r="FS145" i="1"/>
  <c r="BN148" i="1"/>
  <c r="FA148" i="1"/>
  <c r="GA151" i="1"/>
  <c r="FZ151" i="1"/>
  <c r="FU154" i="1"/>
  <c r="BV154" i="1"/>
  <c r="CX154" i="1"/>
  <c r="EV154" i="1"/>
  <c r="EJ154" i="1"/>
  <c r="DK154" i="1"/>
  <c r="CI154" i="1"/>
  <c r="GH154" i="1"/>
  <c r="FI154" i="1"/>
  <c r="BV160" i="1"/>
  <c r="CX160" i="1"/>
  <c r="DK160" i="1"/>
  <c r="GH160" i="1"/>
  <c r="CI160" i="1"/>
  <c r="EJ160" i="1"/>
  <c r="DY110" i="1"/>
  <c r="BP110" i="1"/>
  <c r="EI111" i="1"/>
  <c r="GH113" i="1"/>
  <c r="DX115" i="1"/>
  <c r="BV116" i="1"/>
  <c r="FI116" i="1"/>
  <c r="CI116" i="1"/>
  <c r="DH119" i="1"/>
  <c r="CF119" i="1"/>
  <c r="BT120" i="1"/>
  <c r="EI120" i="1"/>
  <c r="DK121" i="1"/>
  <c r="FI121" i="1"/>
  <c r="DF123" i="1"/>
  <c r="FD123" i="1"/>
  <c r="CR123" i="1"/>
  <c r="GC126" i="1"/>
  <c r="FN127" i="1"/>
  <c r="FQ133" i="1"/>
  <c r="DT139" i="1"/>
  <c r="ER140" i="1"/>
  <c r="CT140" i="1"/>
  <c r="DG140" i="1"/>
  <c r="EF140" i="1"/>
  <c r="CR140" i="1"/>
  <c r="FH140" i="1"/>
  <c r="GH140" i="1"/>
  <c r="EX141" i="1"/>
  <c r="BP142" i="1"/>
  <c r="EP142" i="1"/>
  <c r="FD142" i="1"/>
  <c r="GC142" i="1"/>
  <c r="CD142" i="1"/>
  <c r="CQ142" i="1"/>
  <c r="FU142" i="1"/>
  <c r="BZ143" i="1"/>
  <c r="EA143" i="1"/>
  <c r="BO143" i="1"/>
  <c r="CJ144" i="1"/>
  <c r="DB146" i="1"/>
  <c r="FY146" i="1"/>
  <c r="EA146" i="1"/>
  <c r="DT146" i="1"/>
  <c r="EZ148" i="1"/>
  <c r="FY151" i="1"/>
  <c r="CJ158" i="1"/>
  <c r="GI158" i="1"/>
  <c r="BW160" i="1"/>
  <c r="CY160" i="1"/>
  <c r="EW160" i="1"/>
  <c r="GI160" i="1"/>
  <c r="CJ160" i="1"/>
  <c r="DL160" i="1"/>
  <c r="EK160" i="1"/>
  <c r="FY148" i="1"/>
  <c r="BT148" i="1"/>
  <c r="FB150" i="1"/>
  <c r="GA150" i="1"/>
  <c r="EK150" i="1"/>
  <c r="EI150" i="1"/>
  <c r="FM152" i="1"/>
  <c r="CA152" i="1"/>
  <c r="DC152" i="1"/>
  <c r="FA160" i="1"/>
  <c r="EB160" i="1"/>
  <c r="DC160" i="1"/>
  <c r="FZ160" i="1"/>
  <c r="CA160" i="1"/>
  <c r="EX161" i="1"/>
  <c r="CZ161" i="1"/>
  <c r="DF163" i="1"/>
  <c r="FI164" i="1"/>
  <c r="DK164" i="1"/>
  <c r="FW165" i="1"/>
  <c r="DK166" i="1"/>
  <c r="EJ166" i="1"/>
  <c r="DB166" i="1"/>
  <c r="DD166" i="1"/>
  <c r="DT169" i="1"/>
  <c r="CU169" i="1"/>
  <c r="FR169" i="1"/>
  <c r="GE169" i="1"/>
  <c r="CF169" i="1"/>
  <c r="FF169" i="1"/>
  <c r="BV171" i="1"/>
  <c r="EV171" i="1"/>
  <c r="FU171" i="1"/>
  <c r="EO152" i="1"/>
  <c r="DP152" i="1"/>
  <c r="FN152" i="1"/>
  <c r="CB152" i="1"/>
  <c r="DD152" i="1"/>
  <c r="DQ158" i="1"/>
  <c r="CR158" i="1"/>
  <c r="FO158" i="1"/>
  <c r="GC158" i="1"/>
  <c r="CD158" i="1"/>
  <c r="EW168" i="1"/>
  <c r="FV168" i="1"/>
  <c r="CJ168" i="1"/>
  <c r="EK168" i="1"/>
  <c r="GG169" i="1"/>
  <c r="DJ169" i="1"/>
  <c r="CA172" i="1"/>
  <c r="FA172" i="1"/>
  <c r="BR174" i="1"/>
  <c r="ER174" i="1"/>
  <c r="CF127" i="1"/>
  <c r="CR128" i="1"/>
  <c r="FQ131" i="1"/>
  <c r="DY135" i="1"/>
  <c r="FD137" i="1"/>
  <c r="DF138" i="1"/>
  <c r="GC138" i="1"/>
  <c r="FM139" i="1"/>
  <c r="CP139" i="1"/>
  <c r="DU140" i="1"/>
  <c r="CV140" i="1"/>
  <c r="GG140" i="1"/>
  <c r="CZ141" i="1"/>
  <c r="GI145" i="1"/>
  <c r="DL145" i="1"/>
  <c r="DU146" i="1"/>
  <c r="FA146" i="1"/>
  <c r="FI147" i="1"/>
  <c r="CQ148" i="1"/>
  <c r="DO148" i="1"/>
  <c r="BR149" i="1"/>
  <c r="DC149" i="1"/>
  <c r="ER150" i="1"/>
  <c r="DS150" i="1"/>
  <c r="CE150" i="1"/>
  <c r="FE150" i="1"/>
  <c r="FS150" i="1"/>
  <c r="FZ152" i="1"/>
  <c r="DT153" i="1"/>
  <c r="FM154" i="1"/>
  <c r="DU156" i="1"/>
  <c r="FS156" i="1"/>
  <c r="CD156" i="1"/>
  <c r="CV156" i="1"/>
  <c r="DX157" i="1"/>
  <c r="EA158" i="1"/>
  <c r="BZ160" i="1"/>
  <c r="CP161" i="1"/>
  <c r="FF162" i="1"/>
  <c r="EG162" i="1"/>
  <c r="CF162" i="1"/>
  <c r="FY165" i="1"/>
  <c r="FJ168" i="1"/>
  <c r="DK169" i="1"/>
  <c r="GH169" i="1"/>
  <c r="FW171" i="1"/>
  <c r="EX171" i="1"/>
  <c r="FI173" i="1"/>
  <c r="EJ173" i="1"/>
  <c r="CB98" i="1"/>
  <c r="DK98" i="1"/>
  <c r="FD98" i="1"/>
  <c r="GC98" i="1"/>
  <c r="EP99" i="1"/>
  <c r="FM100" i="1"/>
  <c r="BZ101" i="1"/>
  <c r="CZ101" i="1"/>
  <c r="EE101" i="1"/>
  <c r="DB103" i="1"/>
  <c r="FU104" i="1"/>
  <c r="DD104" i="1"/>
  <c r="DS104" i="1"/>
  <c r="EJ104" i="1"/>
  <c r="FF104" i="1"/>
  <c r="FY104" i="1"/>
  <c r="BV106" i="1"/>
  <c r="DK106" i="1"/>
  <c r="DT106" i="1"/>
  <c r="ER109" i="1"/>
  <c r="DL111" i="1"/>
  <c r="EG111" i="1"/>
  <c r="EZ111" i="1"/>
  <c r="DQ112" i="1"/>
  <c r="DD113" i="1"/>
  <c r="BZ114" i="1"/>
  <c r="EA114" i="1"/>
  <c r="DD118" i="1"/>
  <c r="FV119" i="1"/>
  <c r="EI119" i="1"/>
  <c r="FO120" i="1"/>
  <c r="ER121" i="1"/>
  <c r="GD121" i="1"/>
  <c r="BO122" i="1"/>
  <c r="DD122" i="1"/>
  <c r="EV123" i="1"/>
  <c r="CX124" i="1"/>
  <c r="FI124" i="1"/>
  <c r="EJ124" i="1"/>
  <c r="CI124" i="1"/>
  <c r="DS125" i="1"/>
  <c r="DS127" i="1"/>
  <c r="DF129" i="1"/>
  <c r="BR130" i="1"/>
  <c r="DS130" i="1"/>
  <c r="GE131" i="1"/>
  <c r="DH131" i="1"/>
  <c r="EG131" i="1"/>
  <c r="FB131" i="1"/>
  <c r="CZ132" i="1"/>
  <c r="CU134" i="1"/>
  <c r="EV134" i="1"/>
  <c r="EZ135" i="1"/>
  <c r="GI136" i="1"/>
  <c r="BV137" i="1"/>
  <c r="BR138" i="1"/>
  <c r="CR138" i="1"/>
  <c r="EP138" i="1"/>
  <c r="EO139" i="1"/>
  <c r="CQ139" i="1"/>
  <c r="EI140" i="1"/>
  <c r="EW140" i="1"/>
  <c r="FF141" i="1"/>
  <c r="DS141" i="1"/>
  <c r="EO143" i="1"/>
  <c r="CB143" i="1"/>
  <c r="FB143" i="1"/>
  <c r="EK145" i="1"/>
  <c r="GC148" i="1"/>
  <c r="CD148" i="1"/>
  <c r="DP148" i="1"/>
  <c r="BS149" i="1"/>
  <c r="DF149" i="1"/>
  <c r="ET150" i="1"/>
  <c r="DG155" i="1"/>
  <c r="GD155" i="1"/>
  <c r="CE155" i="1"/>
  <c r="EX157" i="1"/>
  <c r="CZ157" i="1"/>
  <c r="EG158" i="1"/>
  <c r="GE158" i="1"/>
  <c r="FH164" i="1"/>
  <c r="BZ166" i="1"/>
  <c r="FJ166" i="1"/>
  <c r="FH166" i="1"/>
  <c r="BZ168" i="1"/>
  <c r="EZ168" i="1"/>
  <c r="DL168" i="1"/>
  <c r="CY169" i="1"/>
  <c r="DX169" i="1"/>
  <c r="GI169" i="1"/>
  <c r="EK170" i="1"/>
  <c r="CJ170" i="1"/>
  <c r="FJ170" i="1"/>
  <c r="FY171" i="1"/>
  <c r="BZ171" i="1"/>
  <c r="BN171" i="1"/>
  <c r="EZ171" i="1"/>
  <c r="CA114" i="1"/>
  <c r="DG114" i="1"/>
  <c r="EB114" i="1"/>
  <c r="DO116" i="1"/>
  <c r="FJ116" i="1"/>
  <c r="EE118" i="1"/>
  <c r="EI118" i="1"/>
  <c r="GC118" i="1"/>
  <c r="DY119" i="1"/>
  <c r="ER120" i="1"/>
  <c r="FD122" i="1"/>
  <c r="BZ122" i="1"/>
  <c r="EW123" i="1"/>
  <c r="BW123" i="1"/>
  <c r="EC123" i="1"/>
  <c r="ER124" i="1"/>
  <c r="FM124" i="1"/>
  <c r="CT125" i="1"/>
  <c r="FR126" i="1"/>
  <c r="BS126" i="1"/>
  <c r="FR127" i="1"/>
  <c r="BS128" i="1"/>
  <c r="FF128" i="1"/>
  <c r="CF128" i="1"/>
  <c r="CT129" i="1"/>
  <c r="FQ129" i="1"/>
  <c r="FM130" i="1"/>
  <c r="CH131" i="1"/>
  <c r="GG131" i="1"/>
  <c r="CP132" i="1"/>
  <c r="DW133" i="1"/>
  <c r="DU134" i="1"/>
  <c r="CH134" i="1"/>
  <c r="BR135" i="1"/>
  <c r="DL135" i="1"/>
  <c r="CD138" i="1"/>
  <c r="DL140" i="1"/>
  <c r="CJ140" i="1"/>
  <c r="BZ142" i="1"/>
  <c r="GE143" i="1"/>
  <c r="FY145" i="1"/>
  <c r="EA145" i="1"/>
  <c r="CR145" i="1"/>
  <c r="DK147" i="1"/>
  <c r="GD148" i="1"/>
  <c r="FF155" i="1"/>
  <c r="BW156" i="1"/>
  <c r="EW156" i="1"/>
  <c r="CY156" i="1"/>
  <c r="GE159" i="1"/>
  <c r="FF159" i="1"/>
  <c r="CF159" i="1"/>
  <c r="BV162" i="1"/>
  <c r="DW162" i="1"/>
  <c r="GH164" i="1"/>
  <c r="DY165" i="1"/>
  <c r="FI166" i="1"/>
  <c r="ES169" i="1"/>
  <c r="DC171" i="1"/>
  <c r="EB171" i="1"/>
  <c r="FZ171" i="1"/>
  <c r="DW171" i="1"/>
  <c r="FA171" i="1"/>
  <c r="EN172" i="1"/>
  <c r="CZ173" i="1"/>
  <c r="DK173" i="1"/>
  <c r="ET174" i="1"/>
  <c r="ES174" i="1"/>
  <c r="CD102" i="1"/>
  <c r="CA103" i="1"/>
  <c r="FA103" i="1"/>
  <c r="FU103" i="1"/>
  <c r="DY104" i="1"/>
  <c r="EC105" i="1"/>
  <c r="EE107" i="1"/>
  <c r="BP108" i="1"/>
  <c r="EE108" i="1"/>
  <c r="CR110" i="1"/>
  <c r="EE110" i="1"/>
  <c r="GG112" i="1"/>
  <c r="FA114" i="1"/>
  <c r="FZ114" i="1"/>
  <c r="BR116" i="1"/>
  <c r="DW116" i="1"/>
  <c r="DF117" i="1"/>
  <c r="CE118" i="1"/>
  <c r="CU118" i="1"/>
  <c r="DO118" i="1"/>
  <c r="FE118" i="1"/>
  <c r="ES120" i="1"/>
  <c r="CU120" i="1"/>
  <c r="FH121" i="1"/>
  <c r="CT122" i="1"/>
  <c r="ER122" i="1"/>
  <c r="DS122" i="1"/>
  <c r="FE122" i="1"/>
  <c r="CA122" i="1"/>
  <c r="EX123" i="1"/>
  <c r="BO123" i="1"/>
  <c r="BN124" i="1"/>
  <c r="DH124" i="1"/>
  <c r="DW124" i="1"/>
  <c r="EG125" i="1"/>
  <c r="FF125" i="1"/>
  <c r="FQ125" i="1"/>
  <c r="BT126" i="1"/>
  <c r="CH126" i="1"/>
  <c r="FV127" i="1"/>
  <c r="EW127" i="1"/>
  <c r="BS129" i="1"/>
  <c r="CU129" i="1"/>
  <c r="DS129" i="1"/>
  <c r="ET130" i="1"/>
  <c r="BT130" i="1"/>
  <c r="FH130" i="1"/>
  <c r="EI130" i="1"/>
  <c r="EI131" i="1"/>
  <c r="FE131" i="1"/>
  <c r="FV133" i="1"/>
  <c r="FI134" i="1"/>
  <c r="EJ134" i="1"/>
  <c r="CI134" i="1"/>
  <c r="CH137" i="1"/>
  <c r="CV137" i="1"/>
  <c r="BR139" i="1"/>
  <c r="EK140" i="1"/>
  <c r="FZ142" i="1"/>
  <c r="CA142" i="1"/>
  <c r="BR143" i="1"/>
  <c r="EF143" i="1"/>
  <c r="DG143" i="1"/>
  <c r="CE144" i="1"/>
  <c r="CE148" i="1"/>
  <c r="FS148" i="1"/>
  <c r="CX149" i="1"/>
  <c r="BV150" i="1"/>
  <c r="CX150" i="1"/>
  <c r="EJ150" i="1"/>
  <c r="FI150" i="1"/>
  <c r="DD151" i="1"/>
  <c r="FO153" i="1"/>
  <c r="DQ153" i="1"/>
  <c r="CU153" i="1"/>
  <c r="DH160" i="1"/>
  <c r="EJ164" i="1"/>
  <c r="BZ167" i="1"/>
  <c r="EZ170" i="1"/>
  <c r="EA170" i="1"/>
  <c r="DB170" i="1"/>
  <c r="GA172" i="1"/>
  <c r="FB172" i="1"/>
  <c r="BR119" i="1"/>
  <c r="FU120" i="1"/>
  <c r="FI120" i="1"/>
  <c r="CI120" i="1"/>
  <c r="ET121" i="1"/>
  <c r="CV121" i="1"/>
  <c r="GC121" i="1"/>
  <c r="BN122" i="1"/>
  <c r="DC122" i="1"/>
  <c r="FQ123" i="1"/>
  <c r="FE123" i="1"/>
  <c r="EF123" i="1"/>
  <c r="GE124" i="1"/>
  <c r="FA125" i="1"/>
  <c r="BT125" i="1"/>
  <c r="EK125" i="1"/>
  <c r="EX127" i="1"/>
  <c r="BP127" i="1"/>
  <c r="EG128" i="1"/>
  <c r="DD129" i="1"/>
  <c r="CQ129" i="1"/>
  <c r="DP129" i="1"/>
  <c r="GC130" i="1"/>
  <c r="CD130" i="1"/>
  <c r="FD130" i="1"/>
  <c r="CX131" i="1"/>
  <c r="BV132" i="1"/>
  <c r="CI133" i="1"/>
  <c r="CI135" i="1"/>
  <c r="DK135" i="1"/>
  <c r="DB135" i="1"/>
  <c r="EX135" i="1"/>
  <c r="DO136" i="1"/>
  <c r="DB137" i="1"/>
  <c r="FQ138" i="1"/>
  <c r="BS139" i="1"/>
  <c r="DH139" i="1"/>
  <c r="BZ139" i="1"/>
  <c r="FD139" i="1"/>
  <c r="BP140" i="1"/>
  <c r="BR141" i="1"/>
  <c r="ER142" i="1"/>
  <c r="FR143" i="1"/>
  <c r="ES143" i="1"/>
  <c r="CI145" i="1"/>
  <c r="GC145" i="1"/>
  <c r="DD147" i="1"/>
  <c r="EO147" i="1"/>
  <c r="CF148" i="1"/>
  <c r="CT148" i="1"/>
  <c r="ER148" i="1"/>
  <c r="FM148" i="1"/>
  <c r="CH149" i="1"/>
  <c r="FF149" i="1"/>
  <c r="GE149" i="1"/>
  <c r="DQ150" i="1"/>
  <c r="CR150" i="1"/>
  <c r="EP150" i="1"/>
  <c r="FW153" i="1"/>
  <c r="BO154" i="1"/>
  <c r="DB154" i="1"/>
  <c r="CA157" i="1"/>
  <c r="EO158" i="1"/>
  <c r="DP158" i="1"/>
  <c r="FB158" i="1"/>
  <c r="DD158" i="1"/>
  <c r="GG159" i="1"/>
  <c r="EI159" i="1"/>
  <c r="DJ159" i="1"/>
  <c r="CH159" i="1"/>
  <c r="CV160" i="1"/>
  <c r="EW161" i="1"/>
  <c r="BP163" i="1"/>
  <c r="BT164" i="1"/>
  <c r="DU164" i="1"/>
  <c r="DJ164" i="1"/>
  <c r="GG164" i="1"/>
  <c r="ET164" i="1"/>
  <c r="FS164" i="1"/>
  <c r="DB165" i="1"/>
  <c r="FA167" i="1"/>
  <c r="FW168" i="1"/>
  <c r="DK170" i="1"/>
  <c r="EJ170" i="1"/>
  <c r="GH170" i="1"/>
  <c r="FI170" i="1"/>
  <c r="CI170" i="1"/>
  <c r="CE171" i="1"/>
  <c r="FO172" i="1"/>
  <c r="CD172" i="1"/>
  <c r="GC172" i="1"/>
  <c r="FD172" i="1"/>
  <c r="DF172" i="1"/>
  <c r="EB172" i="1"/>
  <c r="BR173" i="1"/>
  <c r="CP174" i="1"/>
  <c r="FA174" i="1"/>
  <c r="EB174" i="1"/>
  <c r="DC174" i="1"/>
  <c r="FZ174" i="1"/>
  <c r="CB172" i="1"/>
  <c r="DW173" i="1"/>
  <c r="FB174" i="1"/>
  <c r="DD174" i="1"/>
  <c r="GA174" i="1"/>
  <c r="FF150" i="1"/>
  <c r="CD152" i="1"/>
  <c r="CE152" i="1"/>
  <c r="FA153" i="1"/>
  <c r="GC157" i="1"/>
  <c r="FD157" i="1"/>
  <c r="DG158" i="1"/>
  <c r="GD158" i="1"/>
  <c r="CE158" i="1"/>
  <c r="ER158" i="1"/>
  <c r="CY159" i="1"/>
  <c r="BW159" i="1"/>
  <c r="EK159" i="1"/>
  <c r="DL159" i="1"/>
  <c r="BT160" i="1"/>
  <c r="FY161" i="1"/>
  <c r="BZ161" i="1"/>
  <c r="CU162" i="1"/>
  <c r="EK164" i="1"/>
  <c r="FV165" i="1"/>
  <c r="EW165" i="1"/>
  <c r="DX165" i="1"/>
  <c r="CY165" i="1"/>
  <c r="GC167" i="1"/>
  <c r="CD167" i="1"/>
  <c r="EE167" i="1"/>
  <c r="BX168" i="1"/>
  <c r="DY168" i="1"/>
  <c r="CZ168" i="1"/>
  <c r="EA168" i="1"/>
  <c r="CJ171" i="1"/>
  <c r="FJ171" i="1"/>
  <c r="CF173" i="1"/>
  <c r="DH173" i="1"/>
  <c r="ER173" i="1"/>
  <c r="FR173" i="1"/>
  <c r="BO129" i="1"/>
  <c r="FH133" i="1"/>
  <c r="CE133" i="1"/>
  <c r="DK134" i="1"/>
  <c r="FH134" i="1"/>
  <c r="CX135" i="1"/>
  <c r="FY135" i="1"/>
  <c r="DW137" i="1"/>
  <c r="BT139" i="1"/>
  <c r="BV140" i="1"/>
  <c r="FN142" i="1"/>
  <c r="DF143" i="1"/>
  <c r="FQ143" i="1"/>
  <c r="CX144" i="1"/>
  <c r="GH144" i="1"/>
  <c r="CA145" i="1"/>
  <c r="BZ146" i="1"/>
  <c r="EF146" i="1"/>
  <c r="CJ147" i="1"/>
  <c r="CY147" i="1"/>
  <c r="EC147" i="1"/>
  <c r="EW147" i="1"/>
  <c r="DW148" i="1"/>
  <c r="FA149" i="1"/>
  <c r="BV149" i="1"/>
  <c r="CP149" i="1"/>
  <c r="BS150" i="1"/>
  <c r="GD150" i="1"/>
  <c r="DB151" i="1"/>
  <c r="EP151" i="1"/>
  <c r="ET152" i="1"/>
  <c r="EB152" i="1"/>
  <c r="FS152" i="1"/>
  <c r="CJ155" i="1"/>
  <c r="FJ155" i="1"/>
  <c r="DL155" i="1"/>
  <c r="ER156" i="1"/>
  <c r="DC161" i="1"/>
  <c r="EB161" i="1"/>
  <c r="DP162" i="1"/>
  <c r="FY164" i="1"/>
  <c r="EA165" i="1"/>
  <c r="FA166" i="1"/>
  <c r="CA166" i="1"/>
  <c r="EA166" i="1"/>
  <c r="EX166" i="1"/>
  <c r="BR169" i="1"/>
  <c r="FB173" i="1"/>
  <c r="CT173" i="1"/>
  <c r="EI173" i="1"/>
  <c r="BR146" i="1"/>
  <c r="EX147" i="1"/>
  <c r="CZ147" i="1"/>
  <c r="DX148" i="1"/>
  <c r="CH148" i="1"/>
  <c r="EO148" i="1"/>
  <c r="EO149" i="1"/>
  <c r="CQ149" i="1"/>
  <c r="FN149" i="1"/>
  <c r="DJ150" i="1"/>
  <c r="DC151" i="1"/>
  <c r="FU152" i="1"/>
  <c r="FM153" i="1"/>
  <c r="FY154" i="1"/>
  <c r="CZ155" i="1"/>
  <c r="FY155" i="1"/>
  <c r="FY156" i="1"/>
  <c r="DB157" i="1"/>
  <c r="EN158" i="1"/>
  <c r="DO158" i="1"/>
  <c r="BO161" i="1"/>
  <c r="DD161" i="1"/>
  <c r="CB161" i="1"/>
  <c r="BV161" i="1"/>
  <c r="DX161" i="1"/>
  <c r="DQ162" i="1"/>
  <c r="CX163" i="1"/>
  <c r="CI163" i="1"/>
  <c r="CY164" i="1"/>
  <c r="GC165" i="1"/>
  <c r="BO166" i="1"/>
  <c r="CQ166" i="1"/>
  <c r="EC166" i="1"/>
  <c r="EB166" i="1"/>
  <c r="GA167" i="1"/>
  <c r="CX172" i="1"/>
  <c r="FO173" i="1"/>
  <c r="EP173" i="1"/>
  <c r="BP173" i="1"/>
  <c r="GC173" i="1"/>
  <c r="DJ174" i="1"/>
  <c r="CV174" i="1"/>
  <c r="EC174" i="1"/>
  <c r="EV174" i="1"/>
  <c r="FI174" i="1"/>
  <c r="EJ174" i="1"/>
  <c r="FU148" i="1"/>
  <c r="BT149" i="1"/>
  <c r="ET149" i="1"/>
  <c r="CJ150" i="1"/>
  <c r="FF152" i="1"/>
  <c r="CQ153" i="1"/>
  <c r="ES153" i="1"/>
  <c r="DJ154" i="1"/>
  <c r="DK155" i="1"/>
  <c r="EJ155" i="1"/>
  <c r="FF156" i="1"/>
  <c r="DJ156" i="1"/>
  <c r="CQ157" i="1"/>
  <c r="FH158" i="1"/>
  <c r="EI158" i="1"/>
  <c r="CF161" i="1"/>
  <c r="FJ161" i="1"/>
  <c r="DG162" i="1"/>
  <c r="EF162" i="1"/>
  <c r="FO162" i="1"/>
  <c r="CZ164" i="1"/>
  <c r="DG164" i="1"/>
  <c r="DY164" i="1"/>
  <c r="FM168" i="1"/>
  <c r="BX169" i="1"/>
  <c r="CZ169" i="1"/>
  <c r="FW169" i="1"/>
  <c r="BX171" i="1"/>
  <c r="FZ172" i="1"/>
  <c r="FY174" i="1"/>
  <c r="EI174" i="1"/>
  <c r="BX151" i="1"/>
  <c r="DX153" i="1"/>
  <c r="FV153" i="1"/>
  <c r="EI154" i="1"/>
  <c r="BT156" i="1"/>
  <c r="CX157" i="1"/>
  <c r="DQ157" i="1"/>
  <c r="FU157" i="1"/>
  <c r="CU158" i="1"/>
  <c r="FH159" i="1"/>
  <c r="FB160" i="1"/>
  <c r="FF163" i="1"/>
  <c r="FH169" i="1"/>
  <c r="BW170" i="1"/>
  <c r="BS171" i="1"/>
  <c r="CF171" i="1"/>
  <c r="DB173" i="1"/>
  <c r="BS174" i="1"/>
  <c r="GH174" i="1"/>
  <c r="CR2" i="1"/>
  <c r="DQ2" i="1"/>
  <c r="EP2" i="1"/>
  <c r="CE2" i="1"/>
  <c r="DQ7" i="1"/>
  <c r="CR7" i="1"/>
  <c r="GH7" i="1"/>
  <c r="EV9" i="1"/>
  <c r="DW9" i="1"/>
  <c r="FU9" i="1"/>
  <c r="CX9" i="1"/>
  <c r="EJ9" i="1"/>
  <c r="CI9" i="1"/>
  <c r="FI9" i="1"/>
  <c r="CP9" i="1"/>
  <c r="DB10" i="1"/>
  <c r="CP3" i="1"/>
  <c r="FU4" i="1"/>
  <c r="BR8" i="1"/>
  <c r="FD8" i="1"/>
  <c r="EW9" i="1"/>
  <c r="DX9" i="1"/>
  <c r="BW9" i="1"/>
  <c r="EO12" i="1"/>
  <c r="DJ14" i="1"/>
  <c r="GG14" i="1"/>
  <c r="FF14" i="1"/>
  <c r="EW15" i="1"/>
  <c r="FV15" i="1"/>
  <c r="CY15" i="1"/>
  <c r="FU18" i="1"/>
  <c r="FU19" i="1"/>
  <c r="FV19" i="1"/>
  <c r="BT2" i="1"/>
  <c r="EI4" i="1"/>
  <c r="DJ4" i="1"/>
  <c r="FD7" i="1"/>
  <c r="FE8" i="1"/>
  <c r="CE8" i="1"/>
  <c r="EF8" i="1"/>
  <c r="GD8" i="1"/>
  <c r="BR11" i="1"/>
  <c r="BS12" i="1"/>
  <c r="CP13" i="1"/>
  <c r="FQ13" i="1"/>
  <c r="DT19" i="1"/>
  <c r="BW23" i="1"/>
  <c r="EW23" i="1"/>
  <c r="FV23" i="1"/>
  <c r="GI23" i="1"/>
  <c r="EK23" i="1"/>
  <c r="DL23" i="1"/>
  <c r="FJ23" i="1"/>
  <c r="FB2" i="1"/>
  <c r="FQ2" i="1"/>
  <c r="ER3" i="1"/>
  <c r="DS3" i="1"/>
  <c r="CT3" i="1"/>
  <c r="FE3" i="1"/>
  <c r="EF3" i="1"/>
  <c r="DG3" i="1"/>
  <c r="CY3" i="1"/>
  <c r="BZ4" i="1"/>
  <c r="FY4" i="1"/>
  <c r="FM5" i="1"/>
  <c r="DO5" i="1"/>
  <c r="FZ5" i="1"/>
  <c r="CA5" i="1"/>
  <c r="EZ5" i="1"/>
  <c r="FO6" i="1"/>
  <c r="FJ6" i="1"/>
  <c r="CA7" i="1"/>
  <c r="DC7" i="1"/>
  <c r="DF8" i="1"/>
  <c r="CZ9" i="1"/>
  <c r="FS11" i="1"/>
  <c r="DU11" i="1"/>
  <c r="ET11" i="1"/>
  <c r="EI11" i="1"/>
  <c r="CH11" i="1"/>
  <c r="BO13" i="1"/>
  <c r="CQ13" i="1"/>
  <c r="BR13" i="1"/>
  <c r="EC13" i="1"/>
  <c r="FD13" i="1"/>
  <c r="GA13" i="1"/>
  <c r="BT14" i="1"/>
  <c r="DW14" i="1"/>
  <c r="GE14" i="1"/>
  <c r="CT15" i="1"/>
  <c r="FY17" i="1"/>
  <c r="EZ17" i="1"/>
  <c r="EA17" i="1"/>
  <c r="BZ17" i="1"/>
  <c r="FY19" i="1"/>
  <c r="EA19" i="1"/>
  <c r="EZ19" i="1"/>
  <c r="DB19" i="1"/>
  <c r="EO20" i="1"/>
  <c r="DP20" i="1"/>
  <c r="CB20" i="1"/>
  <c r="GA20" i="1"/>
  <c r="EC20" i="1"/>
  <c r="FB20" i="1"/>
  <c r="CE21" i="1"/>
  <c r="GD21" i="1"/>
  <c r="EF21" i="1"/>
  <c r="DG21" i="1"/>
  <c r="FY22" i="1"/>
  <c r="EA22" i="1"/>
  <c r="CJ23" i="1"/>
  <c r="FB23" i="1"/>
  <c r="CR24" i="1"/>
  <c r="ET24" i="1"/>
  <c r="FD25" i="1"/>
  <c r="CV27" i="1"/>
  <c r="DG28" i="1"/>
  <c r="BW29" i="1"/>
  <c r="GH30" i="1"/>
  <c r="CR31" i="1"/>
  <c r="EP31" i="1"/>
  <c r="FO31" i="1"/>
  <c r="EE31" i="1"/>
  <c r="FD31" i="1"/>
  <c r="GC31" i="1"/>
  <c r="BR31" i="1"/>
  <c r="EV31" i="1"/>
  <c r="BT32" i="1"/>
  <c r="EA7" i="1"/>
  <c r="DB7" i="1"/>
  <c r="CB7" i="1"/>
  <c r="FZ7" i="1"/>
  <c r="CP8" i="1"/>
  <c r="CZ8" i="1"/>
  <c r="FQ9" i="1"/>
  <c r="DS9" i="1"/>
  <c r="CT9" i="1"/>
  <c r="FE9" i="1"/>
  <c r="DG9" i="1"/>
  <c r="GD9" i="1"/>
  <c r="FN12" i="1"/>
  <c r="FO13" i="1"/>
  <c r="DQ13" i="1"/>
  <c r="BP13" i="1"/>
  <c r="ER13" i="1"/>
  <c r="BV15" i="1"/>
  <c r="FU15" i="1"/>
  <c r="CY16" i="1"/>
  <c r="FV16" i="1"/>
  <c r="EW16" i="1"/>
  <c r="GI16" i="1"/>
  <c r="FJ16" i="1"/>
  <c r="DL16" i="1"/>
  <c r="BZ16" i="1"/>
  <c r="CI18" i="1"/>
  <c r="DK18" i="1"/>
  <c r="EJ18" i="1"/>
  <c r="BX24" i="1"/>
  <c r="FW24" i="1"/>
  <c r="EX24" i="1"/>
  <c r="CZ24" i="1"/>
  <c r="EO25" i="1"/>
  <c r="BO25" i="1"/>
  <c r="CB25" i="1"/>
  <c r="GA25" i="1"/>
  <c r="EC25" i="1"/>
  <c r="CH25" i="1"/>
  <c r="EZ26" i="1"/>
  <c r="DB26" i="1"/>
  <c r="EA26" i="1"/>
  <c r="FN26" i="1"/>
  <c r="ES27" i="1"/>
  <c r="DT27" i="1"/>
  <c r="BS27" i="1"/>
  <c r="CF27" i="1"/>
  <c r="GE27" i="1"/>
  <c r="EG27" i="1"/>
  <c r="ET27" i="1"/>
  <c r="DH28" i="1"/>
  <c r="ER28" i="1"/>
  <c r="DD29" i="1"/>
  <c r="DC29" i="1"/>
  <c r="CR32" i="1"/>
  <c r="FO32" i="1"/>
  <c r="EP32" i="1"/>
  <c r="DQ32" i="1"/>
  <c r="BP32" i="1"/>
  <c r="FD32" i="1"/>
  <c r="DF32" i="1"/>
  <c r="EE32" i="1"/>
  <c r="GC32" i="1"/>
  <c r="CD32" i="1"/>
  <c r="FR34" i="1"/>
  <c r="DT34" i="1"/>
  <c r="BS34" i="1"/>
  <c r="CU34" i="1"/>
  <c r="ES34" i="1"/>
  <c r="GE34" i="1"/>
  <c r="CF34" i="1"/>
  <c r="EG34" i="1"/>
  <c r="FF34" i="1"/>
  <c r="DH34" i="1"/>
  <c r="DU3" i="1"/>
  <c r="CV3" i="1"/>
  <c r="EZ4" i="1"/>
  <c r="CH5" i="1"/>
  <c r="CV5" i="1"/>
  <c r="CU5" i="1"/>
  <c r="FU5" i="1"/>
  <c r="FM7" i="1"/>
  <c r="DO7" i="1"/>
  <c r="CP7" i="1"/>
  <c r="EN7" i="1"/>
  <c r="EZ7" i="1"/>
  <c r="DW8" i="1"/>
  <c r="FQ8" i="1"/>
  <c r="CU9" i="1"/>
  <c r="FR9" i="1"/>
  <c r="ES9" i="1"/>
  <c r="GE9" i="1"/>
  <c r="FF9" i="1"/>
  <c r="DH9" i="1"/>
  <c r="DB9" i="1"/>
  <c r="EF9" i="1"/>
  <c r="FQ10" i="1"/>
  <c r="DS10" i="1"/>
  <c r="CT10" i="1"/>
  <c r="DG10" i="1"/>
  <c r="FE10" i="1"/>
  <c r="GD10" i="1"/>
  <c r="CZ10" i="1"/>
  <c r="ER10" i="1"/>
  <c r="BO12" i="1"/>
  <c r="FE13" i="1"/>
  <c r="DG13" i="1"/>
  <c r="GD13" i="1"/>
  <c r="BT13" i="1"/>
  <c r="EE13" i="1"/>
  <c r="ET13" i="1"/>
  <c r="GC13" i="1"/>
  <c r="CZ16" i="1"/>
  <c r="FW16" i="1"/>
  <c r="EX16" i="1"/>
  <c r="DG17" i="1"/>
  <c r="DH17" i="1"/>
  <c r="EJ17" i="1"/>
  <c r="BW18" i="1"/>
  <c r="CY18" i="1"/>
  <c r="GI18" i="1"/>
  <c r="EK18" i="1"/>
  <c r="DL18" i="1"/>
  <c r="DM18" i="1" s="1"/>
  <c r="BO19" i="1"/>
  <c r="CQ19" i="1"/>
  <c r="GA19" i="1"/>
  <c r="EC19" i="1"/>
  <c r="DD19" i="1"/>
  <c r="FN19" i="1"/>
  <c r="DG20" i="1"/>
  <c r="CE20" i="1"/>
  <c r="FE20" i="1"/>
  <c r="EF20" i="1"/>
  <c r="GD20" i="1"/>
  <c r="CQ22" i="1"/>
  <c r="BO22" i="1"/>
  <c r="DP22" i="1"/>
  <c r="EO22" i="1"/>
  <c r="FB22" i="1"/>
  <c r="DD22" i="1"/>
  <c r="EC22" i="1"/>
  <c r="FN22" i="1"/>
  <c r="BZ24" i="1"/>
  <c r="FY24" i="1"/>
  <c r="EA24" i="1"/>
  <c r="EZ24" i="1"/>
  <c r="BN24" i="1"/>
  <c r="GG24" i="1"/>
  <c r="EA25" i="1"/>
  <c r="FM26" i="1"/>
  <c r="DO26" i="1"/>
  <c r="EN26" i="1"/>
  <c r="CP26" i="1"/>
  <c r="FA26" i="1"/>
  <c r="EB26" i="1"/>
  <c r="DC26" i="1"/>
  <c r="GG27" i="1"/>
  <c r="EI27" i="1"/>
  <c r="DJ27" i="1"/>
  <c r="BR28" i="1"/>
  <c r="ER32" i="1"/>
  <c r="CT32" i="1"/>
  <c r="FQ32" i="1"/>
  <c r="DS32" i="1"/>
  <c r="BR32" i="1"/>
  <c r="DG32" i="1"/>
  <c r="EF32" i="1"/>
  <c r="CE32" i="1"/>
  <c r="GD32" i="1"/>
  <c r="BV32" i="1"/>
  <c r="FR33" i="1"/>
  <c r="BS33" i="1"/>
  <c r="ES33" i="1"/>
  <c r="FF33" i="1"/>
  <c r="GE33" i="1"/>
  <c r="CF33" i="1"/>
  <c r="EG33" i="1"/>
  <c r="CU3" i="1"/>
  <c r="DT3" i="1"/>
  <c r="ES3" i="1"/>
  <c r="DC2" i="1"/>
  <c r="EB2" i="1"/>
  <c r="FA2" i="1"/>
  <c r="GG6" i="1"/>
  <c r="CQ7" i="1"/>
  <c r="DP7" i="1"/>
  <c r="GA7" i="1"/>
  <c r="EC7" i="1"/>
  <c r="DK8" i="1"/>
  <c r="DL8" i="1"/>
  <c r="DX8" i="1"/>
  <c r="FS9" i="1"/>
  <c r="CV9" i="1"/>
  <c r="ET9" i="1"/>
  <c r="FH9" i="1"/>
  <c r="CH9" i="1"/>
  <c r="EI9" i="1"/>
  <c r="GG9" i="1"/>
  <c r="DC9" i="1"/>
  <c r="EG9" i="1"/>
  <c r="EZ9" i="1"/>
  <c r="FM12" i="1"/>
  <c r="DO12" i="1"/>
  <c r="CP12" i="1"/>
  <c r="BN12" i="1"/>
  <c r="FA12" i="1"/>
  <c r="DC12" i="1"/>
  <c r="ES13" i="1"/>
  <c r="CU13" i="1"/>
  <c r="FR13" i="1"/>
  <c r="GE13" i="1"/>
  <c r="DH13" i="1"/>
  <c r="FF13" i="1"/>
  <c r="EF13" i="1"/>
  <c r="EZ16" i="1"/>
  <c r="EA16" i="1"/>
  <c r="FY16" i="1"/>
  <c r="CT17" i="1"/>
  <c r="DF17" i="1"/>
  <c r="DF18" i="1"/>
  <c r="GH18" i="1"/>
  <c r="DO19" i="1"/>
  <c r="FO22" i="1"/>
  <c r="DQ22" i="1"/>
  <c r="EP22" i="1"/>
  <c r="CR22" i="1"/>
  <c r="EE22" i="1"/>
  <c r="DF22" i="1"/>
  <c r="FD22" i="1"/>
  <c r="CD22" i="1"/>
  <c r="BR22" i="1"/>
  <c r="BV23" i="1"/>
  <c r="GC23" i="1"/>
  <c r="EO26" i="1"/>
  <c r="CQ26" i="1"/>
  <c r="DP26" i="1"/>
  <c r="DD26" i="1"/>
  <c r="FB26" i="1"/>
  <c r="EC26" i="1"/>
  <c r="EW26" i="1"/>
  <c r="FQ28" i="1"/>
  <c r="DS28" i="1"/>
  <c r="FE28" i="1"/>
  <c r="GD28" i="1"/>
  <c r="CV28" i="1"/>
  <c r="EF28" i="1"/>
  <c r="CV29" i="1"/>
  <c r="FS29" i="1"/>
  <c r="BT29" i="1"/>
  <c r="ET29" i="1"/>
  <c r="FH29" i="1"/>
  <c r="DJ29" i="1"/>
  <c r="EI29" i="1"/>
  <c r="GG29" i="1"/>
  <c r="BZ29" i="1"/>
  <c r="FD30" i="1"/>
  <c r="CU32" i="1"/>
  <c r="DT32" i="1"/>
  <c r="FR32" i="1"/>
  <c r="EG32" i="1"/>
  <c r="FF32" i="1"/>
  <c r="CF32" i="1"/>
  <c r="DH32" i="1"/>
  <c r="BZ43" i="1"/>
  <c r="EA43" i="1"/>
  <c r="DB43" i="1"/>
  <c r="EZ43" i="1"/>
  <c r="FY43" i="1"/>
  <c r="CT5" i="1"/>
  <c r="FO7" i="1"/>
  <c r="FS10" i="1"/>
  <c r="DU10" i="1"/>
  <c r="CV10" i="1"/>
  <c r="ET10" i="1"/>
  <c r="CK11" i="1"/>
  <c r="DD12" i="1"/>
  <c r="GA12" i="1"/>
  <c r="EN12" i="1"/>
  <c r="GG13" i="1"/>
  <c r="EI13" i="1"/>
  <c r="FH13" i="1"/>
  <c r="CH13" i="1"/>
  <c r="DS13" i="1"/>
  <c r="CU14" i="1"/>
  <c r="DT14" i="1"/>
  <c r="BS14" i="1"/>
  <c r="FI15" i="1"/>
  <c r="DK15" i="1"/>
  <c r="GH15" i="1"/>
  <c r="EN16" i="1"/>
  <c r="DO16" i="1"/>
  <c r="FM16" i="1"/>
  <c r="CP16" i="1"/>
  <c r="FA16" i="1"/>
  <c r="EB16" i="1"/>
  <c r="CA16" i="1"/>
  <c r="FY18" i="1"/>
  <c r="EA18" i="1"/>
  <c r="DB18" i="1"/>
  <c r="EZ18" i="1"/>
  <c r="DW18" i="1"/>
  <c r="FQ19" i="1"/>
  <c r="DS19" i="1"/>
  <c r="CT19" i="1"/>
  <c r="FE19" i="1"/>
  <c r="CE19" i="1"/>
  <c r="DG19" i="1"/>
  <c r="DP19" i="1"/>
  <c r="FB19" i="1"/>
  <c r="GD23" i="1"/>
  <c r="BO24" i="1"/>
  <c r="DP24" i="1"/>
  <c r="FN25" i="1"/>
  <c r="ES28" i="1"/>
  <c r="CU28" i="1"/>
  <c r="FR28" i="1"/>
  <c r="GE28" i="1"/>
  <c r="FF28" i="1"/>
  <c r="EG28" i="1"/>
  <c r="FE30" i="1"/>
  <c r="ET32" i="1"/>
  <c r="CV32" i="1"/>
  <c r="DU32" i="1"/>
  <c r="CH32" i="1"/>
  <c r="GG32" i="1"/>
  <c r="EI32" i="1"/>
  <c r="DJ32" i="1"/>
  <c r="EV33" i="1"/>
  <c r="CX33" i="1"/>
  <c r="DW33" i="1"/>
  <c r="FU33" i="1"/>
  <c r="DK33" i="1"/>
  <c r="EJ33" i="1"/>
  <c r="GH33" i="1"/>
  <c r="FI33" i="1"/>
  <c r="DT33" i="1"/>
  <c r="EP33" i="1"/>
  <c r="EO33" i="1"/>
  <c r="CH3" i="1"/>
  <c r="GG3" i="1"/>
  <c r="EI3" i="1"/>
  <c r="FU3" i="1"/>
  <c r="DW3" i="1"/>
  <c r="CH4" i="1"/>
  <c r="BV4" i="1"/>
  <c r="DX2" i="1"/>
  <c r="GI9" i="1"/>
  <c r="EK9" i="1"/>
  <c r="CJ9" i="1"/>
  <c r="EV23" i="1"/>
  <c r="FU23" i="1"/>
  <c r="CI23" i="1"/>
  <c r="GH23" i="1"/>
  <c r="EJ23" i="1"/>
  <c r="DK23" i="1"/>
  <c r="FI23" i="1"/>
  <c r="DB24" i="1"/>
  <c r="FH25" i="1"/>
  <c r="EI25" i="1"/>
  <c r="DJ25" i="1"/>
  <c r="FR27" i="1"/>
  <c r="ET28" i="1"/>
  <c r="FS28" i="1"/>
  <c r="CH28" i="1"/>
  <c r="EI28" i="1"/>
  <c r="GG28" i="1"/>
  <c r="FA28" i="1"/>
  <c r="EZ28" i="1"/>
  <c r="CY29" i="1"/>
  <c r="FV29" i="1"/>
  <c r="EK29" i="1"/>
  <c r="FJ29" i="1"/>
  <c r="GI29" i="1"/>
  <c r="DU29" i="1"/>
  <c r="DW32" i="1"/>
  <c r="CX32" i="1"/>
  <c r="EV32" i="1"/>
  <c r="GH32" i="1"/>
  <c r="EJ32" i="1"/>
  <c r="CI32" i="1"/>
  <c r="DK32" i="1"/>
  <c r="DH33" i="1"/>
  <c r="EX34" i="1"/>
  <c r="FW34" i="1"/>
  <c r="DL35" i="1"/>
  <c r="DK35" i="1"/>
  <c r="DJ35" i="1"/>
  <c r="FM2" i="1"/>
  <c r="DO2" i="1"/>
  <c r="EN2" i="1"/>
  <c r="CP2" i="1"/>
  <c r="BN2" i="1"/>
  <c r="CI5" i="1"/>
  <c r="GC2" i="1"/>
  <c r="EE2" i="1"/>
  <c r="EO6" i="1"/>
  <c r="DJ8" i="1"/>
  <c r="FJ5" i="1"/>
  <c r="DT9" i="1"/>
  <c r="EF10" i="1"/>
  <c r="FF3" i="1"/>
  <c r="EO11" i="1"/>
  <c r="CQ11" i="1"/>
  <c r="FN11" i="1"/>
  <c r="BO11" i="1"/>
  <c r="EJ3" i="1"/>
  <c r="EK7" i="1"/>
  <c r="EJ7" i="1"/>
  <c r="EZ6" i="1"/>
  <c r="DG7" i="1"/>
  <c r="BO8" i="1"/>
  <c r="EO8" i="1"/>
  <c r="CQ8" i="1"/>
  <c r="DP8" i="1"/>
  <c r="EI10" i="1"/>
  <c r="CH10" i="1"/>
  <c r="GG10" i="1"/>
  <c r="FH10" i="1"/>
  <c r="BS2" i="1"/>
  <c r="BW4" i="1"/>
  <c r="FB9" i="1"/>
  <c r="FO12" i="1"/>
  <c r="CR12" i="1"/>
  <c r="GE2" i="1"/>
  <c r="CF2" i="1"/>
  <c r="CX5" i="1"/>
  <c r="DW5" i="1"/>
  <c r="EV5" i="1"/>
  <c r="CX8" i="1"/>
  <c r="CR9" i="1"/>
  <c r="DU9" i="1"/>
  <c r="DD11" i="1"/>
  <c r="GA11" i="1"/>
  <c r="CT12" i="1"/>
  <c r="FQ12" i="1"/>
  <c r="ER12" i="1"/>
  <c r="DS12" i="1"/>
  <c r="CE12" i="1"/>
  <c r="GD12" i="1"/>
  <c r="FE12" i="1"/>
  <c r="EF12" i="1"/>
  <c r="EP12" i="1"/>
  <c r="FD16" i="1"/>
  <c r="GG17" i="1"/>
  <c r="EI17" i="1"/>
  <c r="DJ17" i="1"/>
  <c r="FH17" i="1"/>
  <c r="GC17" i="1"/>
  <c r="EO19" i="1"/>
  <c r="FS22" i="1"/>
  <c r="FU24" i="1"/>
  <c r="DO25" i="1"/>
  <c r="FS27" i="1"/>
  <c r="CI28" i="1"/>
  <c r="EJ28" i="1"/>
  <c r="GH28" i="1"/>
  <c r="DK28" i="1"/>
  <c r="BV28" i="1"/>
  <c r="DT28" i="1"/>
  <c r="EX29" i="1"/>
  <c r="CZ29" i="1"/>
  <c r="DY29" i="1"/>
  <c r="FW29" i="1"/>
  <c r="BN29" i="1"/>
  <c r="BP29" i="1"/>
  <c r="BO29" i="1"/>
  <c r="DL29" i="1"/>
  <c r="EW30" i="1"/>
  <c r="FV30" i="1"/>
  <c r="FJ30" i="1"/>
  <c r="DL30" i="1"/>
  <c r="EK30" i="1"/>
  <c r="FE32" i="1"/>
  <c r="DY34" i="1"/>
  <c r="GG2" i="1"/>
  <c r="EI2" i="1"/>
  <c r="CH2" i="1"/>
  <c r="FH2" i="1"/>
  <c r="CX4" i="1"/>
  <c r="DW4" i="1"/>
  <c r="BN6" i="1"/>
  <c r="BT7" i="1"/>
  <c r="DW7" i="1"/>
  <c r="GE8" i="1"/>
  <c r="CF8" i="1"/>
  <c r="BT8" i="1"/>
  <c r="CY8" i="1"/>
  <c r="EG8" i="1"/>
  <c r="CE9" i="1"/>
  <c r="DJ9" i="1"/>
  <c r="CE10" i="1"/>
  <c r="FO11" i="1"/>
  <c r="CR11" i="1"/>
  <c r="DM11" i="1" s="1"/>
  <c r="GC11" i="1"/>
  <c r="EE11" i="1"/>
  <c r="FD11" i="1"/>
  <c r="DF11" i="1"/>
  <c r="ES12" i="1"/>
  <c r="FR12" i="1"/>
  <c r="DT12" i="1"/>
  <c r="CU12" i="1"/>
  <c r="EC12" i="1"/>
  <c r="FZ12" i="1"/>
  <c r="CR13" i="1"/>
  <c r="DJ13" i="1"/>
  <c r="EW14" i="1"/>
  <c r="CY14" i="1"/>
  <c r="FV14" i="1"/>
  <c r="GI14" i="1"/>
  <c r="EK14" i="1"/>
  <c r="FJ14" i="1"/>
  <c r="DL14" i="1"/>
  <c r="EG14" i="1"/>
  <c r="ES14" i="1"/>
  <c r="FH14" i="1"/>
  <c r="FY15" i="1"/>
  <c r="EA15" i="1"/>
  <c r="EZ15" i="1"/>
  <c r="DB15" i="1"/>
  <c r="BN15" i="1"/>
  <c r="EJ15" i="1"/>
  <c r="EV15" i="1"/>
  <c r="CJ16" i="1"/>
  <c r="FI18" i="1"/>
  <c r="EI20" i="1"/>
  <c r="GA22" i="1"/>
  <c r="CX23" i="1"/>
  <c r="FR23" i="1"/>
  <c r="DD25" i="1"/>
  <c r="DP25" i="1"/>
  <c r="FZ26" i="1"/>
  <c r="DU28" i="1"/>
  <c r="DX30" i="1"/>
  <c r="EZ31" i="1"/>
  <c r="BZ31" i="1"/>
  <c r="EA31" i="1"/>
  <c r="DB31" i="1"/>
  <c r="FH31" i="1"/>
  <c r="FM33" i="1"/>
  <c r="FY33" i="1"/>
  <c r="CZ34" i="1"/>
  <c r="CZ36" i="1"/>
  <c r="FW36" i="1"/>
  <c r="DY36" i="1"/>
  <c r="EX36" i="1"/>
  <c r="BX36" i="1"/>
  <c r="CT38" i="1"/>
  <c r="DS38" i="1"/>
  <c r="ER38" i="1"/>
  <c r="FQ38" i="1"/>
  <c r="BR38" i="1"/>
  <c r="GD38" i="1"/>
  <c r="CE38" i="1"/>
  <c r="EF38" i="1"/>
  <c r="DG38" i="1"/>
  <c r="FE38" i="1"/>
  <c r="CQ2" i="1"/>
  <c r="EO2" i="1"/>
  <c r="DP2" i="1"/>
  <c r="CI3" i="1"/>
  <c r="GH3" i="1"/>
  <c r="FA4" i="1"/>
  <c r="FV5" i="1"/>
  <c r="EN6" i="1"/>
  <c r="DH3" i="1"/>
  <c r="FR3" i="1"/>
  <c r="EP5" i="1"/>
  <c r="GC7" i="1"/>
  <c r="CD7" i="1"/>
  <c r="DD8" i="1"/>
  <c r="EC8" i="1"/>
  <c r="CV13" i="1"/>
  <c r="FS13" i="1"/>
  <c r="CV7" i="1"/>
  <c r="FV9" i="1"/>
  <c r="FI10" i="1"/>
  <c r="EJ10" i="1"/>
  <c r="CI10" i="1"/>
  <c r="EN11" i="1"/>
  <c r="EE12" i="1"/>
  <c r="GC12" i="1"/>
  <c r="FD12" i="1"/>
  <c r="DF12" i="1"/>
  <c r="DL15" i="1"/>
  <c r="FJ15" i="1"/>
  <c r="GI15" i="1"/>
  <c r="FS25" i="1"/>
  <c r="DU25" i="1"/>
  <c r="CV25" i="1"/>
  <c r="ET25" i="1"/>
  <c r="ES2" i="1"/>
  <c r="DT2" i="1"/>
  <c r="FR2" i="1"/>
  <c r="FH4" i="1"/>
  <c r="FI5" i="1"/>
  <c r="EJ5" i="1"/>
  <c r="CZ6" i="1"/>
  <c r="DY6" i="1"/>
  <c r="EP7" i="1"/>
  <c r="DS8" i="1"/>
  <c r="CT8" i="1"/>
  <c r="EB12" i="1"/>
  <c r="FU14" i="1"/>
  <c r="CX14" i="1"/>
  <c r="CZ15" i="1"/>
  <c r="FW15" i="1"/>
  <c r="CT16" i="1"/>
  <c r="EK16" i="1"/>
  <c r="CV17" i="1"/>
  <c r="FV18" i="1"/>
  <c r="FY26" i="1"/>
  <c r="EW2" i="1"/>
  <c r="EX2" i="1"/>
  <c r="EJ4" i="1"/>
  <c r="GH4" i="1"/>
  <c r="DC4" i="1"/>
  <c r="FI4" i="1"/>
  <c r="DX5" i="1"/>
  <c r="CY5" i="1"/>
  <c r="EK5" i="1"/>
  <c r="GI5" i="1"/>
  <c r="DB5" i="1"/>
  <c r="FY6" i="1"/>
  <c r="EA6" i="1"/>
  <c r="GE12" i="1"/>
  <c r="EG12" i="1"/>
  <c r="FF12" i="1"/>
  <c r="CF12" i="1"/>
  <c r="EF2" i="1"/>
  <c r="EV2" i="1"/>
  <c r="FO2" i="1"/>
  <c r="BS3" i="1"/>
  <c r="CE3" i="1"/>
  <c r="EB3" i="1"/>
  <c r="ET3" i="1"/>
  <c r="FH3" i="1"/>
  <c r="EW4" i="1"/>
  <c r="CY4" i="1"/>
  <c r="DX4" i="1"/>
  <c r="GI4" i="1"/>
  <c r="CJ4" i="1"/>
  <c r="EK4" i="1"/>
  <c r="DD4" i="1"/>
  <c r="FJ4" i="1"/>
  <c r="DC5" i="1"/>
  <c r="EX5" i="1"/>
  <c r="DO6" i="1"/>
  <c r="CP6" i="1"/>
  <c r="FA6" i="1"/>
  <c r="FZ6" i="1"/>
  <c r="CA6" i="1"/>
  <c r="BO6" i="1"/>
  <c r="FW6" i="1"/>
  <c r="ER7" i="1"/>
  <c r="FS8" i="1"/>
  <c r="BR9" i="1"/>
  <c r="CF9" i="1"/>
  <c r="DK9" i="1"/>
  <c r="FJ9" i="1"/>
  <c r="FQ11" i="1"/>
  <c r="CT11" i="1"/>
  <c r="ER11" i="1"/>
  <c r="DS11" i="1"/>
  <c r="CE11" i="1"/>
  <c r="DG11" i="1"/>
  <c r="GD11" i="1"/>
  <c r="FE11" i="1"/>
  <c r="EF11" i="1"/>
  <c r="FH11" i="1"/>
  <c r="BT12" i="1"/>
  <c r="CD13" i="1"/>
  <c r="EO13" i="1"/>
  <c r="FB13" i="1"/>
  <c r="CZ14" i="1"/>
  <c r="FW14" i="1"/>
  <c r="EX14" i="1"/>
  <c r="BP14" i="1"/>
  <c r="BN14" i="1"/>
  <c r="DU14" i="1"/>
  <c r="FM15" i="1"/>
  <c r="CP15" i="1"/>
  <c r="EN15" i="1"/>
  <c r="DO15" i="1"/>
  <c r="CA15" i="1"/>
  <c r="FA15" i="1"/>
  <c r="EB15" i="1"/>
  <c r="FZ15" i="1"/>
  <c r="BO15" i="1"/>
  <c r="DW15" i="1"/>
  <c r="EK15" i="1"/>
  <c r="EX15" i="1"/>
  <c r="BW16" i="1"/>
  <c r="DX16" i="1"/>
  <c r="BW17" i="1"/>
  <c r="CY17" i="1"/>
  <c r="EW17" i="1"/>
  <c r="FV17" i="1"/>
  <c r="FJ17" i="1"/>
  <c r="GI17" i="1"/>
  <c r="DL17" i="1"/>
  <c r="BV18" i="1"/>
  <c r="CJ18" i="1"/>
  <c r="CK18" i="1" s="1"/>
  <c r="EV18" i="1"/>
  <c r="FJ18" i="1"/>
  <c r="BZ19" i="1"/>
  <c r="CP19" i="1"/>
  <c r="GD19" i="1"/>
  <c r="EA20" i="1"/>
  <c r="ER21" i="1"/>
  <c r="CY23" i="1"/>
  <c r="DY24" i="1"/>
  <c r="CQ25" i="1"/>
  <c r="FB25" i="1"/>
  <c r="FV25" i="1"/>
  <c r="GA26" i="1"/>
  <c r="CH27" i="1"/>
  <c r="FH28" i="1"/>
  <c r="CH29" i="1"/>
  <c r="DX29" i="1"/>
  <c r="ER30" i="1"/>
  <c r="ET30" i="1"/>
  <c r="ES30" i="1"/>
  <c r="BP31" i="1"/>
  <c r="CD31" i="1"/>
  <c r="FH32" i="1"/>
  <c r="CU33" i="1"/>
  <c r="FN33" i="1"/>
  <c r="CE35" i="1"/>
  <c r="DB3" i="1"/>
  <c r="DD3" i="1"/>
  <c r="EC2" i="1"/>
  <c r="DD2" i="1"/>
  <c r="GE3" i="1"/>
  <c r="FB7" i="1"/>
  <c r="CP10" i="1"/>
  <c r="FM10" i="1"/>
  <c r="DS2" i="1"/>
  <c r="CT2" i="1"/>
  <c r="DJ2" i="1"/>
  <c r="FZ2" i="1"/>
  <c r="ES5" i="1"/>
  <c r="ER5" i="1"/>
  <c r="CY6" i="1"/>
  <c r="DX6" i="1"/>
  <c r="GI6" i="1"/>
  <c r="EO7" i="1"/>
  <c r="FO8" i="1"/>
  <c r="DQ8" i="1"/>
  <c r="EP8" i="1"/>
  <c r="CR8" i="1"/>
  <c r="EV10" i="1"/>
  <c r="DW10" i="1"/>
  <c r="FU10" i="1"/>
  <c r="DT13" i="1"/>
  <c r="DF16" i="1"/>
  <c r="EN3" i="1"/>
  <c r="ET4" i="1"/>
  <c r="CV4" i="1"/>
  <c r="GH10" i="1"/>
  <c r="CI14" i="1"/>
  <c r="DK14" i="1"/>
  <c r="GH14" i="1"/>
  <c r="FI14" i="1"/>
  <c r="EG2" i="1"/>
  <c r="FO3" i="1"/>
  <c r="DQ3" i="1"/>
  <c r="BP3" i="1"/>
  <c r="CR3" i="1"/>
  <c r="EP3" i="1"/>
  <c r="DF3" i="1"/>
  <c r="EE3" i="1"/>
  <c r="BT3" i="1"/>
  <c r="CF3" i="1"/>
  <c r="CX3" i="1"/>
  <c r="FI3" i="1"/>
  <c r="DY4" i="1"/>
  <c r="FW4" i="1"/>
  <c r="CZ4" i="1"/>
  <c r="BP4" i="1"/>
  <c r="BO4" i="1"/>
  <c r="EV4" i="1"/>
  <c r="FN6" i="1"/>
  <c r="DP6" i="1"/>
  <c r="CB6" i="1"/>
  <c r="GA6" i="1"/>
  <c r="DH6" i="1"/>
  <c r="DG6" i="1"/>
  <c r="BZ7" i="1"/>
  <c r="GC8" i="1"/>
  <c r="BS9" i="1"/>
  <c r="CY9" i="1"/>
  <c r="DL9" i="1"/>
  <c r="BR10" i="1"/>
  <c r="FD10" i="1"/>
  <c r="FF10" i="1"/>
  <c r="EC11" i="1"/>
  <c r="DP12" i="1"/>
  <c r="CE13" i="1"/>
  <c r="EP13" i="1"/>
  <c r="CF14" i="1"/>
  <c r="EI14" i="1"/>
  <c r="DX15" i="1"/>
  <c r="BX16" i="1"/>
  <c r="DY16" i="1"/>
  <c r="FZ16" i="1"/>
  <c r="EW18" i="1"/>
  <c r="FW19" i="1"/>
  <c r="CB19" i="1"/>
  <c r="ER19" i="1"/>
  <c r="EN20" i="1"/>
  <c r="DO20" i="1"/>
  <c r="CA20" i="1"/>
  <c r="FA20" i="1"/>
  <c r="EB20" i="1"/>
  <c r="EP21" i="1"/>
  <c r="DQ21" i="1"/>
  <c r="BP21" i="1"/>
  <c r="CD21" i="1"/>
  <c r="GC21" i="1"/>
  <c r="EE21" i="1"/>
  <c r="GC22" i="1"/>
  <c r="CZ23" i="1"/>
  <c r="CY26" i="1"/>
  <c r="BW26" i="1"/>
  <c r="DX26" i="1"/>
  <c r="FJ26" i="1"/>
  <c r="GI26" i="1"/>
  <c r="CJ26" i="1"/>
  <c r="BZ26" i="1"/>
  <c r="BT27" i="1"/>
  <c r="CU27" i="1"/>
  <c r="DH27" i="1"/>
  <c r="FF27" i="1"/>
  <c r="FI28" i="1"/>
  <c r="EO31" i="1"/>
  <c r="BO31" i="1"/>
  <c r="FB31" i="1"/>
  <c r="DD31" i="1"/>
  <c r="EC31" i="1"/>
  <c r="FN31" i="1"/>
  <c r="BS32" i="1"/>
  <c r="ES32" i="1"/>
  <c r="FI32" i="1"/>
  <c r="CI33" i="1"/>
  <c r="GE35" i="1"/>
  <c r="GC35" i="1"/>
  <c r="EG37" i="1"/>
  <c r="EE37" i="1"/>
  <c r="FU11" i="1"/>
  <c r="GA15" i="1"/>
  <c r="EC15" i="1"/>
  <c r="FM17" i="1"/>
  <c r="DO17" i="1"/>
  <c r="CE22" i="1"/>
  <c r="FE22" i="1"/>
  <c r="FQ22" i="1"/>
  <c r="CD26" i="1"/>
  <c r="GC26" i="1"/>
  <c r="EE26" i="1"/>
  <c r="EA29" i="1"/>
  <c r="DB29" i="1"/>
  <c r="FF29" i="1"/>
  <c r="FE29" i="1"/>
  <c r="GD31" i="1"/>
  <c r="DG31" i="1"/>
  <c r="FM37" i="1"/>
  <c r="CJ38" i="1"/>
  <c r="FJ38" i="1"/>
  <c r="DL38" i="1"/>
  <c r="FU40" i="1"/>
  <c r="DW40" i="1"/>
  <c r="CX40" i="1"/>
  <c r="FS41" i="1"/>
  <c r="EN43" i="1"/>
  <c r="DY48" i="1"/>
  <c r="GI52" i="1"/>
  <c r="EK52" i="1"/>
  <c r="DL52" i="1"/>
  <c r="FJ52" i="1"/>
  <c r="CJ52" i="1"/>
  <c r="CJ53" i="1"/>
  <c r="GI53" i="1"/>
  <c r="EK53" i="1"/>
  <c r="FJ53" i="1"/>
  <c r="DL53" i="1"/>
  <c r="CR53" i="1"/>
  <c r="BV58" i="1"/>
  <c r="CH59" i="1"/>
  <c r="FH59" i="1"/>
  <c r="GG59" i="1"/>
  <c r="EI59" i="1"/>
  <c r="DJ59" i="1"/>
  <c r="DG60" i="1"/>
  <c r="EF60" i="1"/>
  <c r="CE60" i="1"/>
  <c r="GD60" i="1"/>
  <c r="CT61" i="1"/>
  <c r="DS61" i="1"/>
  <c r="ER61" i="1"/>
  <c r="FQ61" i="1"/>
  <c r="CE61" i="1"/>
  <c r="DG61" i="1"/>
  <c r="GD61" i="1"/>
  <c r="CI2" i="1"/>
  <c r="BO3" i="1"/>
  <c r="FN3" i="1"/>
  <c r="CU4" i="1"/>
  <c r="BS4" i="1"/>
  <c r="DO4" i="1"/>
  <c r="FF4" i="1"/>
  <c r="FS5" i="1"/>
  <c r="DU5" i="1"/>
  <c r="DJ5" i="1"/>
  <c r="FF5" i="1"/>
  <c r="FU6" i="1"/>
  <c r="GC6" i="1"/>
  <c r="GE7" i="1"/>
  <c r="FY8" i="1"/>
  <c r="EA8" i="1"/>
  <c r="DU8" i="1"/>
  <c r="FW8" i="1"/>
  <c r="GH8" i="1"/>
  <c r="EX9" i="1"/>
  <c r="GA10" i="1"/>
  <c r="EC10" i="1"/>
  <c r="CB10" i="1"/>
  <c r="EX10" i="1"/>
  <c r="EK11" i="1"/>
  <c r="FS12" i="1"/>
  <c r="FQ14" i="1"/>
  <c r="DS14" i="1"/>
  <c r="EF14" i="1"/>
  <c r="FS15" i="1"/>
  <c r="DU15" i="1"/>
  <c r="CQ15" i="1"/>
  <c r="FN15" i="1"/>
  <c r="FS16" i="1"/>
  <c r="DU16" i="1"/>
  <c r="FB16" i="1"/>
  <c r="GE17" i="1"/>
  <c r="EG17" i="1"/>
  <c r="BS17" i="1"/>
  <c r="FB17" i="1"/>
  <c r="FN17" i="1"/>
  <c r="FZ17" i="1"/>
  <c r="GG18" i="1"/>
  <c r="EI18" i="1"/>
  <c r="DU18" i="1"/>
  <c r="ET18" i="1"/>
  <c r="FD18" i="1"/>
  <c r="GC18" i="1"/>
  <c r="BX19" i="1"/>
  <c r="CV19" i="1"/>
  <c r="DY19" i="1"/>
  <c r="EX20" i="1"/>
  <c r="DJ20" i="1"/>
  <c r="FF20" i="1"/>
  <c r="EO21" i="1"/>
  <c r="CQ21" i="1"/>
  <c r="EX21" i="1"/>
  <c r="EF22" i="1"/>
  <c r="ET23" i="1"/>
  <c r="CH23" i="1"/>
  <c r="GG23" i="1"/>
  <c r="EI23" i="1"/>
  <c r="DU23" i="1"/>
  <c r="CJ24" i="1"/>
  <c r="GI24" i="1"/>
  <c r="EK24" i="1"/>
  <c r="DX24" i="1"/>
  <c r="CA25" i="1"/>
  <c r="FA25" i="1"/>
  <c r="EK25" i="1"/>
  <c r="FM25" i="1"/>
  <c r="DF26" i="1"/>
  <c r="CE27" i="1"/>
  <c r="FE27" i="1"/>
  <c r="FQ27" i="1"/>
  <c r="BO28" i="1"/>
  <c r="FN28" i="1"/>
  <c r="DP28" i="1"/>
  <c r="CQ28" i="1"/>
  <c r="GD30" i="1"/>
  <c r="EF30" i="1"/>
  <c r="CE30" i="1"/>
  <c r="BR30" i="1"/>
  <c r="FM30" i="1"/>
  <c r="FE31" i="1"/>
  <c r="CX35" i="1"/>
  <c r="FU35" i="1"/>
  <c r="DW35" i="1"/>
  <c r="GH35" i="1"/>
  <c r="CI35" i="1"/>
  <c r="CV36" i="1"/>
  <c r="DU36" i="1"/>
  <c r="DJ36" i="1"/>
  <c r="GG36" i="1"/>
  <c r="BX37" i="1"/>
  <c r="DY37" i="1"/>
  <c r="EX37" i="1"/>
  <c r="GI39" i="1"/>
  <c r="CJ39" i="1"/>
  <c r="CI40" i="1"/>
  <c r="FM41" i="1"/>
  <c r="DO41" i="1"/>
  <c r="CP41" i="1"/>
  <c r="EN41" i="1"/>
  <c r="FA41" i="1"/>
  <c r="EB41" i="1"/>
  <c r="CA41" i="1"/>
  <c r="DC41" i="1"/>
  <c r="GI42" i="1"/>
  <c r="EK42" i="1"/>
  <c r="DL42" i="1"/>
  <c r="EW43" i="1"/>
  <c r="DX43" i="1"/>
  <c r="CJ43" i="1"/>
  <c r="FJ43" i="1"/>
  <c r="CP43" i="1"/>
  <c r="DD45" i="1"/>
  <c r="ES47" i="1"/>
  <c r="CU47" i="1"/>
  <c r="FR47" i="1"/>
  <c r="DT47" i="1"/>
  <c r="FF47" i="1"/>
  <c r="GE47" i="1"/>
  <c r="DH47" i="1"/>
  <c r="CF47" i="1"/>
  <c r="EG47" i="1"/>
  <c r="EV47" i="1"/>
  <c r="FQ48" i="1"/>
  <c r="DS48" i="1"/>
  <c r="CT48" i="1"/>
  <c r="ER48" i="1"/>
  <c r="BR48" i="1"/>
  <c r="FE48" i="1"/>
  <c r="DG48" i="1"/>
  <c r="EF48" i="1"/>
  <c r="CE48" i="1"/>
  <c r="BX48" i="1"/>
  <c r="CR48" i="1"/>
  <c r="CQ48" i="1"/>
  <c r="EO50" i="1"/>
  <c r="CQ50" i="1"/>
  <c r="BO50" i="1"/>
  <c r="FQ50" i="1"/>
  <c r="EG52" i="1"/>
  <c r="EV52" i="1"/>
  <c r="DD53" i="1"/>
  <c r="CZ53" i="1"/>
  <c r="DH57" i="1"/>
  <c r="FF57" i="1"/>
  <c r="EV58" i="1"/>
  <c r="FU58" i="1"/>
  <c r="CI58" i="1"/>
  <c r="GH58" i="1"/>
  <c r="EZ59" i="1"/>
  <c r="DB59" i="1"/>
  <c r="CX62" i="1"/>
  <c r="DW62" i="1"/>
  <c r="DK62" i="1"/>
  <c r="CI62" i="1"/>
  <c r="EJ62" i="1"/>
  <c r="GH62" i="1"/>
  <c r="EV62" i="1"/>
  <c r="FI62" i="1"/>
  <c r="ER67" i="1"/>
  <c r="DS67" i="1"/>
  <c r="FQ67" i="1"/>
  <c r="BR67" i="1"/>
  <c r="CE67" i="1"/>
  <c r="FE67" i="1"/>
  <c r="EF67" i="1"/>
  <c r="GD67" i="1"/>
  <c r="BT81" i="1"/>
  <c r="BR81" i="1"/>
  <c r="EA91" i="1"/>
  <c r="EZ91" i="1"/>
  <c r="BZ91" i="1"/>
  <c r="DB91" i="1"/>
  <c r="FY91" i="1"/>
  <c r="BV36" i="1"/>
  <c r="DW36" i="1"/>
  <c r="GH36" i="1"/>
  <c r="EJ36" i="1"/>
  <c r="DK36" i="1"/>
  <c r="BP38" i="1"/>
  <c r="CR38" i="1"/>
  <c r="DQ38" i="1"/>
  <c r="BR40" i="1"/>
  <c r="CT40" i="1"/>
  <c r="BX42" i="1"/>
  <c r="CZ42" i="1"/>
  <c r="BX44" i="1"/>
  <c r="FY46" i="1"/>
  <c r="EA46" i="1"/>
  <c r="EZ46" i="1"/>
  <c r="ET47" i="1"/>
  <c r="FS47" i="1"/>
  <c r="CV47" i="1"/>
  <c r="BT47" i="1"/>
  <c r="CH47" i="1"/>
  <c r="GG47" i="1"/>
  <c r="EI47" i="1"/>
  <c r="FH47" i="1"/>
  <c r="DU47" i="1"/>
  <c r="FS49" i="1"/>
  <c r="DU49" i="1"/>
  <c r="CV49" i="1"/>
  <c r="BT49" i="1"/>
  <c r="FH49" i="1"/>
  <c r="GG49" i="1"/>
  <c r="GI49" i="1"/>
  <c r="EP50" i="1"/>
  <c r="DQ50" i="1"/>
  <c r="CD50" i="1"/>
  <c r="GC50" i="1"/>
  <c r="EE50" i="1"/>
  <c r="BR50" i="1"/>
  <c r="FD50" i="1"/>
  <c r="DQ53" i="1"/>
  <c r="DP53" i="1"/>
  <c r="CY55" i="1"/>
  <c r="BW55" i="1"/>
  <c r="DX55" i="1"/>
  <c r="FJ55" i="1"/>
  <c r="GI55" i="1"/>
  <c r="EW55" i="1"/>
  <c r="ER56" i="1"/>
  <c r="FQ56" i="1"/>
  <c r="BR56" i="1"/>
  <c r="CE56" i="1"/>
  <c r="FE56" i="1"/>
  <c r="BO57" i="1"/>
  <c r="FN57" i="1"/>
  <c r="DP57" i="1"/>
  <c r="CQ57" i="1"/>
  <c r="GA57" i="1"/>
  <c r="EC57" i="1"/>
  <c r="BW62" i="1"/>
  <c r="FV62" i="1"/>
  <c r="DX62" i="1"/>
  <c r="CY62" i="1"/>
  <c r="CJ62" i="1"/>
  <c r="GI62" i="1"/>
  <c r="DL62" i="1"/>
  <c r="EW62" i="1"/>
  <c r="FJ62" i="1"/>
  <c r="EV64" i="1"/>
  <c r="FU64" i="1"/>
  <c r="CX64" i="1"/>
  <c r="BV64" i="1"/>
  <c r="DK64" i="1"/>
  <c r="GH64" i="1"/>
  <c r="CI64" i="1"/>
  <c r="FI64" i="1"/>
  <c r="CY66" i="1"/>
  <c r="EW66" i="1"/>
  <c r="BW66" i="1"/>
  <c r="DX66" i="1"/>
  <c r="FJ66" i="1"/>
  <c r="EK66" i="1"/>
  <c r="DL66" i="1"/>
  <c r="CJ66" i="1"/>
  <c r="GI66" i="1"/>
  <c r="ES67" i="1"/>
  <c r="DT67" i="1"/>
  <c r="CU67" i="1"/>
  <c r="CF67" i="1"/>
  <c r="GE67" i="1"/>
  <c r="EG67" i="1"/>
  <c r="DH67" i="1"/>
  <c r="FF67" i="1"/>
  <c r="BT69" i="1"/>
  <c r="DJ69" i="1"/>
  <c r="CU75" i="1"/>
  <c r="CT75" i="1"/>
  <c r="EI76" i="1"/>
  <c r="EJ76" i="1"/>
  <c r="DG79" i="1"/>
  <c r="DF79" i="1"/>
  <c r="CI47" i="1"/>
  <c r="GH47" i="1"/>
  <c r="EJ47" i="1"/>
  <c r="DK47" i="1"/>
  <c r="FS48" i="1"/>
  <c r="DU48" i="1"/>
  <c r="BT48" i="1"/>
  <c r="GG48" i="1"/>
  <c r="EI48" i="1"/>
  <c r="DJ48" i="1"/>
  <c r="CH48" i="1"/>
  <c r="CE50" i="1"/>
  <c r="GD50" i="1"/>
  <c r="EF50" i="1"/>
  <c r="DG50" i="1"/>
  <c r="FE50" i="1"/>
  <c r="CF56" i="1"/>
  <c r="GE56" i="1"/>
  <c r="EG56" i="1"/>
  <c r="EX65" i="1"/>
  <c r="DY65" i="1"/>
  <c r="FW65" i="1"/>
  <c r="CZ65" i="1"/>
  <c r="BX65" i="1"/>
  <c r="BO73" i="1"/>
  <c r="FN73" i="1"/>
  <c r="DP73" i="1"/>
  <c r="CQ73" i="1"/>
  <c r="EO73" i="1"/>
  <c r="GA73" i="1"/>
  <c r="EC73" i="1"/>
  <c r="DD73" i="1"/>
  <c r="CB73" i="1"/>
  <c r="FB73" i="1"/>
  <c r="EX75" i="1"/>
  <c r="DY75" i="1"/>
  <c r="CZ75" i="1"/>
  <c r="BX75" i="1"/>
  <c r="FW75" i="1"/>
  <c r="BP75" i="1"/>
  <c r="BN75" i="1"/>
  <c r="CJ75" i="1"/>
  <c r="CI75" i="1"/>
  <c r="EO81" i="1"/>
  <c r="CQ81" i="1"/>
  <c r="DP81" i="1"/>
  <c r="BO81" i="1"/>
  <c r="FN81" i="1"/>
  <c r="DD81" i="1"/>
  <c r="GA81" i="1"/>
  <c r="FB81" i="1"/>
  <c r="CB81" i="1"/>
  <c r="EC81" i="1"/>
  <c r="DO85" i="1"/>
  <c r="FM85" i="1"/>
  <c r="BN85" i="1"/>
  <c r="EN85" i="1"/>
  <c r="CP85" i="1"/>
  <c r="FA85" i="1"/>
  <c r="CA85" i="1"/>
  <c r="EB85" i="1"/>
  <c r="FZ85" i="1"/>
  <c r="DC85" i="1"/>
  <c r="CP89" i="1"/>
  <c r="BN89" i="1"/>
  <c r="DO89" i="1"/>
  <c r="FM89" i="1"/>
  <c r="EN89" i="1"/>
  <c r="FZ89" i="1"/>
  <c r="EB89" i="1"/>
  <c r="CA89" i="1"/>
  <c r="FA89" i="1"/>
  <c r="DC89" i="1"/>
  <c r="CE40" i="1"/>
  <c r="GD40" i="1"/>
  <c r="EF40" i="1"/>
  <c r="CA43" i="1"/>
  <c r="FZ43" i="1"/>
  <c r="EB43" i="1"/>
  <c r="FM43" i="1"/>
  <c r="EN44" i="1"/>
  <c r="BN44" i="1"/>
  <c r="DO44" i="1"/>
  <c r="FM44" i="1"/>
  <c r="EB44" i="1"/>
  <c r="FZ44" i="1"/>
  <c r="FA44" i="1"/>
  <c r="EI44" i="1"/>
  <c r="FW45" i="1"/>
  <c r="DY45" i="1"/>
  <c r="BX45" i="1"/>
  <c r="CZ45" i="1"/>
  <c r="EX45" i="1"/>
  <c r="CQ46" i="1"/>
  <c r="BO46" i="1"/>
  <c r="EO46" i="1"/>
  <c r="FB46" i="1"/>
  <c r="EC46" i="1"/>
  <c r="DD46" i="1"/>
  <c r="BW47" i="1"/>
  <c r="EW47" i="1"/>
  <c r="FV47" i="1"/>
  <c r="GI47" i="1"/>
  <c r="EK47" i="1"/>
  <c r="DL47" i="1"/>
  <c r="DW47" i="1"/>
  <c r="EZ47" i="1"/>
  <c r="FU47" i="1"/>
  <c r="EV48" i="1"/>
  <c r="FU48" i="1"/>
  <c r="BV48" i="1"/>
  <c r="CI48" i="1"/>
  <c r="FI48" i="1"/>
  <c r="GH48" i="1"/>
  <c r="CV48" i="1"/>
  <c r="EW49" i="1"/>
  <c r="CY49" i="1"/>
  <c r="BW49" i="1"/>
  <c r="BZ49" i="1"/>
  <c r="EA50" i="1"/>
  <c r="ER50" i="1"/>
  <c r="FQ51" i="1"/>
  <c r="ES52" i="1"/>
  <c r="CU52" i="1"/>
  <c r="DT52" i="1"/>
  <c r="BS52" i="1"/>
  <c r="DH52" i="1"/>
  <c r="CF52" i="1"/>
  <c r="FF52" i="1"/>
  <c r="EZ52" i="1"/>
  <c r="EA54" i="1"/>
  <c r="FF54" i="1"/>
  <c r="FE54" i="1"/>
  <c r="FD54" i="1"/>
  <c r="EZ55" i="1"/>
  <c r="DB55" i="1"/>
  <c r="EJ55" i="1"/>
  <c r="DU56" i="1"/>
  <c r="GG56" i="1"/>
  <c r="EI56" i="1"/>
  <c r="DJ56" i="1"/>
  <c r="DS56" i="1"/>
  <c r="FR56" i="1"/>
  <c r="FQ57" i="1"/>
  <c r="DS57" i="1"/>
  <c r="CF57" i="1"/>
  <c r="DQ59" i="1"/>
  <c r="DO59" i="1"/>
  <c r="CD61" i="1"/>
  <c r="FZ61" i="1"/>
  <c r="BO65" i="1"/>
  <c r="CI65" i="1"/>
  <c r="EZ66" i="1"/>
  <c r="FY66" i="1"/>
  <c r="EA66" i="1"/>
  <c r="DB66" i="1"/>
  <c r="EB67" i="1"/>
  <c r="FQ69" i="1"/>
  <c r="DS69" i="1"/>
  <c r="CT69" i="1"/>
  <c r="BR69" i="1"/>
  <c r="FE69" i="1"/>
  <c r="DG69" i="1"/>
  <c r="GD69" i="1"/>
  <c r="BV69" i="1"/>
  <c r="CY71" i="1"/>
  <c r="BW71" i="1"/>
  <c r="DX71" i="1"/>
  <c r="EW71" i="1"/>
  <c r="FJ71" i="1"/>
  <c r="DL71" i="1"/>
  <c r="CJ71" i="1"/>
  <c r="FO72" i="1"/>
  <c r="DQ72" i="1"/>
  <c r="CR72" i="1"/>
  <c r="BP72" i="1"/>
  <c r="FD72" i="1"/>
  <c r="CD72" i="1"/>
  <c r="DF72" i="1"/>
  <c r="BX74" i="1"/>
  <c r="BV74" i="1"/>
  <c r="CH75" i="1"/>
  <c r="EP76" i="1"/>
  <c r="DQ76" i="1"/>
  <c r="BP76" i="1"/>
  <c r="CR76" i="1"/>
  <c r="FO76" i="1"/>
  <c r="CD76" i="1"/>
  <c r="GC76" i="1"/>
  <c r="EE76" i="1"/>
  <c r="DF76" i="1"/>
  <c r="FD76" i="1"/>
  <c r="FB78" i="1"/>
  <c r="FA78" i="1"/>
  <c r="EZ78" i="1"/>
  <c r="FQ80" i="1"/>
  <c r="DS80" i="1"/>
  <c r="ER80" i="1"/>
  <c r="CT80" i="1"/>
  <c r="BR80" i="1"/>
  <c r="GD80" i="1"/>
  <c r="CE80" i="1"/>
  <c r="EF80" i="1"/>
  <c r="FE80" i="1"/>
  <c r="DG80" i="1"/>
  <c r="FM35" i="1"/>
  <c r="BN35" i="1"/>
  <c r="EN35" i="1"/>
  <c r="FA35" i="1"/>
  <c r="DC35" i="1"/>
  <c r="CA35" i="1"/>
  <c r="FH36" i="1"/>
  <c r="FN39" i="1"/>
  <c r="BO39" i="1"/>
  <c r="CB39" i="1"/>
  <c r="FB39" i="1"/>
  <c r="DD39" i="1"/>
  <c r="GA39" i="1"/>
  <c r="CR39" i="1"/>
  <c r="DP39" i="1"/>
  <c r="FI39" i="1"/>
  <c r="FU39" i="1"/>
  <c r="FE40" i="1"/>
  <c r="ES41" i="1"/>
  <c r="DT41" i="1"/>
  <c r="GE41" i="1"/>
  <c r="EJ44" i="1"/>
  <c r="BO45" i="1"/>
  <c r="GH45" i="1"/>
  <c r="FO46" i="1"/>
  <c r="DQ46" i="1"/>
  <c r="EP46" i="1"/>
  <c r="FK46" i="1" s="1"/>
  <c r="CR46" i="1"/>
  <c r="FD46" i="1"/>
  <c r="DF46" i="1"/>
  <c r="CD46" i="1"/>
  <c r="BR46" i="1"/>
  <c r="GA46" i="1"/>
  <c r="DX47" i="1"/>
  <c r="CJ48" i="1"/>
  <c r="GI48" i="1"/>
  <c r="EK48" i="1"/>
  <c r="FJ48" i="1"/>
  <c r="DK48" i="1"/>
  <c r="DW48" i="1"/>
  <c r="FV48" i="1"/>
  <c r="EX49" i="1"/>
  <c r="DY49" i="1"/>
  <c r="FA52" i="1"/>
  <c r="FS53" i="1"/>
  <c r="DU53" i="1"/>
  <c r="ET53" i="1"/>
  <c r="CV53" i="1"/>
  <c r="BT53" i="1"/>
  <c r="EI53" i="1"/>
  <c r="DJ53" i="1"/>
  <c r="CH53" i="1"/>
  <c r="FH53" i="1"/>
  <c r="CP53" i="1"/>
  <c r="DS55" i="1"/>
  <c r="EK55" i="1"/>
  <c r="FV55" i="1"/>
  <c r="DT56" i="1"/>
  <c r="FS56" i="1"/>
  <c r="ES57" i="1"/>
  <c r="CU57" i="1"/>
  <c r="EF57" i="1"/>
  <c r="DQ58" i="1"/>
  <c r="DO58" i="1"/>
  <c r="FQ59" i="1"/>
  <c r="DS59" i="1"/>
  <c r="BR59" i="1"/>
  <c r="ER59" i="1"/>
  <c r="GD59" i="1"/>
  <c r="EF59" i="1"/>
  <c r="DG59" i="1"/>
  <c r="FE59" i="1"/>
  <c r="BO61" i="1"/>
  <c r="EO61" i="1"/>
  <c r="FN61" i="1"/>
  <c r="DP61" i="1"/>
  <c r="DD61" i="1"/>
  <c r="EC61" i="1"/>
  <c r="FB61" i="1"/>
  <c r="CB61" i="1"/>
  <c r="GA61" i="1"/>
  <c r="EK62" i="1"/>
  <c r="EN65" i="1"/>
  <c r="CP65" i="1"/>
  <c r="FM65" i="1"/>
  <c r="DO65" i="1"/>
  <c r="BN65" i="1"/>
  <c r="CA65" i="1"/>
  <c r="DC65" i="1"/>
  <c r="FZ65" i="1"/>
  <c r="FA65" i="1"/>
  <c r="FM66" i="1"/>
  <c r="DO66" i="1"/>
  <c r="CP66" i="1"/>
  <c r="EN66" i="1"/>
  <c r="FA66" i="1"/>
  <c r="FZ66" i="1"/>
  <c r="DC66" i="1"/>
  <c r="EB66" i="1"/>
  <c r="CA66" i="1"/>
  <c r="FV66" i="1"/>
  <c r="BW69" i="1"/>
  <c r="GI71" i="1"/>
  <c r="EB72" i="1"/>
  <c r="EC72" i="1"/>
  <c r="BN36" i="1"/>
  <c r="FI36" i="1"/>
  <c r="FU36" i="1"/>
  <c r="BR37" i="1"/>
  <c r="FQ37" i="1"/>
  <c r="FE37" i="1"/>
  <c r="GD37" i="1"/>
  <c r="CE37" i="1"/>
  <c r="EP38" i="1"/>
  <c r="FD38" i="1"/>
  <c r="ER40" i="1"/>
  <c r="EP42" i="1"/>
  <c r="FA43" i="1"/>
  <c r="FO44" i="1"/>
  <c r="EP44" i="1"/>
  <c r="BP44" i="1"/>
  <c r="GC44" i="1"/>
  <c r="EE44" i="1"/>
  <c r="DF44" i="1"/>
  <c r="FM45" i="1"/>
  <c r="DO45" i="1"/>
  <c r="BN45" i="1"/>
  <c r="FA45" i="1"/>
  <c r="FZ45" i="1"/>
  <c r="CA45" i="1"/>
  <c r="CV45" i="1"/>
  <c r="CU45" i="1"/>
  <c r="EN45" i="1"/>
  <c r="GI45" i="1"/>
  <c r="CX48" i="1"/>
  <c r="EA49" i="1"/>
  <c r="EZ49" i="1"/>
  <c r="DB49" i="1"/>
  <c r="DX49" i="1"/>
  <c r="FY51" i="1"/>
  <c r="EA51" i="1"/>
  <c r="FU52" i="1"/>
  <c r="CX52" i="1"/>
  <c r="BV52" i="1"/>
  <c r="CI52" i="1"/>
  <c r="GH52" i="1"/>
  <c r="EJ52" i="1"/>
  <c r="DK52" i="1"/>
  <c r="CQ53" i="1"/>
  <c r="EW54" i="1"/>
  <c r="CY54" i="1"/>
  <c r="BW54" i="1"/>
  <c r="FV54" i="1"/>
  <c r="GI54" i="1"/>
  <c r="FJ54" i="1"/>
  <c r="DB54" i="1"/>
  <c r="DT55" i="1"/>
  <c r="DG56" i="1"/>
  <c r="ET57" i="1"/>
  <c r="FS57" i="1"/>
  <c r="CH57" i="1"/>
  <c r="GG57" i="1"/>
  <c r="EI57" i="1"/>
  <c r="EG57" i="1"/>
  <c r="GD57" i="1"/>
  <c r="DP58" i="1"/>
  <c r="EV63" i="1"/>
  <c r="BV63" i="1"/>
  <c r="DW63" i="1"/>
  <c r="CX63" i="1"/>
  <c r="CI63" i="1"/>
  <c r="GH63" i="1"/>
  <c r="EJ63" i="1"/>
  <c r="DK63" i="1"/>
  <c r="DU66" i="1"/>
  <c r="DS66" i="1"/>
  <c r="FS69" i="1"/>
  <c r="DU69" i="1"/>
  <c r="GG69" i="1"/>
  <c r="EI69" i="1"/>
  <c r="EZ71" i="1"/>
  <c r="DB71" i="1"/>
  <c r="EA71" i="1"/>
  <c r="FY71" i="1"/>
  <c r="CT71" i="1"/>
  <c r="CV71" i="1"/>
  <c r="ES72" i="1"/>
  <c r="DT72" i="1"/>
  <c r="FR72" i="1"/>
  <c r="CU72" i="1"/>
  <c r="BS72" i="1"/>
  <c r="CF72" i="1"/>
  <c r="GE72" i="1"/>
  <c r="EG72" i="1"/>
  <c r="DH72" i="1"/>
  <c r="FS77" i="1"/>
  <c r="BT77" i="1"/>
  <c r="CV77" i="1"/>
  <c r="ET77" i="1"/>
  <c r="DU77" i="1"/>
  <c r="GG77" i="1"/>
  <c r="EI77" i="1"/>
  <c r="DJ77" i="1"/>
  <c r="CH77" i="1"/>
  <c r="FH77" i="1"/>
  <c r="FE7" i="1"/>
  <c r="GG12" i="1"/>
  <c r="EI12" i="1"/>
  <c r="FU25" i="1"/>
  <c r="FO26" i="1"/>
  <c r="EZ30" i="1"/>
  <c r="DB30" i="1"/>
  <c r="EA30" i="1"/>
  <c r="EW33" i="1"/>
  <c r="CY33" i="1"/>
  <c r="DX33" i="1"/>
  <c r="DK41" i="1"/>
  <c r="GH41" i="1"/>
  <c r="FA51" i="1"/>
  <c r="DC54" i="1"/>
  <c r="CT56" i="1"/>
  <c r="DS60" i="1"/>
  <c r="ER60" i="1"/>
  <c r="BR60" i="1"/>
  <c r="CT60" i="1"/>
  <c r="FI63" i="1"/>
  <c r="GA64" i="1"/>
  <c r="FR67" i="1"/>
  <c r="FM71" i="1"/>
  <c r="DO71" i="1"/>
  <c r="EN71" i="1"/>
  <c r="CP71" i="1"/>
  <c r="FA71" i="1"/>
  <c r="DC71" i="1"/>
  <c r="FZ71" i="1"/>
  <c r="EB71" i="1"/>
  <c r="CA71" i="1"/>
  <c r="DU72" i="1"/>
  <c r="FS72" i="1"/>
  <c r="GG72" i="1"/>
  <c r="EI72" i="1"/>
  <c r="DJ72" i="1"/>
  <c r="CH72" i="1"/>
  <c r="EE72" i="1"/>
  <c r="FY83" i="1"/>
  <c r="GA83" i="1"/>
  <c r="CZ90" i="1"/>
  <c r="DY90" i="1"/>
  <c r="FW90" i="1"/>
  <c r="BX90" i="1"/>
  <c r="EX90" i="1"/>
  <c r="BP90" i="1"/>
  <c r="BN90" i="1"/>
  <c r="EV102" i="1"/>
  <c r="CX102" i="1"/>
  <c r="BV102" i="1"/>
  <c r="FU102" i="1"/>
  <c r="DW102" i="1"/>
  <c r="CI102" i="1"/>
  <c r="GH102" i="1"/>
  <c r="EJ102" i="1"/>
  <c r="DK102" i="1"/>
  <c r="FI102" i="1"/>
  <c r="BW3" i="1"/>
  <c r="FH8" i="1"/>
  <c r="BW10" i="1"/>
  <c r="CI13" i="1"/>
  <c r="DK13" i="1"/>
  <c r="FY14" i="1"/>
  <c r="EA14" i="1"/>
  <c r="BO18" i="1"/>
  <c r="CQ18" i="1"/>
  <c r="EC18" i="1"/>
  <c r="FQ24" i="1"/>
  <c r="DS24" i="1"/>
  <c r="CT24" i="1"/>
  <c r="FY27" i="1"/>
  <c r="EA27" i="1"/>
  <c r="BW28" i="1"/>
  <c r="EW28" i="1"/>
  <c r="EK28" i="1"/>
  <c r="GI28" i="1"/>
  <c r="DL28" i="1"/>
  <c r="CY28" i="1"/>
  <c r="ER31" i="1"/>
  <c r="CT31" i="1"/>
  <c r="DS31" i="1"/>
  <c r="EP35" i="1"/>
  <c r="CR35" i="1"/>
  <c r="FO35" i="1"/>
  <c r="BP35" i="1"/>
  <c r="EV36" i="1"/>
  <c r="BV41" i="1"/>
  <c r="FU41" i="1"/>
  <c r="CX41" i="1"/>
  <c r="FQ43" i="1"/>
  <c r="DS43" i="1"/>
  <c r="CT43" i="1"/>
  <c r="BR44" i="1"/>
  <c r="BV44" i="1"/>
  <c r="FH48" i="1"/>
  <c r="CE52" i="1"/>
  <c r="CD52" i="1"/>
  <c r="EZ3" i="1"/>
  <c r="GC5" i="1"/>
  <c r="EE5" i="1"/>
  <c r="ES7" i="1"/>
  <c r="EV7" i="1"/>
  <c r="FY9" i="1"/>
  <c r="EA9" i="1"/>
  <c r="BX10" i="1"/>
  <c r="BW11" i="1"/>
  <c r="FU12" i="1"/>
  <c r="BW13" i="1"/>
  <c r="GI13" i="1"/>
  <c r="EK13" i="1"/>
  <c r="DW13" i="1"/>
  <c r="EJ13" i="1"/>
  <c r="EV13" i="1"/>
  <c r="BZ14" i="1"/>
  <c r="DO14" i="1"/>
  <c r="GC15" i="1"/>
  <c r="DP15" i="1"/>
  <c r="GC16" i="1"/>
  <c r="EE16" i="1"/>
  <c r="CB16" i="1"/>
  <c r="CA17" i="1"/>
  <c r="FO18" i="1"/>
  <c r="GJ18" i="1" s="1"/>
  <c r="DQ18" i="1"/>
  <c r="EP18" i="1"/>
  <c r="EI19" i="1"/>
  <c r="FS20" i="1"/>
  <c r="DU20" i="1"/>
  <c r="CV20" i="1"/>
  <c r="CF22" i="1"/>
  <c r="GE22" i="1"/>
  <c r="EG22" i="1"/>
  <c r="FR22" i="1"/>
  <c r="FO23" i="1"/>
  <c r="FF24" i="1"/>
  <c r="EW25" i="1"/>
  <c r="CY25" i="1"/>
  <c r="CE26" i="1"/>
  <c r="GD26" i="1"/>
  <c r="EF26" i="1"/>
  <c r="DG26" i="1"/>
  <c r="BR26" i="1"/>
  <c r="CR26" i="1"/>
  <c r="DX28" i="1"/>
  <c r="EN29" i="1"/>
  <c r="DO29" i="1"/>
  <c r="FD29" i="1"/>
  <c r="EB30" i="1"/>
  <c r="FA30" i="1"/>
  <c r="CF31" i="1"/>
  <c r="GE31" i="1"/>
  <c r="EG31" i="1"/>
  <c r="FW32" i="1"/>
  <c r="CZ33" i="1"/>
  <c r="DY33" i="1"/>
  <c r="EN34" i="1"/>
  <c r="CP34" i="1"/>
  <c r="FM34" i="1"/>
  <c r="BN34" i="1"/>
  <c r="DC34" i="1"/>
  <c r="EB34" i="1"/>
  <c r="CT35" i="1"/>
  <c r="DS35" i="1"/>
  <c r="GD35" i="1"/>
  <c r="EF35" i="1"/>
  <c r="DG35" i="1"/>
  <c r="FE35" i="1"/>
  <c r="FS35" i="1"/>
  <c r="BP36" i="1"/>
  <c r="EP36" i="1"/>
  <c r="FD36" i="1"/>
  <c r="DF36" i="1"/>
  <c r="BT36" i="1"/>
  <c r="EI36" i="1"/>
  <c r="ET37" i="1"/>
  <c r="BT37" i="1"/>
  <c r="CH37" i="1"/>
  <c r="DJ37" i="1"/>
  <c r="EI37" i="1"/>
  <c r="EZ37" i="1"/>
  <c r="EE38" i="1"/>
  <c r="FR39" i="1"/>
  <c r="DT39" i="1"/>
  <c r="CU39" i="1"/>
  <c r="CY40" i="1"/>
  <c r="FV40" i="1"/>
  <c r="EW40" i="1"/>
  <c r="FJ40" i="1"/>
  <c r="GI40" i="1"/>
  <c r="BZ41" i="1"/>
  <c r="EA41" i="1"/>
  <c r="FF41" i="1"/>
  <c r="BS42" i="1"/>
  <c r="DT42" i="1"/>
  <c r="FW42" i="1"/>
  <c r="BS44" i="1"/>
  <c r="DY44" i="1"/>
  <c r="FD44" i="1"/>
  <c r="EP45" i="1"/>
  <c r="DQ45" i="1"/>
  <c r="CD45" i="1"/>
  <c r="GC45" i="1"/>
  <c r="EE45" i="1"/>
  <c r="DF45" i="1"/>
  <c r="FD45" i="1"/>
  <c r="DP46" i="1"/>
  <c r="FN46" i="1"/>
  <c r="BS47" i="1"/>
  <c r="CJ47" i="1"/>
  <c r="CY47" i="1"/>
  <c r="FI47" i="1"/>
  <c r="CZ48" i="1"/>
  <c r="GD48" i="1"/>
  <c r="EO49" i="1"/>
  <c r="FN49" i="1"/>
  <c r="CQ49" i="1"/>
  <c r="CB49" i="1"/>
  <c r="GA49" i="1"/>
  <c r="EC49" i="1"/>
  <c r="FB49" i="1"/>
  <c r="DD49" i="1"/>
  <c r="DJ49" i="1"/>
  <c r="FJ49" i="1"/>
  <c r="CR50" i="1"/>
  <c r="DP50" i="1"/>
  <c r="FN50" i="1"/>
  <c r="CQ51" i="1"/>
  <c r="BO51" i="1"/>
  <c r="DP51" i="1"/>
  <c r="FB51" i="1"/>
  <c r="EO51" i="1"/>
  <c r="BX52" i="1"/>
  <c r="FW53" i="1"/>
  <c r="BX53" i="1"/>
  <c r="DY53" i="1"/>
  <c r="FY54" i="1"/>
  <c r="FN54" i="1"/>
  <c r="CE55" i="1"/>
  <c r="GD55" i="1"/>
  <c r="EF55" i="1"/>
  <c r="DG55" i="1"/>
  <c r="CH56" i="1"/>
  <c r="CU56" i="1"/>
  <c r="FF56" i="1"/>
  <c r="DU57" i="1"/>
  <c r="FR57" i="1"/>
  <c r="DS58" i="1"/>
  <c r="CT58" i="1"/>
  <c r="FQ58" i="1"/>
  <c r="ER58" i="1"/>
  <c r="BR58" i="1"/>
  <c r="FE58" i="1"/>
  <c r="GD58" i="1"/>
  <c r="DG58" i="1"/>
  <c r="EF58" i="1"/>
  <c r="CE58" i="1"/>
  <c r="BW58" i="1"/>
  <c r="FD60" i="1"/>
  <c r="DT61" i="1"/>
  <c r="FR61" i="1"/>
  <c r="GE61" i="1"/>
  <c r="EG61" i="1"/>
  <c r="FF61" i="1"/>
  <c r="EF61" i="1"/>
  <c r="EV61" i="1"/>
  <c r="FU62" i="1"/>
  <c r="BX63" i="1"/>
  <c r="EX63" i="1"/>
  <c r="DY63" i="1"/>
  <c r="FW63" i="1"/>
  <c r="DT65" i="1"/>
  <c r="DS65" i="1"/>
  <c r="DU68" i="1"/>
  <c r="FV69" i="1"/>
  <c r="FO70" i="1"/>
  <c r="FY75" i="1"/>
  <c r="FS76" i="1"/>
  <c r="FR76" i="1"/>
  <c r="CQ87" i="1"/>
  <c r="CZ87" i="1"/>
  <c r="CX87" i="1"/>
  <c r="CP87" i="1"/>
  <c r="FY88" i="1"/>
  <c r="BZ88" i="1"/>
  <c r="EA88" i="1"/>
  <c r="EZ88" i="1"/>
  <c r="DB88" i="1"/>
  <c r="GI3" i="1"/>
  <c r="EK3" i="1"/>
  <c r="FB5" i="1"/>
  <c r="EO18" i="1"/>
  <c r="FF19" i="1"/>
  <c r="CY21" i="1"/>
  <c r="BW21" i="1"/>
  <c r="BO23" i="1"/>
  <c r="FN23" i="1"/>
  <c r="DP23" i="1"/>
  <c r="CQ23" i="1"/>
  <c r="CJ33" i="1"/>
  <c r="EK33" i="1"/>
  <c r="FJ33" i="1"/>
  <c r="DG43" i="1"/>
  <c r="GD43" i="1"/>
  <c r="FE43" i="1"/>
  <c r="EO45" i="1"/>
  <c r="CQ45" i="1"/>
  <c r="DP45" i="1"/>
  <c r="FR45" i="1"/>
  <c r="EE46" i="1"/>
  <c r="CY48" i="1"/>
  <c r="CA49" i="1"/>
  <c r="FA49" i="1"/>
  <c r="DC49" i="1"/>
  <c r="BW52" i="1"/>
  <c r="EW52" i="1"/>
  <c r="FV52" i="1"/>
  <c r="EW53" i="1"/>
  <c r="FV53" i="1"/>
  <c r="CY53" i="1"/>
  <c r="FS59" i="1"/>
  <c r="CV59" i="1"/>
  <c r="BT59" i="1"/>
  <c r="DK2" i="1"/>
  <c r="BX3" i="1"/>
  <c r="GA4" i="1"/>
  <c r="EC4" i="1"/>
  <c r="CB5" i="1"/>
  <c r="DF5" i="1"/>
  <c r="BR6" i="1"/>
  <c r="EI6" i="1"/>
  <c r="FD6" i="1"/>
  <c r="BS7" i="1"/>
  <c r="FF7" i="1"/>
  <c r="BV8" i="1"/>
  <c r="FI8" i="1"/>
  <c r="BN9" i="1"/>
  <c r="BX9" i="1"/>
  <c r="BW2" i="1"/>
  <c r="BV2" i="1"/>
  <c r="DB2" i="1"/>
  <c r="FI2" i="1"/>
  <c r="FY3" i="1"/>
  <c r="EA3" i="1"/>
  <c r="CJ3" i="1"/>
  <c r="CB4" i="1"/>
  <c r="ES4" i="1"/>
  <c r="DG5" i="1"/>
  <c r="ET5" i="1"/>
  <c r="FD5" i="1"/>
  <c r="GE6" i="1"/>
  <c r="EG6" i="1"/>
  <c r="ET6" i="1"/>
  <c r="FE6" i="1"/>
  <c r="GG7" i="1"/>
  <c r="EI7" i="1"/>
  <c r="CE7" i="1"/>
  <c r="DJ7" i="1"/>
  <c r="EW7" i="1"/>
  <c r="FR7" i="1"/>
  <c r="GI8" i="1"/>
  <c r="EK8" i="1"/>
  <c r="DB8" i="1"/>
  <c r="FJ8" i="1"/>
  <c r="CJ10" i="1"/>
  <c r="DX10" i="1"/>
  <c r="BW12" i="1"/>
  <c r="CY12" i="1"/>
  <c r="CH12" i="1"/>
  <c r="DU12" i="1"/>
  <c r="ET12" i="1"/>
  <c r="CJ13" i="1"/>
  <c r="DX13" i="1"/>
  <c r="EW13" i="1"/>
  <c r="GA14" i="1"/>
  <c r="EC14" i="1"/>
  <c r="CB14" i="1"/>
  <c r="DP14" i="1"/>
  <c r="EO14" i="1"/>
  <c r="EZ14" i="1"/>
  <c r="FQ15" i="1"/>
  <c r="DS15" i="1"/>
  <c r="BR15" i="1"/>
  <c r="CE16" i="1"/>
  <c r="DG16" i="1"/>
  <c r="DP16" i="1"/>
  <c r="CB17" i="1"/>
  <c r="DP17" i="1"/>
  <c r="EB17" i="1"/>
  <c r="EN17" i="1"/>
  <c r="BS18" i="1"/>
  <c r="CD18" i="1"/>
  <c r="FB18" i="1"/>
  <c r="FN18" i="1"/>
  <c r="BV19" i="1"/>
  <c r="DW19" i="1"/>
  <c r="EJ19" i="1"/>
  <c r="EX19" i="1"/>
  <c r="FU20" i="1"/>
  <c r="CA21" i="1"/>
  <c r="GG22" i="1"/>
  <c r="EI22" i="1"/>
  <c r="DJ22" i="1"/>
  <c r="CH22" i="1"/>
  <c r="CT22" i="1"/>
  <c r="FF22" i="1"/>
  <c r="FQ23" i="1"/>
  <c r="DS23" i="1"/>
  <c r="CE23" i="1"/>
  <c r="CT23" i="1"/>
  <c r="DG23" i="1"/>
  <c r="EF23" i="1"/>
  <c r="FH23" i="1"/>
  <c r="FS24" i="1"/>
  <c r="DU24" i="1"/>
  <c r="BW24" i="1"/>
  <c r="CX24" i="1"/>
  <c r="DK24" i="1"/>
  <c r="CZ25" i="1"/>
  <c r="FJ25" i="1"/>
  <c r="FY25" i="1"/>
  <c r="BS26" i="1"/>
  <c r="GE26" i="1"/>
  <c r="FQ26" i="1"/>
  <c r="CQ27" i="1"/>
  <c r="BO27" i="1"/>
  <c r="CB27" i="1"/>
  <c r="FN27" i="1"/>
  <c r="EO28" i="1"/>
  <c r="FB28" i="1"/>
  <c r="DP29" i="1"/>
  <c r="CQ29" i="1"/>
  <c r="CB29" i="1"/>
  <c r="GA29" i="1"/>
  <c r="EC29" i="1"/>
  <c r="ER29" i="1"/>
  <c r="CQ30" i="1"/>
  <c r="DP30" i="1"/>
  <c r="EO30" i="1"/>
  <c r="DG30" i="1"/>
  <c r="DS30" i="1"/>
  <c r="FS31" i="1"/>
  <c r="CV31" i="1"/>
  <c r="DJ31" i="1"/>
  <c r="CH31" i="1"/>
  <c r="FQ31" i="1"/>
  <c r="BZ33" i="1"/>
  <c r="DB33" i="1"/>
  <c r="EA33" i="1"/>
  <c r="FD33" i="1"/>
  <c r="EO34" i="1"/>
  <c r="CQ34" i="1"/>
  <c r="CB34" i="1"/>
  <c r="EC34" i="1"/>
  <c r="FB34" i="1"/>
  <c r="DT35" i="1"/>
  <c r="ES35" i="1"/>
  <c r="BV35" i="1"/>
  <c r="FF35" i="1"/>
  <c r="CH36" i="1"/>
  <c r="EV37" i="1"/>
  <c r="CX37" i="1"/>
  <c r="GH37" i="1"/>
  <c r="EJ37" i="1"/>
  <c r="FI37" i="1"/>
  <c r="BZ38" i="1"/>
  <c r="EZ38" i="1"/>
  <c r="DB38" i="1"/>
  <c r="EA38" i="1"/>
  <c r="CV39" i="1"/>
  <c r="DU39" i="1"/>
  <c r="ET39" i="1"/>
  <c r="FH39" i="1"/>
  <c r="GG39" i="1"/>
  <c r="EI39" i="1"/>
  <c r="CY39" i="1"/>
  <c r="DL39" i="1"/>
  <c r="EK39" i="1"/>
  <c r="EZ39" i="1"/>
  <c r="CZ40" i="1"/>
  <c r="FW40" i="1"/>
  <c r="EX40" i="1"/>
  <c r="FW41" i="1"/>
  <c r="BW43" i="1"/>
  <c r="DC43" i="1"/>
  <c r="FS44" i="1"/>
  <c r="DU44" i="1"/>
  <c r="CV44" i="1"/>
  <c r="CT45" i="1"/>
  <c r="CE45" i="1"/>
  <c r="GD45" i="1"/>
  <c r="EF45" i="1"/>
  <c r="DG45" i="1"/>
  <c r="FE45" i="1"/>
  <c r="EB45" i="1"/>
  <c r="DB46" i="1"/>
  <c r="FO47" i="1"/>
  <c r="FJ47" i="1"/>
  <c r="EX48" i="1"/>
  <c r="GE48" i="1"/>
  <c r="EZ50" i="1"/>
  <c r="BZ50" i="1"/>
  <c r="DF50" i="1"/>
  <c r="FO50" i="1"/>
  <c r="FO51" i="1"/>
  <c r="DQ51" i="1"/>
  <c r="EP51" i="1"/>
  <c r="EE51" i="1"/>
  <c r="FD51" i="1"/>
  <c r="DF51" i="1"/>
  <c r="BR51" i="1"/>
  <c r="GC51" i="1"/>
  <c r="FI52" i="1"/>
  <c r="BZ53" i="1"/>
  <c r="FY53" i="1"/>
  <c r="EA53" i="1"/>
  <c r="BN53" i="1"/>
  <c r="ER53" i="1"/>
  <c r="EN54" i="1"/>
  <c r="DO54" i="1"/>
  <c r="CA54" i="1"/>
  <c r="FA54" i="1"/>
  <c r="BO54" i="1"/>
  <c r="FO54" i="1"/>
  <c r="CJ55" i="1"/>
  <c r="DL55" i="1"/>
  <c r="EA55" i="1"/>
  <c r="FH55" i="1"/>
  <c r="CV56" i="1"/>
  <c r="ET56" i="1"/>
  <c r="FB57" i="1"/>
  <c r="FF58" i="1"/>
  <c r="BZ59" i="1"/>
  <c r="FS60" i="1"/>
  <c r="DU60" i="1"/>
  <c r="CV60" i="1"/>
  <c r="BT60" i="1"/>
  <c r="ET60" i="1"/>
  <c r="GG60" i="1"/>
  <c r="CH60" i="1"/>
  <c r="FH60" i="1"/>
  <c r="FE60" i="1"/>
  <c r="ES62" i="1"/>
  <c r="CU62" i="1"/>
  <c r="DT62" i="1"/>
  <c r="FR62" i="1"/>
  <c r="BS62" i="1"/>
  <c r="EG62" i="1"/>
  <c r="FF62" i="1"/>
  <c r="DH62" i="1"/>
  <c r="CF62" i="1"/>
  <c r="BP63" i="1"/>
  <c r="CQ67" i="1"/>
  <c r="BO67" i="1"/>
  <c r="DP67" i="1"/>
  <c r="FN67" i="1"/>
  <c r="FB67" i="1"/>
  <c r="CB67" i="1"/>
  <c r="DD67" i="1"/>
  <c r="BS67" i="1"/>
  <c r="CX68" i="1"/>
  <c r="BV68" i="1"/>
  <c r="EV68" i="1"/>
  <c r="DW68" i="1"/>
  <c r="CI68" i="1"/>
  <c r="GH68" i="1"/>
  <c r="EJ68" i="1"/>
  <c r="DK68" i="1"/>
  <c r="FI68" i="1"/>
  <c r="FW69" i="1"/>
  <c r="FQ76" i="1"/>
  <c r="FQ78" i="1"/>
  <c r="DS78" i="1"/>
  <c r="CT78" i="1"/>
  <c r="ER78" i="1"/>
  <c r="BR78" i="1"/>
  <c r="FE78" i="1"/>
  <c r="EF78" i="1"/>
  <c r="DG78" i="1"/>
  <c r="CE78" i="1"/>
  <c r="GD78" i="1"/>
  <c r="GE94" i="1"/>
  <c r="GD94" i="1"/>
  <c r="CV100" i="1"/>
  <c r="CT100" i="1"/>
  <c r="FJ3" i="1"/>
  <c r="EO5" i="1"/>
  <c r="BV13" i="1"/>
  <c r="CB15" i="1"/>
  <c r="GA23" i="1"/>
  <c r="EC23" i="1"/>
  <c r="FE24" i="1"/>
  <c r="DG24" i="1"/>
  <c r="BZ27" i="1"/>
  <c r="CD35" i="1"/>
  <c r="EE35" i="1"/>
  <c r="FD35" i="1"/>
  <c r="GI38" i="1"/>
  <c r="DK40" i="1"/>
  <c r="GH40" i="1"/>
  <c r="FI40" i="1"/>
  <c r="CX47" i="1"/>
  <c r="BZ48" i="1"/>
  <c r="FY48" i="1"/>
  <c r="EA48" i="1"/>
  <c r="BN48" i="1"/>
  <c r="ET48" i="1"/>
  <c r="EN49" i="1"/>
  <c r="FM49" i="1"/>
  <c r="CP49" i="1"/>
  <c r="DO49" i="1"/>
  <c r="GA51" i="1"/>
  <c r="DC3" i="1"/>
  <c r="FQ4" i="1"/>
  <c r="DS4" i="1"/>
  <c r="BR4" i="1"/>
  <c r="FZ4" i="1"/>
  <c r="BS5" i="1"/>
  <c r="BT5" i="1"/>
  <c r="CD5" i="1"/>
  <c r="DK7" i="1"/>
  <c r="CH8" i="1"/>
  <c r="EZ8" i="1"/>
  <c r="GA9" i="1"/>
  <c r="EC9" i="1"/>
  <c r="BZ9" i="1"/>
  <c r="BO10" i="1"/>
  <c r="DX11" i="1"/>
  <c r="FW12" i="1"/>
  <c r="FY13" i="1"/>
  <c r="EA13" i="1"/>
  <c r="BZ13" i="1"/>
  <c r="FI13" i="1"/>
  <c r="GH13" i="1"/>
  <c r="BR14" i="1"/>
  <c r="BT15" i="1"/>
  <c r="FB15" i="1"/>
  <c r="GE16" i="1"/>
  <c r="BT16" i="1"/>
  <c r="CD16" i="1"/>
  <c r="DQ16" i="1"/>
  <c r="EO17" i="1"/>
  <c r="DT18" i="1"/>
  <c r="GI19" i="1"/>
  <c r="EK19" i="1"/>
  <c r="BW19" i="1"/>
  <c r="DX19" i="1"/>
  <c r="EW20" i="1"/>
  <c r="CY20" i="1"/>
  <c r="BX20" i="1"/>
  <c r="GG20" i="1"/>
  <c r="FM21" i="1"/>
  <c r="DO21" i="1"/>
  <c r="BO21" i="1"/>
  <c r="DL21" i="1"/>
  <c r="EK21" i="1"/>
  <c r="EW21" i="1"/>
  <c r="CU22" i="1"/>
  <c r="DG22" i="1"/>
  <c r="ES23" i="1"/>
  <c r="CU23" i="1"/>
  <c r="BT23" i="1"/>
  <c r="CF23" i="1"/>
  <c r="CV23" i="1"/>
  <c r="DH23" i="1"/>
  <c r="DT23" i="1"/>
  <c r="CI24" i="1"/>
  <c r="FI24" i="1"/>
  <c r="CY24" i="1"/>
  <c r="DL24" i="1"/>
  <c r="DW24" i="1"/>
  <c r="GD24" i="1"/>
  <c r="BN25" i="1"/>
  <c r="DX25" i="1"/>
  <c r="FZ25" i="1"/>
  <c r="BT26" i="1"/>
  <c r="GG26" i="1"/>
  <c r="CT26" i="1"/>
  <c r="FD26" i="1"/>
  <c r="FO27" i="1"/>
  <c r="DQ27" i="1"/>
  <c r="BR27" i="1"/>
  <c r="DB27" i="1"/>
  <c r="EZ27" i="1"/>
  <c r="GD27" i="1"/>
  <c r="CB28" i="1"/>
  <c r="DD28" i="1"/>
  <c r="CP29" i="1"/>
  <c r="EP30" i="1"/>
  <c r="DQ30" i="1"/>
  <c r="CD30" i="1"/>
  <c r="GC30" i="1"/>
  <c r="FY30" i="1"/>
  <c r="FR31" i="1"/>
  <c r="BN32" i="1"/>
  <c r="FM32" i="1"/>
  <c r="DO33" i="1"/>
  <c r="EN33" i="1"/>
  <c r="FZ33" i="1"/>
  <c r="EB33" i="1"/>
  <c r="CP33" i="1"/>
  <c r="CR34" i="1"/>
  <c r="DQ34" i="1"/>
  <c r="FZ34" i="1"/>
  <c r="BT35" i="1"/>
  <c r="EB35" i="1"/>
  <c r="ER35" i="1"/>
  <c r="ES36" i="1"/>
  <c r="CU36" i="1"/>
  <c r="CF36" i="1"/>
  <c r="DH36" i="1"/>
  <c r="EG36" i="1"/>
  <c r="FF36" i="1"/>
  <c r="CI36" i="1"/>
  <c r="CX36" i="1"/>
  <c r="FO36" i="1"/>
  <c r="CY37" i="1"/>
  <c r="DX37" i="1"/>
  <c r="DL37" i="1"/>
  <c r="EK37" i="1"/>
  <c r="FS37" i="1"/>
  <c r="EN38" i="1"/>
  <c r="CP38" i="1"/>
  <c r="FM38" i="1"/>
  <c r="FZ38" i="1"/>
  <c r="EB38" i="1"/>
  <c r="DC38" i="1"/>
  <c r="CD38" i="1"/>
  <c r="DW39" i="1"/>
  <c r="CX39" i="1"/>
  <c r="GH39" i="1"/>
  <c r="CI39" i="1"/>
  <c r="BW39" i="1"/>
  <c r="EZ40" i="1"/>
  <c r="EA40" i="1"/>
  <c r="BZ40" i="1"/>
  <c r="DB40" i="1"/>
  <c r="DG40" i="1"/>
  <c r="EV40" i="1"/>
  <c r="FY41" i="1"/>
  <c r="EZ41" i="1"/>
  <c r="BN41" i="1"/>
  <c r="FZ41" i="1"/>
  <c r="BV42" i="1"/>
  <c r="CI42" i="1"/>
  <c r="GH42" i="1"/>
  <c r="EJ42" i="1"/>
  <c r="EW42" i="1"/>
  <c r="FJ42" i="1"/>
  <c r="CR43" i="1"/>
  <c r="CX43" i="1"/>
  <c r="FV43" i="1"/>
  <c r="FI44" i="1"/>
  <c r="CI44" i="1"/>
  <c r="DK44" i="1"/>
  <c r="CA44" i="1"/>
  <c r="BS45" i="1"/>
  <c r="GE45" i="1"/>
  <c r="DC45" i="1"/>
  <c r="BZ46" i="1"/>
  <c r="BW48" i="1"/>
  <c r="DB48" i="1"/>
  <c r="CH49" i="1"/>
  <c r="DL49" i="1"/>
  <c r="ET49" i="1"/>
  <c r="BP50" i="1"/>
  <c r="CT50" i="1"/>
  <c r="FB50" i="1"/>
  <c r="GI50" i="1"/>
  <c r="EC51" i="1"/>
  <c r="EE53" i="1"/>
  <c r="EG53" i="1"/>
  <c r="EO54" i="1"/>
  <c r="DP54" i="1"/>
  <c r="CB54" i="1"/>
  <c r="GA54" i="1"/>
  <c r="EC54" i="1"/>
  <c r="CQ56" i="1"/>
  <c r="BO56" i="1"/>
  <c r="FN56" i="1"/>
  <c r="EO56" i="1"/>
  <c r="FB56" i="1"/>
  <c r="CB56" i="1"/>
  <c r="GA56" i="1"/>
  <c r="EC56" i="1"/>
  <c r="BS56" i="1"/>
  <c r="FH56" i="1"/>
  <c r="GD56" i="1"/>
  <c r="CB57" i="1"/>
  <c r="CZ57" i="1"/>
  <c r="CP57" i="1"/>
  <c r="DG57" i="1"/>
  <c r="EO57" i="1"/>
  <c r="FS58" i="1"/>
  <c r="DU58" i="1"/>
  <c r="FH58" i="1"/>
  <c r="GG58" i="1"/>
  <c r="DW58" i="1"/>
  <c r="FY59" i="1"/>
  <c r="FU60" i="1"/>
  <c r="EV60" i="1"/>
  <c r="DW60" i="1"/>
  <c r="CX60" i="1"/>
  <c r="BV60" i="1"/>
  <c r="FI60" i="1"/>
  <c r="CI60" i="1"/>
  <c r="EJ60" i="1"/>
  <c r="DK60" i="1"/>
  <c r="BT63" i="1"/>
  <c r="BR63" i="1"/>
  <c r="EJ64" i="1"/>
  <c r="BZ66" i="1"/>
  <c r="CE69" i="1"/>
  <c r="EO70" i="1"/>
  <c r="BO70" i="1"/>
  <c r="CB70" i="1"/>
  <c r="GA70" i="1"/>
  <c r="EC70" i="1"/>
  <c r="FB70" i="1"/>
  <c r="DP70" i="1"/>
  <c r="EK71" i="1"/>
  <c r="FV71" i="1"/>
  <c r="CV72" i="1"/>
  <c r="DY74" i="1"/>
  <c r="CY100" i="1"/>
  <c r="FV100" i="1"/>
  <c r="EW100" i="1"/>
  <c r="DX100" i="1"/>
  <c r="BW100" i="1"/>
  <c r="FJ100" i="1"/>
  <c r="EK100" i="1"/>
  <c r="DL100" i="1"/>
  <c r="GI100" i="1"/>
  <c r="CJ100" i="1"/>
  <c r="DW20" i="1"/>
  <c r="DY21" i="1"/>
  <c r="EI21" i="1"/>
  <c r="DC22" i="1"/>
  <c r="EK22" i="1"/>
  <c r="BS24" i="1"/>
  <c r="EO24" i="1"/>
  <c r="CE25" i="1"/>
  <c r="DW25" i="1"/>
  <c r="DY26" i="1"/>
  <c r="EI26" i="1"/>
  <c r="DC27" i="1"/>
  <c r="EK27" i="1"/>
  <c r="BV29" i="1"/>
  <c r="FU29" i="1"/>
  <c r="BX30" i="1"/>
  <c r="CP31" i="1"/>
  <c r="FM31" i="1"/>
  <c r="FN32" i="1"/>
  <c r="DP32" i="1"/>
  <c r="CB32" i="1"/>
  <c r="DY32" i="1"/>
  <c r="GA32" i="1"/>
  <c r="GH34" i="1"/>
  <c r="BR36" i="1"/>
  <c r="DO36" i="1"/>
  <c r="BX38" i="1"/>
  <c r="DU38" i="1"/>
  <c r="FW38" i="1"/>
  <c r="GE40" i="1"/>
  <c r="EG40" i="1"/>
  <c r="DH40" i="1"/>
  <c r="CF40" i="1"/>
  <c r="GG41" i="1"/>
  <c r="EI41" i="1"/>
  <c r="DJ41" i="1"/>
  <c r="CR41" i="1"/>
  <c r="FO41" i="1"/>
  <c r="DF42" i="1"/>
  <c r="FS42" i="1"/>
  <c r="GC42" i="1"/>
  <c r="GG43" i="1"/>
  <c r="CB44" i="1"/>
  <c r="GA44" i="1"/>
  <c r="EC44" i="1"/>
  <c r="FQ47" i="1"/>
  <c r="DS47" i="1"/>
  <c r="EF47" i="1"/>
  <c r="FM50" i="1"/>
  <c r="DO50" i="1"/>
  <c r="EX50" i="1"/>
  <c r="FZ50" i="1"/>
  <c r="DT51" i="1"/>
  <c r="CH52" i="1"/>
  <c r="GG52" i="1"/>
  <c r="EI52" i="1"/>
  <c r="DJ52" i="1"/>
  <c r="CI53" i="1"/>
  <c r="FI53" i="1"/>
  <c r="DW53" i="1"/>
  <c r="EI54" i="1"/>
  <c r="GE55" i="1"/>
  <c r="FO56" i="1"/>
  <c r="DQ56" i="1"/>
  <c r="CD56" i="1"/>
  <c r="CR56" i="1"/>
  <c r="CR58" i="1"/>
  <c r="FW58" i="1"/>
  <c r="CU59" i="1"/>
  <c r="DT59" i="1"/>
  <c r="GE59" i="1"/>
  <c r="CF59" i="1"/>
  <c r="EG59" i="1"/>
  <c r="CV62" i="1"/>
  <c r="DU62" i="1"/>
  <c r="GG62" i="1"/>
  <c r="EI62" i="1"/>
  <c r="FS63" i="1"/>
  <c r="EW64" i="1"/>
  <c r="FV64" i="1"/>
  <c r="CY64" i="1"/>
  <c r="CJ64" i="1"/>
  <c r="GI64" i="1"/>
  <c r="FJ64" i="1"/>
  <c r="DB65" i="1"/>
  <c r="EA65" i="1"/>
  <c r="FY65" i="1"/>
  <c r="FW66" i="1"/>
  <c r="DY66" i="1"/>
  <c r="EX66" i="1"/>
  <c r="CZ66" i="1"/>
  <c r="FO67" i="1"/>
  <c r="DQ67" i="1"/>
  <c r="CD67" i="1"/>
  <c r="GA69" i="1"/>
  <c r="EW70" i="1"/>
  <c r="CY70" i="1"/>
  <c r="FV70" i="1"/>
  <c r="FJ70" i="1"/>
  <c r="DL70" i="1"/>
  <c r="GI70" i="1"/>
  <c r="EK70" i="1"/>
  <c r="FS71" i="1"/>
  <c r="FQ71" i="1"/>
  <c r="CE72" i="1"/>
  <c r="FE72" i="1"/>
  <c r="GD72" i="1"/>
  <c r="FJ72" i="1"/>
  <c r="FI72" i="1"/>
  <c r="FU74" i="1"/>
  <c r="EW75" i="1"/>
  <c r="CY75" i="1"/>
  <c r="DX75" i="1"/>
  <c r="EK75" i="1"/>
  <c r="DL75" i="1"/>
  <c r="DT75" i="1"/>
  <c r="DS75" i="1"/>
  <c r="ER76" i="1"/>
  <c r="CT76" i="1"/>
  <c r="DS76" i="1"/>
  <c r="CE76" i="1"/>
  <c r="GD76" i="1"/>
  <c r="EF76" i="1"/>
  <c r="DG76" i="1"/>
  <c r="FE76" i="1"/>
  <c r="FM83" i="1"/>
  <c r="DO83" i="1"/>
  <c r="BN83" i="1"/>
  <c r="EN83" i="1"/>
  <c r="CP83" i="1"/>
  <c r="FA83" i="1"/>
  <c r="DC83" i="1"/>
  <c r="CA83" i="1"/>
  <c r="FZ83" i="1"/>
  <c r="CQ85" i="1"/>
  <c r="DP85" i="1"/>
  <c r="EC85" i="1"/>
  <c r="CB85" i="1"/>
  <c r="GA85" i="1"/>
  <c r="FM88" i="1"/>
  <c r="CP88" i="1"/>
  <c r="DO88" i="1"/>
  <c r="CA88" i="1"/>
  <c r="FZ88" i="1"/>
  <c r="FA88" i="1"/>
  <c r="DC88" i="1"/>
  <c r="EN88" i="1"/>
  <c r="FM91" i="1"/>
  <c r="DO91" i="1"/>
  <c r="CP91" i="1"/>
  <c r="EB91" i="1"/>
  <c r="DC91" i="1"/>
  <c r="FA91" i="1"/>
  <c r="EF95" i="1"/>
  <c r="EE95" i="1"/>
  <c r="DH96" i="1"/>
  <c r="DG96" i="1"/>
  <c r="ER97" i="1"/>
  <c r="DS97" i="1"/>
  <c r="BR97" i="1"/>
  <c r="CT97" i="1"/>
  <c r="FQ97" i="1"/>
  <c r="FE97" i="1"/>
  <c r="DG97" i="1"/>
  <c r="EF97" i="1"/>
  <c r="CE97" i="1"/>
  <c r="GD97" i="1"/>
  <c r="FV99" i="1"/>
  <c r="EW99" i="1"/>
  <c r="CY99" i="1"/>
  <c r="DX99" i="1"/>
  <c r="BW99" i="1"/>
  <c r="FJ99" i="1"/>
  <c r="EK99" i="1"/>
  <c r="DL99" i="1"/>
  <c r="CJ99" i="1"/>
  <c r="FF99" i="1"/>
  <c r="FE99" i="1"/>
  <c r="FD99" i="1"/>
  <c r="DQ103" i="1"/>
  <c r="DP103" i="1"/>
  <c r="DO103" i="1"/>
  <c r="ET78" i="1"/>
  <c r="DU78" i="1"/>
  <c r="GG78" i="1"/>
  <c r="CH78" i="1"/>
  <c r="EI78" i="1"/>
  <c r="FH78" i="1"/>
  <c r="FE83" i="1"/>
  <c r="EN86" i="1"/>
  <c r="EP86" i="1"/>
  <c r="CQ91" i="1"/>
  <c r="DP91" i="1"/>
  <c r="EO91" i="1"/>
  <c r="FN91" i="1"/>
  <c r="ET96" i="1"/>
  <c r="FS96" i="1"/>
  <c r="CV96" i="1"/>
  <c r="BT96" i="1"/>
  <c r="GG96" i="1"/>
  <c r="EI96" i="1"/>
  <c r="FH96" i="1"/>
  <c r="DJ96" i="1"/>
  <c r="CA96" i="1"/>
  <c r="BZ96" i="1"/>
  <c r="BX103" i="1"/>
  <c r="EX103" i="1"/>
  <c r="FW103" i="1"/>
  <c r="DY103" i="1"/>
  <c r="CZ103" i="1"/>
  <c r="BP103" i="1"/>
  <c r="BO103" i="1"/>
  <c r="BN103" i="1"/>
  <c r="DQ130" i="1"/>
  <c r="DO130" i="1"/>
  <c r="FF134" i="1"/>
  <c r="FE134" i="1"/>
  <c r="CI78" i="1"/>
  <c r="EJ78" i="1"/>
  <c r="GH78" i="1"/>
  <c r="DK78" i="1"/>
  <c r="DX79" i="1"/>
  <c r="EW79" i="1"/>
  <c r="BW79" i="1"/>
  <c r="CY79" i="1"/>
  <c r="GI79" i="1"/>
  <c r="EK79" i="1"/>
  <c r="DL79" i="1"/>
  <c r="CJ79" i="1"/>
  <c r="FJ79" i="1"/>
  <c r="FU80" i="1"/>
  <c r="FW80" i="1"/>
  <c r="ER81" i="1"/>
  <c r="EI82" i="1"/>
  <c r="EP83" i="1"/>
  <c r="CR83" i="1"/>
  <c r="BP83" i="1"/>
  <c r="FO83" i="1"/>
  <c r="DQ83" i="1"/>
  <c r="EE83" i="1"/>
  <c r="DF83" i="1"/>
  <c r="GC83" i="1"/>
  <c r="CD83" i="1"/>
  <c r="DS86" i="1"/>
  <c r="FQ86" i="1"/>
  <c r="DG86" i="1"/>
  <c r="EF86" i="1"/>
  <c r="CE86" i="1"/>
  <c r="GD86" i="1"/>
  <c r="EN87" i="1"/>
  <c r="GC87" i="1"/>
  <c r="BW89" i="1"/>
  <c r="GG90" i="1"/>
  <c r="BW78" i="1"/>
  <c r="EW78" i="1"/>
  <c r="FV78" i="1"/>
  <c r="EK78" i="1"/>
  <c r="GI78" i="1"/>
  <c r="DL78" i="1"/>
  <c r="FJ78" i="1"/>
  <c r="CV78" i="1"/>
  <c r="DW78" i="1"/>
  <c r="CT83" i="1"/>
  <c r="DS83" i="1"/>
  <c r="ER83" i="1"/>
  <c r="FQ83" i="1"/>
  <c r="BR83" i="1"/>
  <c r="EF83" i="1"/>
  <c r="DG83" i="1"/>
  <c r="EG85" i="1"/>
  <c r="EE85" i="1"/>
  <c r="ES86" i="1"/>
  <c r="CU86" i="1"/>
  <c r="FR86" i="1"/>
  <c r="DT86" i="1"/>
  <c r="DH86" i="1"/>
  <c r="GE86" i="1"/>
  <c r="EG86" i="1"/>
  <c r="FF86" i="1"/>
  <c r="ER86" i="1"/>
  <c r="GA91" i="1"/>
  <c r="CD95" i="1"/>
  <c r="CF95" i="1"/>
  <c r="BW96" i="1"/>
  <c r="CY96" i="1"/>
  <c r="DX96" i="1"/>
  <c r="FV96" i="1"/>
  <c r="EK96" i="1"/>
  <c r="DL96" i="1"/>
  <c r="GI96" i="1"/>
  <c r="FJ96" i="1"/>
  <c r="EP105" i="1"/>
  <c r="BP105" i="1"/>
  <c r="FO105" i="1"/>
  <c r="CR105" i="1"/>
  <c r="DQ105" i="1"/>
  <c r="CD105" i="1"/>
  <c r="GC105" i="1"/>
  <c r="EE105" i="1"/>
  <c r="DF105" i="1"/>
  <c r="FD105" i="1"/>
  <c r="BO107" i="1"/>
  <c r="FN107" i="1"/>
  <c r="DP107" i="1"/>
  <c r="CQ107" i="1"/>
  <c r="EO107" i="1"/>
  <c r="GA107" i="1"/>
  <c r="EC107" i="1"/>
  <c r="FB107" i="1"/>
  <c r="DD107" i="1"/>
  <c r="CB107" i="1"/>
  <c r="FQ74" i="1"/>
  <c r="DS74" i="1"/>
  <c r="CT74" i="1"/>
  <c r="ER74" i="1"/>
  <c r="BR74" i="1"/>
  <c r="FE74" i="1"/>
  <c r="DG74" i="1"/>
  <c r="GD74" i="1"/>
  <c r="EF74" i="1"/>
  <c r="CE74" i="1"/>
  <c r="GC74" i="1"/>
  <c r="GE74" i="1"/>
  <c r="FW77" i="1"/>
  <c r="FI77" i="1"/>
  <c r="GC77" i="1"/>
  <c r="DJ78" i="1"/>
  <c r="DX78" i="1"/>
  <c r="FY79" i="1"/>
  <c r="EA79" i="1"/>
  <c r="BZ79" i="1"/>
  <c r="DB82" i="1"/>
  <c r="EA82" i="1"/>
  <c r="EZ82" i="1"/>
  <c r="ES83" i="1"/>
  <c r="DT83" i="1"/>
  <c r="GE83" i="1"/>
  <c r="EG83" i="1"/>
  <c r="DH83" i="1"/>
  <c r="CF83" i="1"/>
  <c r="EZ84" i="1"/>
  <c r="FS85" i="1"/>
  <c r="ET85" i="1"/>
  <c r="BT85" i="1"/>
  <c r="DU85" i="1"/>
  <c r="FH85" i="1"/>
  <c r="GG85" i="1"/>
  <c r="DJ85" i="1"/>
  <c r="EI85" i="1"/>
  <c r="CH85" i="1"/>
  <c r="CV86" i="1"/>
  <c r="FS86" i="1"/>
  <c r="GG86" i="1"/>
  <c r="EI86" i="1"/>
  <c r="CH86" i="1"/>
  <c r="FH86" i="1"/>
  <c r="DJ86" i="1"/>
  <c r="ET86" i="1"/>
  <c r="GH89" i="1"/>
  <c r="GG89" i="1"/>
  <c r="EB93" i="1"/>
  <c r="EA93" i="1"/>
  <c r="FB93" i="1"/>
  <c r="FA93" i="1"/>
  <c r="EZ93" i="1"/>
  <c r="CI95" i="1"/>
  <c r="CH95" i="1"/>
  <c r="EW96" i="1"/>
  <c r="DX97" i="1"/>
  <c r="FV97" i="1"/>
  <c r="EW97" i="1"/>
  <c r="CY97" i="1"/>
  <c r="GI97" i="1"/>
  <c r="EK97" i="1"/>
  <c r="DL97" i="1"/>
  <c r="CJ97" i="1"/>
  <c r="DF128" i="1"/>
  <c r="DH128" i="1"/>
  <c r="DG128" i="1"/>
  <c r="FQ73" i="1"/>
  <c r="DS73" i="1"/>
  <c r="FE73" i="1"/>
  <c r="GD73" i="1"/>
  <c r="DT73" i="1"/>
  <c r="DQ74" i="1"/>
  <c r="DO74" i="1"/>
  <c r="FO74" i="1"/>
  <c r="FM74" i="1"/>
  <c r="FZ76" i="1"/>
  <c r="FY77" i="1"/>
  <c r="EA77" i="1"/>
  <c r="CX78" i="1"/>
  <c r="FI78" i="1"/>
  <c r="GC78" i="1"/>
  <c r="EE79" i="1"/>
  <c r="DB80" i="1"/>
  <c r="EA80" i="1"/>
  <c r="EZ80" i="1"/>
  <c r="BZ80" i="1"/>
  <c r="FY80" i="1"/>
  <c r="GG83" i="1"/>
  <c r="EI83" i="1"/>
  <c r="CH83" i="1"/>
  <c r="FH83" i="1"/>
  <c r="DJ83" i="1"/>
  <c r="ET83" i="1"/>
  <c r="ES84" i="1"/>
  <c r="CU84" i="1"/>
  <c r="BS84" i="1"/>
  <c r="EG84" i="1"/>
  <c r="FF84" i="1"/>
  <c r="DH84" i="1"/>
  <c r="CF84" i="1"/>
  <c r="DB84" i="1"/>
  <c r="FU86" i="1"/>
  <c r="EV86" i="1"/>
  <c r="DK86" i="1"/>
  <c r="GH86" i="1"/>
  <c r="FI86" i="1"/>
  <c r="EJ86" i="1"/>
  <c r="BV86" i="1"/>
  <c r="DW86" i="1"/>
  <c r="DU87" i="1"/>
  <c r="ET87" i="1"/>
  <c r="BT87" i="1"/>
  <c r="FS87" i="1"/>
  <c r="CV87" i="1"/>
  <c r="EI87" i="1"/>
  <c r="GG87" i="1"/>
  <c r="FH87" i="1"/>
  <c r="DJ87" i="1"/>
  <c r="CH87" i="1"/>
  <c r="DH91" i="1"/>
  <c r="DG91" i="1"/>
  <c r="EC91" i="1"/>
  <c r="CU93" i="1"/>
  <c r="ES93" i="1"/>
  <c r="BS93" i="1"/>
  <c r="DT93" i="1"/>
  <c r="FR93" i="1"/>
  <c r="EG93" i="1"/>
  <c r="DH93" i="1"/>
  <c r="CF93" i="1"/>
  <c r="GE93" i="1"/>
  <c r="DX94" i="1"/>
  <c r="BW94" i="1"/>
  <c r="CY94" i="1"/>
  <c r="EW94" i="1"/>
  <c r="GI94" i="1"/>
  <c r="CJ94" i="1"/>
  <c r="FI95" i="1"/>
  <c r="FH95" i="1"/>
  <c r="CZ98" i="1"/>
  <c r="BX98" i="1"/>
  <c r="EX98" i="1"/>
  <c r="DY98" i="1"/>
  <c r="FW98" i="1"/>
  <c r="GD102" i="1"/>
  <c r="GC102" i="1"/>
  <c r="EE103" i="1"/>
  <c r="EF103" i="1"/>
  <c r="ES112" i="1"/>
  <c r="BS112" i="1"/>
  <c r="DT112" i="1"/>
  <c r="CU112" i="1"/>
  <c r="FR112" i="1"/>
  <c r="DW12" i="1"/>
  <c r="DY13" i="1"/>
  <c r="DC14" i="1"/>
  <c r="DW17" i="1"/>
  <c r="DY18" i="1"/>
  <c r="DC19" i="1"/>
  <c r="DS20" i="1"/>
  <c r="FQ20" i="1"/>
  <c r="DU21" i="1"/>
  <c r="FS21" i="1"/>
  <c r="CY22" i="1"/>
  <c r="DW22" i="1"/>
  <c r="DY23" i="1"/>
  <c r="DC24" i="1"/>
  <c r="DS25" i="1"/>
  <c r="FQ25" i="1"/>
  <c r="DU26" i="1"/>
  <c r="FS26" i="1"/>
  <c r="CY27" i="1"/>
  <c r="DW27" i="1"/>
  <c r="DY28" i="1"/>
  <c r="DF29" i="1"/>
  <c r="CX29" i="1"/>
  <c r="DH30" i="1"/>
  <c r="BS30" i="1"/>
  <c r="CZ30" i="1"/>
  <c r="FI31" i="1"/>
  <c r="DL32" i="1"/>
  <c r="DD33" i="1"/>
  <c r="EI33" i="1"/>
  <c r="CV34" i="1"/>
  <c r="FH34" i="1"/>
  <c r="FJ35" i="1"/>
  <c r="EC35" i="1"/>
  <c r="EL35" i="1" s="1"/>
  <c r="EF36" i="1"/>
  <c r="FA36" i="1"/>
  <c r="BN37" i="1"/>
  <c r="CA37" i="1"/>
  <c r="DH37" i="1"/>
  <c r="ES37" i="1"/>
  <c r="FF38" i="1"/>
  <c r="BT38" i="1"/>
  <c r="EX39" i="1"/>
  <c r="BX39" i="1"/>
  <c r="EE39" i="1"/>
  <c r="FW39" i="1"/>
  <c r="BO40" i="1"/>
  <c r="DO40" i="1"/>
  <c r="BP41" i="1"/>
  <c r="DP41" i="1"/>
  <c r="BO42" i="1"/>
  <c r="FN42" i="1"/>
  <c r="DP42" i="1"/>
  <c r="FF43" i="1"/>
  <c r="BT43" i="1"/>
  <c r="CF43" i="1"/>
  <c r="ES43" i="1"/>
  <c r="EW44" i="1"/>
  <c r="BT45" i="1"/>
  <c r="CE46" i="1"/>
  <c r="FE46" i="1"/>
  <c r="BS46" i="1"/>
  <c r="GD46" i="1"/>
  <c r="GD47" i="1"/>
  <c r="CJ50" i="1"/>
  <c r="CE51" i="1"/>
  <c r="FE51" i="1"/>
  <c r="BS51" i="1"/>
  <c r="FR51" i="1"/>
  <c r="BO52" i="1"/>
  <c r="FN52" i="1"/>
  <c r="DP52" i="1"/>
  <c r="CQ52" i="1"/>
  <c r="GA52" i="1"/>
  <c r="EC52" i="1"/>
  <c r="BP53" i="1"/>
  <c r="FU53" i="1"/>
  <c r="GG54" i="1"/>
  <c r="FM55" i="1"/>
  <c r="DO55" i="1"/>
  <c r="BO55" i="1"/>
  <c r="CB55" i="1"/>
  <c r="GA55" i="1"/>
  <c r="FW56" i="1"/>
  <c r="CI57" i="1"/>
  <c r="GH57" i="1"/>
  <c r="EJ57" i="1"/>
  <c r="DK57" i="1"/>
  <c r="GI58" i="1"/>
  <c r="CJ58" i="1"/>
  <c r="EK58" i="1"/>
  <c r="FJ58" i="1"/>
  <c r="CZ58" i="1"/>
  <c r="DX58" i="1"/>
  <c r="FR59" i="1"/>
  <c r="BN60" i="1"/>
  <c r="EN60" i="1"/>
  <c r="FM60" i="1"/>
  <c r="DC60" i="1"/>
  <c r="EB60" i="1"/>
  <c r="CA60" i="1"/>
  <c r="GG61" i="1"/>
  <c r="CH61" i="1"/>
  <c r="BO63" i="1"/>
  <c r="FN63" i="1"/>
  <c r="DP63" i="1"/>
  <c r="CQ63" i="1"/>
  <c r="DD63" i="1"/>
  <c r="FQ64" i="1"/>
  <c r="DS64" i="1"/>
  <c r="CT64" i="1"/>
  <c r="BR64" i="1"/>
  <c r="FK64" i="1"/>
  <c r="EZ65" i="1"/>
  <c r="FR65" i="1"/>
  <c r="FQ65" i="1"/>
  <c r="GC67" i="1"/>
  <c r="DX70" i="1"/>
  <c r="ES73" i="1"/>
  <c r="CU73" i="1"/>
  <c r="FS74" i="1"/>
  <c r="DU74" i="1"/>
  <c r="DT76" i="1"/>
  <c r="FA77" i="1"/>
  <c r="CY78" i="1"/>
  <c r="GA79" i="1"/>
  <c r="EZ79" i="1"/>
  <c r="EX81" i="1"/>
  <c r="CZ81" i="1"/>
  <c r="FW81" i="1"/>
  <c r="CQ82" i="1"/>
  <c r="DP82" i="1"/>
  <c r="BO82" i="1"/>
  <c r="FN82" i="1"/>
  <c r="EC82" i="1"/>
  <c r="GA82" i="1"/>
  <c r="FB82" i="1"/>
  <c r="FY82" i="1"/>
  <c r="FU83" i="1"/>
  <c r="BV83" i="1"/>
  <c r="EV83" i="1"/>
  <c r="DK83" i="1"/>
  <c r="GH83" i="1"/>
  <c r="CI83" i="1"/>
  <c r="FI83" i="1"/>
  <c r="CU83" i="1"/>
  <c r="EX83" i="1"/>
  <c r="EW83" i="1"/>
  <c r="FR83" i="1"/>
  <c r="CV84" i="1"/>
  <c r="DU84" i="1"/>
  <c r="ET84" i="1"/>
  <c r="FH84" i="1"/>
  <c r="GG84" i="1"/>
  <c r="EI84" i="1"/>
  <c r="DJ84" i="1"/>
  <c r="EN84" i="1"/>
  <c r="EW85" i="1"/>
  <c r="CY85" i="1"/>
  <c r="DX85" i="1"/>
  <c r="BW85" i="1"/>
  <c r="EK85" i="1"/>
  <c r="GI85" i="1"/>
  <c r="FJ85" i="1"/>
  <c r="DL85" i="1"/>
  <c r="CJ85" i="1"/>
  <c r="FB85" i="1"/>
  <c r="DB87" i="1"/>
  <c r="DF91" i="1"/>
  <c r="ER91" i="1"/>
  <c r="CV93" i="1"/>
  <c r="DU93" i="1"/>
  <c r="ET93" i="1"/>
  <c r="BT93" i="1"/>
  <c r="GG93" i="1"/>
  <c r="FH93" i="1"/>
  <c r="CH93" i="1"/>
  <c r="EI93" i="1"/>
  <c r="EK94" i="1"/>
  <c r="FV94" i="1"/>
  <c r="CZ95" i="1"/>
  <c r="EX95" i="1"/>
  <c r="DY95" i="1"/>
  <c r="BX95" i="1"/>
  <c r="DS95" i="1"/>
  <c r="CH96" i="1"/>
  <c r="FA96" i="1"/>
  <c r="EZ96" i="1"/>
  <c r="DP97" i="1"/>
  <c r="FI97" i="1"/>
  <c r="BO98" i="1"/>
  <c r="EG103" i="1"/>
  <c r="DB104" i="1"/>
  <c r="DO104" i="1"/>
  <c r="ET109" i="1"/>
  <c r="DU109" i="1"/>
  <c r="CV109" i="1"/>
  <c r="BT109" i="1"/>
  <c r="FS109" i="1"/>
  <c r="FH109" i="1"/>
  <c r="CH109" i="1"/>
  <c r="GG109" i="1"/>
  <c r="EI109" i="1"/>
  <c r="DJ109" i="1"/>
  <c r="CP22" i="1"/>
  <c r="DX22" i="1"/>
  <c r="FV22" i="1"/>
  <c r="CR23" i="1"/>
  <c r="DB23" i="1"/>
  <c r="DD24" i="1"/>
  <c r="CP27" i="1"/>
  <c r="DX27" i="1"/>
  <c r="FV27" i="1"/>
  <c r="CR28" i="1"/>
  <c r="DB28" i="1"/>
  <c r="EJ29" i="1"/>
  <c r="BT30" i="1"/>
  <c r="EN31" i="1"/>
  <c r="BX32" i="1"/>
  <c r="BP33" i="1"/>
  <c r="DJ33" i="1"/>
  <c r="BV34" i="1"/>
  <c r="DB34" i="1"/>
  <c r="BX35" i="1"/>
  <c r="DD35" i="1"/>
  <c r="CP36" i="1"/>
  <c r="FM36" i="1"/>
  <c r="FN37" i="1"/>
  <c r="DP37" i="1"/>
  <c r="CB37" i="1"/>
  <c r="FO42" i="1"/>
  <c r="DQ42" i="1"/>
  <c r="CR42" i="1"/>
  <c r="CD42" i="1"/>
  <c r="DU42" i="1"/>
  <c r="EE42" i="1"/>
  <c r="EI43" i="1"/>
  <c r="ET43" i="1"/>
  <c r="EX44" i="1"/>
  <c r="FB44" i="1"/>
  <c r="FN44" i="1"/>
  <c r="CF46" i="1"/>
  <c r="GE46" i="1"/>
  <c r="EG46" i="1"/>
  <c r="DD48" i="1"/>
  <c r="CY50" i="1"/>
  <c r="BW50" i="1"/>
  <c r="FV50" i="1"/>
  <c r="CF51" i="1"/>
  <c r="GE51" i="1"/>
  <c r="EG51" i="1"/>
  <c r="FF51" i="1"/>
  <c r="FO52" i="1"/>
  <c r="FQ53" i="1"/>
  <c r="DS53" i="1"/>
  <c r="CT53" i="1"/>
  <c r="FE53" i="1"/>
  <c r="DG53" i="1"/>
  <c r="FS54" i="1"/>
  <c r="DU54" i="1"/>
  <c r="CV54" i="1"/>
  <c r="CH54" i="1"/>
  <c r="EO55" i="1"/>
  <c r="CQ55" i="1"/>
  <c r="FY56" i="1"/>
  <c r="EA56" i="1"/>
  <c r="BW57" i="1"/>
  <c r="EW57" i="1"/>
  <c r="GI57" i="1"/>
  <c r="EK57" i="1"/>
  <c r="DL57" i="1"/>
  <c r="DX57" i="1"/>
  <c r="EO59" i="1"/>
  <c r="CQ59" i="1"/>
  <c r="BO59" i="1"/>
  <c r="GA59" i="1"/>
  <c r="EC59" i="1"/>
  <c r="DD59" i="1"/>
  <c r="FB59" i="1"/>
  <c r="DP59" i="1"/>
  <c r="FF59" i="1"/>
  <c r="EC60" i="1"/>
  <c r="FZ60" i="1"/>
  <c r="FO62" i="1"/>
  <c r="BP62" i="1"/>
  <c r="EP62" i="1"/>
  <c r="FD62" i="1"/>
  <c r="DF62" i="1"/>
  <c r="EE62" i="1"/>
  <c r="GC62" i="1"/>
  <c r="BT62" i="1"/>
  <c r="DJ62" i="1"/>
  <c r="FO63" i="1"/>
  <c r="DQ63" i="1"/>
  <c r="CR63" i="1"/>
  <c r="FD63" i="1"/>
  <c r="DF63" i="1"/>
  <c r="GC63" i="1"/>
  <c r="CU64" i="1"/>
  <c r="DT64" i="1"/>
  <c r="FE64" i="1"/>
  <c r="EV65" i="1"/>
  <c r="DW65" i="1"/>
  <c r="BV65" i="1"/>
  <c r="FI65" i="1"/>
  <c r="EJ65" i="1"/>
  <c r="GH65" i="1"/>
  <c r="BZ65" i="1"/>
  <c r="BX66" i="1"/>
  <c r="DY69" i="1"/>
  <c r="BW70" i="1"/>
  <c r="CJ70" i="1"/>
  <c r="DS72" i="1"/>
  <c r="CI74" i="1"/>
  <c r="FI74" i="1"/>
  <c r="GH74" i="1"/>
  <c r="FM76" i="1"/>
  <c r="DO76" i="1"/>
  <c r="BN76" i="1"/>
  <c r="FA76" i="1"/>
  <c r="EB76" i="1"/>
  <c r="CA76" i="1"/>
  <c r="CV76" i="1"/>
  <c r="CU76" i="1"/>
  <c r="FI76" i="1"/>
  <c r="FH76" i="1"/>
  <c r="CQ77" i="1"/>
  <c r="BO77" i="1"/>
  <c r="DP77" i="1"/>
  <c r="EO77" i="1"/>
  <c r="FB77" i="1"/>
  <c r="EC77" i="1"/>
  <c r="FN77" i="1"/>
  <c r="BT78" i="1"/>
  <c r="CJ78" i="1"/>
  <c r="CZ78" i="1"/>
  <c r="EV78" i="1"/>
  <c r="DB79" i="1"/>
  <c r="CQ80" i="1"/>
  <c r="DP80" i="1"/>
  <c r="EO80" i="1"/>
  <c r="BO80" i="1"/>
  <c r="GA80" i="1"/>
  <c r="EC80" i="1"/>
  <c r="DD80" i="1"/>
  <c r="CJ80" i="1"/>
  <c r="GI81" i="1"/>
  <c r="CR82" i="1"/>
  <c r="DQ82" i="1"/>
  <c r="EP82" i="1"/>
  <c r="FO82" i="1"/>
  <c r="GC82" i="1"/>
  <c r="EE82" i="1"/>
  <c r="FD82" i="1"/>
  <c r="BR82" i="1"/>
  <c r="CD82" i="1"/>
  <c r="EB83" i="1"/>
  <c r="FS83" i="1"/>
  <c r="DW84" i="1"/>
  <c r="CX84" i="1"/>
  <c r="FU84" i="1"/>
  <c r="CI84" i="1"/>
  <c r="GH84" i="1"/>
  <c r="EJ84" i="1"/>
  <c r="DT84" i="1"/>
  <c r="CZ85" i="1"/>
  <c r="DY85" i="1"/>
  <c r="FW85" i="1"/>
  <c r="EX85" i="1"/>
  <c r="FV85" i="1"/>
  <c r="DX87" i="1"/>
  <c r="FV87" i="1"/>
  <c r="EW87" i="1"/>
  <c r="CY87" i="1"/>
  <c r="GI87" i="1"/>
  <c r="EK87" i="1"/>
  <c r="CJ87" i="1"/>
  <c r="FJ87" i="1"/>
  <c r="DL87" i="1"/>
  <c r="EW88" i="1"/>
  <c r="CY88" i="1"/>
  <c r="DX88" i="1"/>
  <c r="BW88" i="1"/>
  <c r="FV88" i="1"/>
  <c r="GI88" i="1"/>
  <c r="FJ88" i="1"/>
  <c r="EK88" i="1"/>
  <c r="CJ88" i="1"/>
  <c r="CA91" i="1"/>
  <c r="DW93" i="1"/>
  <c r="FU93" i="1"/>
  <c r="BV93" i="1"/>
  <c r="EV93" i="1"/>
  <c r="GH93" i="1"/>
  <c r="CI93" i="1"/>
  <c r="EJ93" i="1"/>
  <c r="FI93" i="1"/>
  <c r="DK93" i="1"/>
  <c r="CX93" i="1"/>
  <c r="FF93" i="1"/>
  <c r="FY95" i="1"/>
  <c r="BZ95" i="1"/>
  <c r="EZ95" i="1"/>
  <c r="EA95" i="1"/>
  <c r="CQ96" i="1"/>
  <c r="EO96" i="1"/>
  <c r="BO96" i="1"/>
  <c r="FN96" i="1"/>
  <c r="GA96" i="1"/>
  <c r="CB96" i="1"/>
  <c r="FB96" i="1"/>
  <c r="DD96" i="1"/>
  <c r="EC96" i="1"/>
  <c r="FJ97" i="1"/>
  <c r="CB105" i="1"/>
  <c r="BZ105" i="1"/>
  <c r="DY2" i="1"/>
  <c r="DW6" i="1"/>
  <c r="DY7" i="1"/>
  <c r="EE10" i="1"/>
  <c r="DW11" i="1"/>
  <c r="EG11" i="1"/>
  <c r="DY12" i="1"/>
  <c r="EE15" i="1"/>
  <c r="DW16" i="1"/>
  <c r="EG16" i="1"/>
  <c r="DY17" i="1"/>
  <c r="EE20" i="1"/>
  <c r="DW21" i="1"/>
  <c r="EG21" i="1"/>
  <c r="DO22" i="1"/>
  <c r="DY22" i="1"/>
  <c r="DQ23" i="1"/>
  <c r="EA23" i="1"/>
  <c r="EC24" i="1"/>
  <c r="EE25" i="1"/>
  <c r="DW26" i="1"/>
  <c r="EG26" i="1"/>
  <c r="DO27" i="1"/>
  <c r="DY27" i="1"/>
  <c r="FZ28" i="1"/>
  <c r="DC28" i="1"/>
  <c r="DQ28" i="1"/>
  <c r="EA28" i="1"/>
  <c r="FR29" i="1"/>
  <c r="DT29" i="1"/>
  <c r="GC29" i="1"/>
  <c r="CX30" i="1"/>
  <c r="BV30" i="1"/>
  <c r="GE30" i="1"/>
  <c r="CZ31" i="1"/>
  <c r="BX31" i="1"/>
  <c r="FU31" i="1"/>
  <c r="DB32" i="1"/>
  <c r="BO32" i="1"/>
  <c r="CT33" i="1"/>
  <c r="CD33" i="1"/>
  <c r="BW34" i="1"/>
  <c r="CH34" i="1"/>
  <c r="EZ35" i="1"/>
  <c r="CJ35" i="1"/>
  <c r="FB36" i="1"/>
  <c r="CR37" i="1"/>
  <c r="FD37" i="1"/>
  <c r="DO37" i="1"/>
  <c r="EV38" i="1"/>
  <c r="BV38" i="1"/>
  <c r="FU38" i="1"/>
  <c r="EN39" i="1"/>
  <c r="BZ39" i="1"/>
  <c r="EP40" i="1"/>
  <c r="CD40" i="1"/>
  <c r="DQ40" i="1"/>
  <c r="EB40" i="1"/>
  <c r="EN40" i="1"/>
  <c r="ER41" i="1"/>
  <c r="BR41" i="1"/>
  <c r="EO41" i="1"/>
  <c r="BT42" i="1"/>
  <c r="CE42" i="1"/>
  <c r="CQ42" i="1"/>
  <c r="DD42" i="1"/>
  <c r="EF42" i="1"/>
  <c r="ER42" i="1"/>
  <c r="BV43" i="1"/>
  <c r="CH43" i="1"/>
  <c r="CV43" i="1"/>
  <c r="GE43" i="1"/>
  <c r="DP44" i="1"/>
  <c r="CY45" i="1"/>
  <c r="BW45" i="1"/>
  <c r="GG46" i="1"/>
  <c r="EI46" i="1"/>
  <c r="DJ46" i="1"/>
  <c r="CH46" i="1"/>
  <c r="CT46" i="1"/>
  <c r="FR46" i="1"/>
  <c r="BO47" i="1"/>
  <c r="FN47" i="1"/>
  <c r="DP47" i="1"/>
  <c r="CQ47" i="1"/>
  <c r="GA47" i="1"/>
  <c r="EC47" i="1"/>
  <c r="BR47" i="1"/>
  <c r="BP48" i="1"/>
  <c r="DP48" i="1"/>
  <c r="EG48" i="1"/>
  <c r="GG51" i="1"/>
  <c r="EI51" i="1"/>
  <c r="DJ51" i="1"/>
  <c r="CU51" i="1"/>
  <c r="DH51" i="1"/>
  <c r="EF51" i="1"/>
  <c r="FQ52" i="1"/>
  <c r="DS52" i="1"/>
  <c r="BT52" i="1"/>
  <c r="CV52" i="1"/>
  <c r="EF52" i="1"/>
  <c r="FH52" i="1"/>
  <c r="FF53" i="1"/>
  <c r="BV53" i="1"/>
  <c r="FU54" i="1"/>
  <c r="CT54" i="1"/>
  <c r="FW54" i="1"/>
  <c r="EP55" i="1"/>
  <c r="CD55" i="1"/>
  <c r="GC55" i="1"/>
  <c r="EE55" i="1"/>
  <c r="CP55" i="1"/>
  <c r="DC55" i="1"/>
  <c r="EN55" i="1"/>
  <c r="BP56" i="1"/>
  <c r="DB56" i="1"/>
  <c r="BX57" i="1"/>
  <c r="FY58" i="1"/>
  <c r="BZ58" i="1"/>
  <c r="EA58" i="1"/>
  <c r="BN58" i="1"/>
  <c r="DB58" i="1"/>
  <c r="DH59" i="1"/>
  <c r="ES59" i="1"/>
  <c r="EP60" i="1"/>
  <c r="CR60" i="1"/>
  <c r="DQ60" i="1"/>
  <c r="BP60" i="1"/>
  <c r="GC60" i="1"/>
  <c r="EE60" i="1"/>
  <c r="CY61" i="1"/>
  <c r="FV61" i="1"/>
  <c r="BW61" i="1"/>
  <c r="CJ61" i="1"/>
  <c r="FJ61" i="1"/>
  <c r="DB61" i="1"/>
  <c r="GI61" i="1"/>
  <c r="EO63" i="1"/>
  <c r="FB63" i="1"/>
  <c r="DJ64" i="1"/>
  <c r="GG64" i="1"/>
  <c r="BW64" i="1"/>
  <c r="DQ64" i="1"/>
  <c r="DO64" i="1"/>
  <c r="ER64" i="1"/>
  <c r="EW65" i="1"/>
  <c r="DX65" i="1"/>
  <c r="FV65" i="1"/>
  <c r="EK65" i="1"/>
  <c r="GI65" i="1"/>
  <c r="FJ65" i="1"/>
  <c r="FU65" i="1"/>
  <c r="BP67" i="1"/>
  <c r="BO68" i="1"/>
  <c r="FN68" i="1"/>
  <c r="DP68" i="1"/>
  <c r="CQ68" i="1"/>
  <c r="GA68" i="1"/>
  <c r="EC68" i="1"/>
  <c r="BZ69" i="1"/>
  <c r="FY69" i="1"/>
  <c r="EA69" i="1"/>
  <c r="EZ69" i="1"/>
  <c r="FS70" i="1"/>
  <c r="DU70" i="1"/>
  <c r="CV70" i="1"/>
  <c r="ET70" i="1"/>
  <c r="FH70" i="1"/>
  <c r="EI70" i="1"/>
  <c r="DJ70" i="1"/>
  <c r="FD70" i="1"/>
  <c r="DG72" i="1"/>
  <c r="EO72" i="1"/>
  <c r="DG73" i="1"/>
  <c r="EW74" i="1"/>
  <c r="DX74" i="1"/>
  <c r="CJ74" i="1"/>
  <c r="GI74" i="1"/>
  <c r="EK74" i="1"/>
  <c r="FS75" i="1"/>
  <c r="DU75" i="1"/>
  <c r="CV75" i="1"/>
  <c r="BT75" i="1"/>
  <c r="EO76" i="1"/>
  <c r="CQ76" i="1"/>
  <c r="DP76" i="1"/>
  <c r="EC76" i="1"/>
  <c r="CP81" i="1"/>
  <c r="DO81" i="1"/>
  <c r="BN81" i="1"/>
  <c r="FM81" i="1"/>
  <c r="EB81" i="1"/>
  <c r="DC81" i="1"/>
  <c r="FA81" i="1"/>
  <c r="CT82" i="1"/>
  <c r="DS82" i="1"/>
  <c r="CE82" i="1"/>
  <c r="GD82" i="1"/>
  <c r="CE83" i="1"/>
  <c r="CX83" i="1"/>
  <c r="FV84" i="1"/>
  <c r="EW84" i="1"/>
  <c r="GI84" i="1"/>
  <c r="EK84" i="1"/>
  <c r="CJ84" i="1"/>
  <c r="FJ84" i="1"/>
  <c r="DK84" i="1"/>
  <c r="FI84" i="1"/>
  <c r="DB85" i="1"/>
  <c r="FY85" i="1"/>
  <c r="EO85" i="1"/>
  <c r="FD85" i="1"/>
  <c r="FW87" i="1"/>
  <c r="DY87" i="1"/>
  <c r="BX87" i="1"/>
  <c r="DY88" i="1"/>
  <c r="EX88" i="1"/>
  <c r="BX88" i="1"/>
  <c r="FW88" i="1"/>
  <c r="CB91" i="1"/>
  <c r="DT92" i="1"/>
  <c r="CU92" i="1"/>
  <c r="BS92" i="1"/>
  <c r="ES92" i="1"/>
  <c r="GE92" i="1"/>
  <c r="CF92" i="1"/>
  <c r="EG92" i="1"/>
  <c r="DH92" i="1"/>
  <c r="FF92" i="1"/>
  <c r="EW93" i="1"/>
  <c r="FV93" i="1"/>
  <c r="CY93" i="1"/>
  <c r="GI93" i="1"/>
  <c r="CJ93" i="1"/>
  <c r="EK93" i="1"/>
  <c r="FM95" i="1"/>
  <c r="DO95" i="1"/>
  <c r="CP95" i="1"/>
  <c r="FA95" i="1"/>
  <c r="FZ95" i="1"/>
  <c r="CA95" i="1"/>
  <c r="EB95" i="1"/>
  <c r="BO95" i="1"/>
  <c r="CJ96" i="1"/>
  <c r="FS99" i="1"/>
  <c r="DU99" i="1"/>
  <c r="CV99" i="1"/>
  <c r="ET99" i="1"/>
  <c r="BT99" i="1"/>
  <c r="FH99" i="1"/>
  <c r="GG99" i="1"/>
  <c r="EI99" i="1"/>
  <c r="DJ99" i="1"/>
  <c r="ET102" i="1"/>
  <c r="CV102" i="1"/>
  <c r="BT102" i="1"/>
  <c r="DU102" i="1"/>
  <c r="FS102" i="1"/>
  <c r="CH102" i="1"/>
  <c r="GG102" i="1"/>
  <c r="EI102" i="1"/>
  <c r="ER106" i="1"/>
  <c r="BR106" i="1"/>
  <c r="FQ106" i="1"/>
  <c r="CT106" i="1"/>
  <c r="DS106" i="1"/>
  <c r="CE106" i="1"/>
  <c r="FE106" i="1"/>
  <c r="EF106" i="1"/>
  <c r="DG106" i="1"/>
  <c r="CY109" i="1"/>
  <c r="FV109" i="1"/>
  <c r="EW109" i="1"/>
  <c r="GI109" i="1"/>
  <c r="FJ109" i="1"/>
  <c r="EK109" i="1"/>
  <c r="CJ109" i="1"/>
  <c r="DL109" i="1"/>
  <c r="DC46" i="1"/>
  <c r="BS48" i="1"/>
  <c r="DW49" i="1"/>
  <c r="DY50" i="1"/>
  <c r="DC51" i="1"/>
  <c r="BS53" i="1"/>
  <c r="DW54" i="1"/>
  <c r="DY55" i="1"/>
  <c r="DC56" i="1"/>
  <c r="BS58" i="1"/>
  <c r="FB60" i="1"/>
  <c r="BR62" i="1"/>
  <c r="FQ62" i="1"/>
  <c r="GI63" i="1"/>
  <c r="EK63" i="1"/>
  <c r="DL63" i="1"/>
  <c r="FJ63" i="1"/>
  <c r="FV63" i="1"/>
  <c r="FS65" i="1"/>
  <c r="DU65" i="1"/>
  <c r="CV65" i="1"/>
  <c r="CH65" i="1"/>
  <c r="FY67" i="1"/>
  <c r="EA67" i="1"/>
  <c r="BW68" i="1"/>
  <c r="EW68" i="1"/>
  <c r="GI68" i="1"/>
  <c r="EK68" i="1"/>
  <c r="DL68" i="1"/>
  <c r="DX68" i="1"/>
  <c r="CQ72" i="1"/>
  <c r="BO72" i="1"/>
  <c r="FB72" i="1"/>
  <c r="DD72" i="1"/>
  <c r="FR75" i="1"/>
  <c r="FQ75" i="1"/>
  <c r="FY76" i="1"/>
  <c r="ES78" i="1"/>
  <c r="CU78" i="1"/>
  <c r="DY79" i="1"/>
  <c r="CZ79" i="1"/>
  <c r="CP80" i="1"/>
  <c r="DO80" i="1"/>
  <c r="CA80" i="1"/>
  <c r="EB80" i="1"/>
  <c r="FZ80" i="1"/>
  <c r="EX82" i="1"/>
  <c r="FO84" i="1"/>
  <c r="DQ84" i="1"/>
  <c r="BP84" i="1"/>
  <c r="CQ86" i="1"/>
  <c r="EO86" i="1"/>
  <c r="BO86" i="1"/>
  <c r="EV87" i="1"/>
  <c r="BV87" i="1"/>
  <c r="CI87" i="1"/>
  <c r="GH87" i="1"/>
  <c r="CX88" i="1"/>
  <c r="DW88" i="1"/>
  <c r="EV88" i="1"/>
  <c r="EJ88" i="1"/>
  <c r="DK88" i="1"/>
  <c r="FI88" i="1"/>
  <c r="BW91" i="1"/>
  <c r="EW91" i="1"/>
  <c r="CY91" i="1"/>
  <c r="DL91" i="1"/>
  <c r="EK91" i="1"/>
  <c r="FJ91" i="1"/>
  <c r="CJ91" i="1"/>
  <c r="GI91" i="1"/>
  <c r="CV92" i="1"/>
  <c r="DU92" i="1"/>
  <c r="FS92" i="1"/>
  <c r="GG92" i="1"/>
  <c r="CH92" i="1"/>
  <c r="DJ92" i="1"/>
  <c r="EI92" i="1"/>
  <c r="FH92" i="1"/>
  <c r="ER94" i="1"/>
  <c r="CT94" i="1"/>
  <c r="FQ94" i="1"/>
  <c r="DG94" i="1"/>
  <c r="EF94" i="1"/>
  <c r="FE94" i="1"/>
  <c r="CY95" i="1"/>
  <c r="DX95" i="1"/>
  <c r="EW95" i="1"/>
  <c r="BW95" i="1"/>
  <c r="GI95" i="1"/>
  <c r="EK95" i="1"/>
  <c r="CJ95" i="1"/>
  <c r="DL95" i="1"/>
  <c r="FJ95" i="1"/>
  <c r="FU99" i="1"/>
  <c r="EV99" i="1"/>
  <c r="CX99" i="1"/>
  <c r="BV99" i="1"/>
  <c r="FI99" i="1"/>
  <c r="GH99" i="1"/>
  <c r="CI99" i="1"/>
  <c r="ES100" i="1"/>
  <c r="FR100" i="1"/>
  <c r="BS100" i="1"/>
  <c r="DT100" i="1"/>
  <c r="GE100" i="1"/>
  <c r="EG100" i="1"/>
  <c r="DH100" i="1"/>
  <c r="FF100" i="1"/>
  <c r="CF100" i="1"/>
  <c r="ES102" i="1"/>
  <c r="CU102" i="1"/>
  <c r="DT102" i="1"/>
  <c r="FR102" i="1"/>
  <c r="BS102" i="1"/>
  <c r="EG102" i="1"/>
  <c r="DH102" i="1"/>
  <c r="CF102" i="1"/>
  <c r="GE102" i="1"/>
  <c r="FF102" i="1"/>
  <c r="CP102" i="1"/>
  <c r="CZ102" i="1"/>
  <c r="CR103" i="1"/>
  <c r="CQ103" i="1"/>
  <c r="GC110" i="1"/>
  <c r="GE110" i="1"/>
  <c r="CF125" i="1"/>
  <c r="CE125" i="1"/>
  <c r="CD125" i="1"/>
  <c r="FV128" i="1"/>
  <c r="CY128" i="1"/>
  <c r="EW128" i="1"/>
  <c r="BW128" i="1"/>
  <c r="DL128" i="1"/>
  <c r="GI128" i="1"/>
  <c r="FJ128" i="1"/>
  <c r="EK128" i="1"/>
  <c r="CJ128" i="1"/>
  <c r="BZ129" i="1"/>
  <c r="FY129" i="1"/>
  <c r="EA129" i="1"/>
  <c r="DB129" i="1"/>
  <c r="EZ129" i="1"/>
  <c r="FV130" i="1"/>
  <c r="EW130" i="1"/>
  <c r="CY130" i="1"/>
  <c r="BW130" i="1"/>
  <c r="DX130" i="1"/>
  <c r="CJ130" i="1"/>
  <c r="GI130" i="1"/>
  <c r="FJ130" i="1"/>
  <c r="EK130" i="1"/>
  <c r="EX118" i="1"/>
  <c r="CZ118" i="1"/>
  <c r="DY118" i="1"/>
  <c r="BX118" i="1"/>
  <c r="BO118" i="1"/>
  <c r="BN118" i="1"/>
  <c r="DX126" i="1"/>
  <c r="BW126" i="1"/>
  <c r="CY126" i="1"/>
  <c r="EW126" i="1"/>
  <c r="FJ126" i="1"/>
  <c r="GI126" i="1"/>
  <c r="CJ126" i="1"/>
  <c r="DL126" i="1"/>
  <c r="CP110" i="1"/>
  <c r="EN122" i="1"/>
  <c r="EO122" i="1"/>
  <c r="EP122" i="1"/>
  <c r="EW124" i="1"/>
  <c r="FV124" i="1"/>
  <c r="CY124" i="1"/>
  <c r="DX124" i="1"/>
  <c r="BW124" i="1"/>
  <c r="CJ124" i="1"/>
  <c r="FJ124" i="1"/>
  <c r="DL124" i="1"/>
  <c r="EK124" i="1"/>
  <c r="GI124" i="1"/>
  <c r="GE112" i="1"/>
  <c r="CF112" i="1"/>
  <c r="EG112" i="1"/>
  <c r="FF112" i="1"/>
  <c r="DH112" i="1"/>
  <c r="CV114" i="1"/>
  <c r="ET114" i="1"/>
  <c r="DU114" i="1"/>
  <c r="FS114" i="1"/>
  <c r="BT114" i="1"/>
  <c r="FH114" i="1"/>
  <c r="DJ114" i="1"/>
  <c r="EI114" i="1"/>
  <c r="CH114" i="1"/>
  <c r="FY124" i="1"/>
  <c r="GA124" i="1"/>
  <c r="CT137" i="1"/>
  <c r="FQ137" i="1"/>
  <c r="DS137" i="1"/>
  <c r="ER137" i="1"/>
  <c r="BR137" i="1"/>
  <c r="FE137" i="1"/>
  <c r="DG137" i="1"/>
  <c r="GD137" i="1"/>
  <c r="CE137" i="1"/>
  <c r="EF137" i="1"/>
  <c r="EZ113" i="1"/>
  <c r="FB113" i="1"/>
  <c r="FA113" i="1"/>
  <c r="FW118" i="1"/>
  <c r="CB121" i="1"/>
  <c r="BZ121" i="1"/>
  <c r="DW46" i="1"/>
  <c r="FU46" i="1"/>
  <c r="DY47" i="1"/>
  <c r="FW47" i="1"/>
  <c r="DC48" i="1"/>
  <c r="DW51" i="1"/>
  <c r="FU51" i="1"/>
  <c r="DY52" i="1"/>
  <c r="FW52" i="1"/>
  <c r="DC53" i="1"/>
  <c r="DW56" i="1"/>
  <c r="FU56" i="1"/>
  <c r="DY57" i="1"/>
  <c r="FW57" i="1"/>
  <c r="DC58" i="1"/>
  <c r="EB59" i="1"/>
  <c r="BW60" i="1"/>
  <c r="CQ60" i="1"/>
  <c r="DL60" i="1"/>
  <c r="CR61" i="1"/>
  <c r="EX61" i="1"/>
  <c r="CT62" i="1"/>
  <c r="FY62" i="1"/>
  <c r="CE63" i="1"/>
  <c r="BX64" i="1"/>
  <c r="CB65" i="1"/>
  <c r="GA65" i="1"/>
  <c r="EC65" i="1"/>
  <c r="EI65" i="1"/>
  <c r="GG67" i="1"/>
  <c r="EI67" i="1"/>
  <c r="DJ67" i="1"/>
  <c r="ET67" i="1"/>
  <c r="FQ68" i="1"/>
  <c r="DS68" i="1"/>
  <c r="CI69" i="1"/>
  <c r="FI69" i="1"/>
  <c r="DW69" i="1"/>
  <c r="EO71" i="1"/>
  <c r="CQ71" i="1"/>
  <c r="ET73" i="1"/>
  <c r="CH73" i="1"/>
  <c r="GG73" i="1"/>
  <c r="EI73" i="1"/>
  <c r="CX73" i="1"/>
  <c r="DJ73" i="1"/>
  <c r="CZ74" i="1"/>
  <c r="BZ75" i="1"/>
  <c r="BT76" i="1"/>
  <c r="GI76" i="1"/>
  <c r="FO77" i="1"/>
  <c r="DQ77" i="1"/>
  <c r="CD77" i="1"/>
  <c r="CR77" i="1"/>
  <c r="BS79" i="1"/>
  <c r="ES79" i="1"/>
  <c r="FF79" i="1"/>
  <c r="DH79" i="1"/>
  <c r="BV79" i="1"/>
  <c r="EG79" i="1"/>
  <c r="DC80" i="1"/>
  <c r="DQ81" i="1"/>
  <c r="EP81" i="1"/>
  <c r="GC81" i="1"/>
  <c r="EE81" i="1"/>
  <c r="CR81" i="1"/>
  <c r="FR82" i="1"/>
  <c r="DT82" i="1"/>
  <c r="GE82" i="1"/>
  <c r="EG82" i="1"/>
  <c r="CF82" i="1"/>
  <c r="FJ83" i="1"/>
  <c r="FW84" i="1"/>
  <c r="DY84" i="1"/>
  <c r="FD84" i="1"/>
  <c r="BW86" i="1"/>
  <c r="FV86" i="1"/>
  <c r="EW86" i="1"/>
  <c r="DX86" i="1"/>
  <c r="CY86" i="1"/>
  <c r="FJ86" i="1"/>
  <c r="EK86" i="1"/>
  <c r="CJ86" i="1"/>
  <c r="DP86" i="1"/>
  <c r="FB86" i="1"/>
  <c r="FO87" i="1"/>
  <c r="DQ87" i="1"/>
  <c r="BP87" i="1"/>
  <c r="CR87" i="1"/>
  <c r="EP87" i="1"/>
  <c r="DF87" i="1"/>
  <c r="FD87" i="1"/>
  <c r="CD87" i="1"/>
  <c r="DK87" i="1"/>
  <c r="FS89" i="1"/>
  <c r="DU89" i="1"/>
  <c r="BT89" i="1"/>
  <c r="ET89" i="1"/>
  <c r="CV89" i="1"/>
  <c r="DB90" i="1"/>
  <c r="FY90" i="1"/>
  <c r="FN90" i="1"/>
  <c r="BO92" i="1"/>
  <c r="EO92" i="1"/>
  <c r="CQ92" i="1"/>
  <c r="FN92" i="1"/>
  <c r="DD92" i="1"/>
  <c r="EC92" i="1"/>
  <c r="FB92" i="1"/>
  <c r="FW93" i="1"/>
  <c r="BX93" i="1"/>
  <c r="DY93" i="1"/>
  <c r="EX93" i="1"/>
  <c r="CZ93" i="1"/>
  <c r="BP93" i="1"/>
  <c r="BO93" i="1"/>
  <c r="BN93" i="1"/>
  <c r="FY94" i="1"/>
  <c r="BZ94" i="1"/>
  <c r="EA94" i="1"/>
  <c r="DB94" i="1"/>
  <c r="EZ94" i="1"/>
  <c r="DG95" i="1"/>
  <c r="DF95" i="1"/>
  <c r="CZ96" i="1"/>
  <c r="CR96" i="1"/>
  <c r="ES101" i="1"/>
  <c r="DT101" i="1"/>
  <c r="BS101" i="1"/>
  <c r="CF101" i="1"/>
  <c r="GE101" i="1"/>
  <c r="EG101" i="1"/>
  <c r="BX108" i="1"/>
  <c r="EX108" i="1"/>
  <c r="DY108" i="1"/>
  <c r="DP115" i="1"/>
  <c r="EO115" i="1"/>
  <c r="FN115" i="1"/>
  <c r="CQ115" i="1"/>
  <c r="BO115" i="1"/>
  <c r="GA115" i="1"/>
  <c r="FB115" i="1"/>
  <c r="EC115" i="1"/>
  <c r="DD115" i="1"/>
  <c r="CB115" i="1"/>
  <c r="DX31" i="1"/>
  <c r="DX36" i="1"/>
  <c r="CZ41" i="1"/>
  <c r="DX41" i="1"/>
  <c r="DT44" i="1"/>
  <c r="FR44" i="1"/>
  <c r="CX45" i="1"/>
  <c r="DH45" i="1"/>
  <c r="CP46" i="1"/>
  <c r="CZ46" i="1"/>
  <c r="DX46" i="1"/>
  <c r="CR47" i="1"/>
  <c r="EB48" i="1"/>
  <c r="FZ48" i="1"/>
  <c r="DF49" i="1"/>
  <c r="DT49" i="1"/>
  <c r="FR49" i="1"/>
  <c r="CX50" i="1"/>
  <c r="DH50" i="1"/>
  <c r="CP51" i="1"/>
  <c r="CZ51" i="1"/>
  <c r="DX51" i="1"/>
  <c r="CR52" i="1"/>
  <c r="EB53" i="1"/>
  <c r="FZ53" i="1"/>
  <c r="DF54" i="1"/>
  <c r="DT54" i="1"/>
  <c r="FR54" i="1"/>
  <c r="CX55" i="1"/>
  <c r="DH55" i="1"/>
  <c r="CP56" i="1"/>
  <c r="CZ56" i="1"/>
  <c r="DX56" i="1"/>
  <c r="CR57" i="1"/>
  <c r="EB58" i="1"/>
  <c r="FR58" i="1"/>
  <c r="BV59" i="1"/>
  <c r="DC59" i="1"/>
  <c r="DB60" i="1"/>
  <c r="BX61" i="1"/>
  <c r="FM62" i="1"/>
  <c r="DO62" i="1"/>
  <c r="BO62" i="1"/>
  <c r="FN62" i="1"/>
  <c r="GD63" i="1"/>
  <c r="BN64" i="1"/>
  <c r="EA64" i="1"/>
  <c r="EZ64" i="1"/>
  <c r="GC65" i="1"/>
  <c r="EE65" i="1"/>
  <c r="DF65" i="1"/>
  <c r="EP66" i="1"/>
  <c r="CD66" i="1"/>
  <c r="GC66" i="1"/>
  <c r="EE66" i="1"/>
  <c r="FH67" i="1"/>
  <c r="ES68" i="1"/>
  <c r="CU68" i="1"/>
  <c r="FJ68" i="1"/>
  <c r="CJ69" i="1"/>
  <c r="GI69" i="1"/>
  <c r="EK69" i="1"/>
  <c r="CZ69" i="1"/>
  <c r="DX69" i="1"/>
  <c r="FM69" i="1"/>
  <c r="BN70" i="1"/>
  <c r="FW70" i="1"/>
  <c r="CD71" i="1"/>
  <c r="GC71" i="1"/>
  <c r="EE71" i="1"/>
  <c r="FN71" i="1"/>
  <c r="GA71" i="1"/>
  <c r="FW72" i="1"/>
  <c r="GA72" i="1"/>
  <c r="CI73" i="1"/>
  <c r="GH73" i="1"/>
  <c r="EJ73" i="1"/>
  <c r="DK73" i="1"/>
  <c r="EZ73" i="1"/>
  <c r="BZ74" i="1"/>
  <c r="FY74" i="1"/>
  <c r="EA74" i="1"/>
  <c r="BN74" i="1"/>
  <c r="CA75" i="1"/>
  <c r="FA75" i="1"/>
  <c r="BO75" i="1"/>
  <c r="FM75" i="1"/>
  <c r="CE77" i="1"/>
  <c r="FE77" i="1"/>
  <c r="BS77" i="1"/>
  <c r="DF77" i="1"/>
  <c r="EP77" i="1"/>
  <c r="FD77" i="1"/>
  <c r="FR77" i="1"/>
  <c r="BO78" i="1"/>
  <c r="FN78" i="1"/>
  <c r="DP78" i="1"/>
  <c r="CQ78" i="1"/>
  <c r="GA78" i="1"/>
  <c r="EC78" i="1"/>
  <c r="ET79" i="1"/>
  <c r="EX79" i="1"/>
  <c r="EW80" i="1"/>
  <c r="BW80" i="1"/>
  <c r="DL80" i="1"/>
  <c r="EK80" i="1"/>
  <c r="FJ80" i="1"/>
  <c r="FQ81" i="1"/>
  <c r="DS81" i="1"/>
  <c r="DG81" i="1"/>
  <c r="GD81" i="1"/>
  <c r="CE81" i="1"/>
  <c r="FS82" i="1"/>
  <c r="CH82" i="1"/>
  <c r="FH82" i="1"/>
  <c r="DJ82" i="1"/>
  <c r="DU82" i="1"/>
  <c r="FQ85" i="1"/>
  <c r="CB86" i="1"/>
  <c r="DD86" i="1"/>
  <c r="GI86" i="1"/>
  <c r="EC87" i="1"/>
  <c r="EB87" i="1"/>
  <c r="BV88" i="1"/>
  <c r="CX89" i="1"/>
  <c r="FA90" i="1"/>
  <c r="FZ90" i="1"/>
  <c r="EB90" i="1"/>
  <c r="BT92" i="1"/>
  <c r="ES95" i="1"/>
  <c r="CU95" i="1"/>
  <c r="BS95" i="1"/>
  <c r="DT95" i="1"/>
  <c r="GE95" i="1"/>
  <c r="EG95" i="1"/>
  <c r="DH95" i="1"/>
  <c r="FF95" i="1"/>
  <c r="FY97" i="1"/>
  <c r="EA97" i="1"/>
  <c r="DB97" i="1"/>
  <c r="EZ97" i="1"/>
  <c r="FQ98" i="1"/>
  <c r="DS98" i="1"/>
  <c r="CT98" i="1"/>
  <c r="ER98" i="1"/>
  <c r="BR98" i="1"/>
  <c r="DG98" i="1"/>
  <c r="FE98" i="1"/>
  <c r="GD98" i="1"/>
  <c r="EF98" i="1"/>
  <c r="BR99" i="1"/>
  <c r="DG99" i="1"/>
  <c r="DH101" i="1"/>
  <c r="DU106" i="1"/>
  <c r="FS106" i="1"/>
  <c r="CV106" i="1"/>
  <c r="BT106" i="1"/>
  <c r="GG106" i="1"/>
  <c r="EI106" i="1"/>
  <c r="DJ106" i="1"/>
  <c r="CH106" i="1"/>
  <c r="BZ108" i="1"/>
  <c r="FY108" i="1"/>
  <c r="EA108" i="1"/>
  <c r="EZ108" i="1"/>
  <c r="DB108" i="1"/>
  <c r="BN108" i="1"/>
  <c r="BX110" i="1"/>
  <c r="CZ110" i="1"/>
  <c r="EX110" i="1"/>
  <c r="GG114" i="1"/>
  <c r="GH115" i="1"/>
  <c r="GG115" i="1"/>
  <c r="GI115" i="1"/>
  <c r="FV126" i="1"/>
  <c r="DY41" i="1"/>
  <c r="DW45" i="1"/>
  <c r="EG45" i="1"/>
  <c r="DO46" i="1"/>
  <c r="DY46" i="1"/>
  <c r="DQ47" i="1"/>
  <c r="EE49" i="1"/>
  <c r="DW50" i="1"/>
  <c r="EG50" i="1"/>
  <c r="DO51" i="1"/>
  <c r="DY51" i="1"/>
  <c r="DQ52" i="1"/>
  <c r="EE54" i="1"/>
  <c r="DW55" i="1"/>
  <c r="EG55" i="1"/>
  <c r="DO56" i="1"/>
  <c r="DY56" i="1"/>
  <c r="DQ57" i="1"/>
  <c r="FO58" i="1"/>
  <c r="FB62" i="1"/>
  <c r="GA62" i="1"/>
  <c r="ET63" i="1"/>
  <c r="EI63" i="1"/>
  <c r="FH63" i="1"/>
  <c r="CA64" i="1"/>
  <c r="FZ64" i="1"/>
  <c r="EB64" i="1"/>
  <c r="CZ64" i="1"/>
  <c r="FA64" i="1"/>
  <c r="BT65" i="1"/>
  <c r="CQ65" i="1"/>
  <c r="CE66" i="1"/>
  <c r="GD66" i="1"/>
  <c r="EF66" i="1"/>
  <c r="DG66" i="1"/>
  <c r="ET68" i="1"/>
  <c r="CH68" i="1"/>
  <c r="GG68" i="1"/>
  <c r="EI68" i="1"/>
  <c r="CJ68" i="1"/>
  <c r="DJ68" i="1"/>
  <c r="BP69" i="1"/>
  <c r="BO69" i="1"/>
  <c r="FN69" i="1"/>
  <c r="GE69" i="1"/>
  <c r="CA70" i="1"/>
  <c r="FA70" i="1"/>
  <c r="CZ70" i="1"/>
  <c r="CE71" i="1"/>
  <c r="GD71" i="1"/>
  <c r="EF71" i="1"/>
  <c r="DG71" i="1"/>
  <c r="FY72" i="1"/>
  <c r="EA72" i="1"/>
  <c r="BW73" i="1"/>
  <c r="EW73" i="1"/>
  <c r="GI73" i="1"/>
  <c r="EK73" i="1"/>
  <c r="DL73" i="1"/>
  <c r="DX73" i="1"/>
  <c r="CB75" i="1"/>
  <c r="GA75" i="1"/>
  <c r="EC75" i="1"/>
  <c r="DB75" i="1"/>
  <c r="FN75" i="1"/>
  <c r="CY76" i="1"/>
  <c r="BW76" i="1"/>
  <c r="FJ76" i="1"/>
  <c r="FV76" i="1"/>
  <c r="CF77" i="1"/>
  <c r="GE77" i="1"/>
  <c r="EG77" i="1"/>
  <c r="FF77" i="1"/>
  <c r="FO78" i="1"/>
  <c r="BS78" i="1"/>
  <c r="CX79" i="1"/>
  <c r="DW79" i="1"/>
  <c r="CI79" i="1"/>
  <c r="EJ79" i="1"/>
  <c r="DK79" i="1"/>
  <c r="BX79" i="1"/>
  <c r="CU79" i="1"/>
  <c r="DT79" i="1"/>
  <c r="DF81" i="1"/>
  <c r="CD84" i="1"/>
  <c r="EE84" i="1"/>
  <c r="CU87" i="1"/>
  <c r="ES87" i="1"/>
  <c r="BS87" i="1"/>
  <c r="FR87" i="1"/>
  <c r="EG87" i="1"/>
  <c r="DH87" i="1"/>
  <c r="CF87" i="1"/>
  <c r="GE87" i="1"/>
  <c r="FF87" i="1"/>
  <c r="CU88" i="1"/>
  <c r="ES88" i="1"/>
  <c r="FR88" i="1"/>
  <c r="BS88" i="1"/>
  <c r="DT88" i="1"/>
  <c r="DH88" i="1"/>
  <c r="EG88" i="1"/>
  <c r="CF88" i="1"/>
  <c r="FF88" i="1"/>
  <c r="GI89" i="1"/>
  <c r="CQ90" i="1"/>
  <c r="DP90" i="1"/>
  <c r="GA90" i="1"/>
  <c r="CB90" i="1"/>
  <c r="FB90" i="1"/>
  <c r="EC90" i="1"/>
  <c r="DS92" i="1"/>
  <c r="ER92" i="1"/>
  <c r="FQ92" i="1"/>
  <c r="CT92" i="1"/>
  <c r="FE92" i="1"/>
  <c r="GD92" i="1"/>
  <c r="CE92" i="1"/>
  <c r="BR94" i="1"/>
  <c r="DK99" i="1"/>
  <c r="BV101" i="1"/>
  <c r="FU101" i="1"/>
  <c r="CX101" i="1"/>
  <c r="EV101" i="1"/>
  <c r="DK101" i="1"/>
  <c r="GH101" i="1"/>
  <c r="EJ101" i="1"/>
  <c r="FI101" i="1"/>
  <c r="CZ111" i="1"/>
  <c r="BX111" i="1"/>
  <c r="DY111" i="1"/>
  <c r="EX111" i="1"/>
  <c r="FW111" i="1"/>
  <c r="BP111" i="1"/>
  <c r="BO111" i="1"/>
  <c r="CT113" i="1"/>
  <c r="ER113" i="1"/>
  <c r="FQ113" i="1"/>
  <c r="DS113" i="1"/>
  <c r="BR113" i="1"/>
  <c r="DG113" i="1"/>
  <c r="GD113" i="1"/>
  <c r="CE113" i="1"/>
  <c r="FE113" i="1"/>
  <c r="EF113" i="1"/>
  <c r="CD113" i="1"/>
  <c r="CF113" i="1"/>
  <c r="DX128" i="1"/>
  <c r="DL130" i="1"/>
  <c r="DC67" i="1"/>
  <c r="BS69" i="1"/>
  <c r="DW70" i="1"/>
  <c r="DY71" i="1"/>
  <c r="DC72" i="1"/>
  <c r="BS74" i="1"/>
  <c r="DW75" i="1"/>
  <c r="DY76" i="1"/>
  <c r="DC77" i="1"/>
  <c r="FH79" i="1"/>
  <c r="FS79" i="1"/>
  <c r="EZ81" i="1"/>
  <c r="CQ83" i="1"/>
  <c r="FN83" i="1"/>
  <c r="FQ84" i="1"/>
  <c r="ER87" i="1"/>
  <c r="CT87" i="1"/>
  <c r="BR87" i="1"/>
  <c r="FE87" i="1"/>
  <c r="EF87" i="1"/>
  <c r="DS87" i="1"/>
  <c r="ET88" i="1"/>
  <c r="EO89" i="1"/>
  <c r="FN89" i="1"/>
  <c r="DP89" i="1"/>
  <c r="GA89" i="1"/>
  <c r="CB89" i="1"/>
  <c r="CQ89" i="1"/>
  <c r="DD89" i="1"/>
  <c r="FO92" i="1"/>
  <c r="DQ92" i="1"/>
  <c r="EP92" i="1"/>
  <c r="CR92" i="1"/>
  <c r="BP92" i="1"/>
  <c r="EE92" i="1"/>
  <c r="DF92" i="1"/>
  <c r="FW94" i="1"/>
  <c r="DY94" i="1"/>
  <c r="BP94" i="1"/>
  <c r="BO94" i="1"/>
  <c r="FO96" i="1"/>
  <c r="EG97" i="1"/>
  <c r="CU98" i="1"/>
  <c r="FR98" i="1"/>
  <c r="ES98" i="1"/>
  <c r="DT98" i="1"/>
  <c r="FF98" i="1"/>
  <c r="GE98" i="1"/>
  <c r="EG98" i="1"/>
  <c r="BS99" i="1"/>
  <c r="FR99" i="1"/>
  <c r="FQ99" i="1"/>
  <c r="EP100" i="1"/>
  <c r="BP100" i="1"/>
  <c r="DQ100" i="1"/>
  <c r="CD100" i="1"/>
  <c r="EE100" i="1"/>
  <c r="GC100" i="1"/>
  <c r="FD100" i="1"/>
  <c r="ET101" i="1"/>
  <c r="FS101" i="1"/>
  <c r="GG101" i="1"/>
  <c r="EI101" i="1"/>
  <c r="DJ101" i="1"/>
  <c r="BO102" i="1"/>
  <c r="FN102" i="1"/>
  <c r="DP102" i="1"/>
  <c r="CQ102" i="1"/>
  <c r="EO102" i="1"/>
  <c r="GA102" i="1"/>
  <c r="EC102" i="1"/>
  <c r="CB102" i="1"/>
  <c r="DD102" i="1"/>
  <c r="EW108" i="1"/>
  <c r="BW108" i="1"/>
  <c r="CJ108" i="1"/>
  <c r="CK108" i="1" s="1"/>
  <c r="GI108" i="1"/>
  <c r="EK108" i="1"/>
  <c r="CY108" i="1"/>
  <c r="ER110" i="1"/>
  <c r="DS110" i="1"/>
  <c r="FQ110" i="1"/>
  <c r="BR110" i="1"/>
  <c r="GD110" i="1"/>
  <c r="EF110" i="1"/>
  <c r="FE110" i="1"/>
  <c r="DG110" i="1"/>
  <c r="BZ118" i="1"/>
  <c r="DB118" i="1"/>
  <c r="FY118" i="1"/>
  <c r="EZ118" i="1"/>
  <c r="EA118" i="1"/>
  <c r="ES122" i="1"/>
  <c r="DT122" i="1"/>
  <c r="BS122" i="1"/>
  <c r="FR122" i="1"/>
  <c r="CU122" i="1"/>
  <c r="FF122" i="1"/>
  <c r="EG122" i="1"/>
  <c r="CF122" i="1"/>
  <c r="GE122" i="1"/>
  <c r="DH122" i="1"/>
  <c r="DP142" i="1"/>
  <c r="DO142" i="1"/>
  <c r="ER145" i="1"/>
  <c r="FQ145" i="1"/>
  <c r="CT145" i="1"/>
  <c r="BR145" i="1"/>
  <c r="DS145" i="1"/>
  <c r="DG145" i="1"/>
  <c r="EF145" i="1"/>
  <c r="FE145" i="1"/>
  <c r="CE145" i="1"/>
  <c r="GD145" i="1"/>
  <c r="BT147" i="1"/>
  <c r="BS147" i="1"/>
  <c r="BR147" i="1"/>
  <c r="ET151" i="1"/>
  <c r="FS151" i="1"/>
  <c r="CV151" i="1"/>
  <c r="BT151" i="1"/>
  <c r="DU151" i="1"/>
  <c r="CH151" i="1"/>
  <c r="GG151" i="1"/>
  <c r="EI151" i="1"/>
  <c r="DJ151" i="1"/>
  <c r="FH151" i="1"/>
  <c r="CY67" i="1"/>
  <c r="DW67" i="1"/>
  <c r="FU67" i="1"/>
  <c r="DY68" i="1"/>
  <c r="FW68" i="1"/>
  <c r="DC69" i="1"/>
  <c r="CY72" i="1"/>
  <c r="DW72" i="1"/>
  <c r="FU72" i="1"/>
  <c r="DY73" i="1"/>
  <c r="FW73" i="1"/>
  <c r="DC74" i="1"/>
  <c r="CY77" i="1"/>
  <c r="DW77" i="1"/>
  <c r="FU77" i="1"/>
  <c r="DY78" i="1"/>
  <c r="FW78" i="1"/>
  <c r="BO79" i="1"/>
  <c r="CV79" i="1"/>
  <c r="FN79" i="1"/>
  <c r="BS80" i="1"/>
  <c r="CZ80" i="1"/>
  <c r="FF80" i="1"/>
  <c r="FS81" i="1"/>
  <c r="DU81" i="1"/>
  <c r="DJ81" i="1"/>
  <c r="EV81" i="1"/>
  <c r="CP82" i="1"/>
  <c r="BW83" i="1"/>
  <c r="EC83" i="1"/>
  <c r="FY84" i="1"/>
  <c r="EA84" i="1"/>
  <c r="CT84" i="1"/>
  <c r="EF84" i="1"/>
  <c r="CX85" i="1"/>
  <c r="FE85" i="1"/>
  <c r="FN88" i="1"/>
  <c r="DP88" i="1"/>
  <c r="GA88" i="1"/>
  <c r="EC88" i="1"/>
  <c r="EL88" i="1" s="1"/>
  <c r="CB88" i="1"/>
  <c r="DX89" i="1"/>
  <c r="EW89" i="1"/>
  <c r="CY89" i="1"/>
  <c r="FO90" i="1"/>
  <c r="DQ90" i="1"/>
  <c r="CD90" i="1"/>
  <c r="FD90" i="1"/>
  <c r="CR90" i="1"/>
  <c r="EP90" i="1"/>
  <c r="GC91" i="1"/>
  <c r="CD91" i="1"/>
  <c r="EX91" i="1"/>
  <c r="EV91" i="1"/>
  <c r="BX92" i="1"/>
  <c r="CZ94" i="1"/>
  <c r="CB95" i="1"/>
  <c r="BN98" i="1"/>
  <c r="CA98" i="1"/>
  <c r="FZ98" i="1"/>
  <c r="EB98" i="1"/>
  <c r="DY100" i="1"/>
  <c r="CZ100" i="1"/>
  <c r="CQ101" i="1"/>
  <c r="DP101" i="1"/>
  <c r="BO101" i="1"/>
  <c r="FB101" i="1"/>
  <c r="CB101" i="1"/>
  <c r="DD101" i="1"/>
  <c r="BW102" i="1"/>
  <c r="EW102" i="1"/>
  <c r="DX102" i="1"/>
  <c r="GI102" i="1"/>
  <c r="EK102" i="1"/>
  <c r="DL102" i="1"/>
  <c r="FS103" i="1"/>
  <c r="DU103" i="1"/>
  <c r="ET103" i="1"/>
  <c r="EI103" i="1"/>
  <c r="FH103" i="1"/>
  <c r="CH103" i="1"/>
  <c r="EN104" i="1"/>
  <c r="FM104" i="1"/>
  <c r="BN104" i="1"/>
  <c r="CA104" i="1"/>
  <c r="FA104" i="1"/>
  <c r="FZ104" i="1"/>
  <c r="CY105" i="1"/>
  <c r="BW105" i="1"/>
  <c r="EW105" i="1"/>
  <c r="FJ105" i="1"/>
  <c r="EK105" i="1"/>
  <c r="DL105" i="1"/>
  <c r="GI105" i="1"/>
  <c r="CR108" i="1"/>
  <c r="CQ108" i="1"/>
  <c r="CP108" i="1"/>
  <c r="FJ108" i="1"/>
  <c r="CX114" i="1"/>
  <c r="BV114" i="1"/>
  <c r="FU114" i="1"/>
  <c r="EJ114" i="1"/>
  <c r="DK114" i="1"/>
  <c r="FI114" i="1"/>
  <c r="GH114" i="1"/>
  <c r="CT117" i="1"/>
  <c r="BR117" i="1"/>
  <c r="FQ117" i="1"/>
  <c r="DG117" i="1"/>
  <c r="FE117" i="1"/>
  <c r="EF117" i="1"/>
  <c r="EE117" i="1"/>
  <c r="EG117" i="1"/>
  <c r="CI119" i="1"/>
  <c r="CH119" i="1"/>
  <c r="FS120" i="1"/>
  <c r="FR120" i="1"/>
  <c r="FQ120" i="1"/>
  <c r="CZ122" i="1"/>
  <c r="CP122" i="1"/>
  <c r="EX130" i="1"/>
  <c r="FW130" i="1"/>
  <c r="CZ130" i="1"/>
  <c r="DY130" i="1"/>
  <c r="BX130" i="1"/>
  <c r="BP130" i="1"/>
  <c r="BN130" i="1"/>
  <c r="CQ134" i="1"/>
  <c r="DP134" i="1"/>
  <c r="FN134" i="1"/>
  <c r="EO134" i="1"/>
  <c r="BO134" i="1"/>
  <c r="EC134" i="1"/>
  <c r="DD134" i="1"/>
  <c r="CB134" i="1"/>
  <c r="GA134" i="1"/>
  <c r="FB134" i="1"/>
  <c r="DB63" i="1"/>
  <c r="DD64" i="1"/>
  <c r="DH66" i="1"/>
  <c r="CP67" i="1"/>
  <c r="DX67" i="1"/>
  <c r="FV67" i="1"/>
  <c r="CR68" i="1"/>
  <c r="DB68" i="1"/>
  <c r="DD69" i="1"/>
  <c r="EB69" i="1"/>
  <c r="FZ69" i="1"/>
  <c r="DF70" i="1"/>
  <c r="DH71" i="1"/>
  <c r="CP72" i="1"/>
  <c r="DX72" i="1"/>
  <c r="FV72" i="1"/>
  <c r="CR73" i="1"/>
  <c r="DB73" i="1"/>
  <c r="DD74" i="1"/>
  <c r="EB74" i="1"/>
  <c r="FZ74" i="1"/>
  <c r="DF75" i="1"/>
  <c r="DH76" i="1"/>
  <c r="CP77" i="1"/>
  <c r="DX77" i="1"/>
  <c r="FV77" i="1"/>
  <c r="CR78" i="1"/>
  <c r="DB78" i="1"/>
  <c r="FO79" i="1"/>
  <c r="DQ79" i="1"/>
  <c r="CB79" i="1"/>
  <c r="BT80" i="1"/>
  <c r="FR80" i="1"/>
  <c r="DK81" i="1"/>
  <c r="EB82" i="1"/>
  <c r="EW82" i="1"/>
  <c r="EO83" i="1"/>
  <c r="BZ84" i="1"/>
  <c r="DS85" i="1"/>
  <c r="BR85" i="1"/>
  <c r="EZ86" i="1"/>
  <c r="BZ86" i="1"/>
  <c r="CE87" i="1"/>
  <c r="DY89" i="1"/>
  <c r="CZ89" i="1"/>
  <c r="DF90" i="1"/>
  <c r="FQ91" i="1"/>
  <c r="DS91" i="1"/>
  <c r="GD91" i="1"/>
  <c r="CE91" i="1"/>
  <c r="BR91" i="1"/>
  <c r="DT91" i="1"/>
  <c r="FY92" i="1"/>
  <c r="EA92" i="1"/>
  <c r="EZ92" i="1"/>
  <c r="DB92" i="1"/>
  <c r="BZ92" i="1"/>
  <c r="CD92" i="1"/>
  <c r="GC92" i="1"/>
  <c r="EE93" i="1"/>
  <c r="FS94" i="1"/>
  <c r="DU94" i="1"/>
  <c r="CV94" i="1"/>
  <c r="BT94" i="1"/>
  <c r="BX94" i="1"/>
  <c r="EN94" i="1"/>
  <c r="BO97" i="1"/>
  <c r="FN97" i="1"/>
  <c r="CQ97" i="1"/>
  <c r="GA97" i="1"/>
  <c r="FB97" i="1"/>
  <c r="GA98" i="1"/>
  <c r="DO98" i="1"/>
  <c r="FM98" i="1"/>
  <c r="EO99" i="1"/>
  <c r="BO99" i="1"/>
  <c r="CQ99" i="1"/>
  <c r="CB99" i="1"/>
  <c r="FO100" i="1"/>
  <c r="BT101" i="1"/>
  <c r="FH101" i="1"/>
  <c r="CY102" i="1"/>
  <c r="EE102" i="1"/>
  <c r="CV103" i="1"/>
  <c r="DJ103" i="1"/>
  <c r="EO104" i="1"/>
  <c r="FN104" i="1"/>
  <c r="CB104" i="1"/>
  <c r="GA104" i="1"/>
  <c r="EC104" i="1"/>
  <c r="FY106" i="1"/>
  <c r="EA106" i="1"/>
  <c r="BZ106" i="1"/>
  <c r="EZ106" i="1"/>
  <c r="BW107" i="1"/>
  <c r="EW107" i="1"/>
  <c r="DX107" i="1"/>
  <c r="FV107" i="1"/>
  <c r="CY107" i="1"/>
  <c r="GI107" i="1"/>
  <c r="EK107" i="1"/>
  <c r="DL107" i="1"/>
  <c r="CJ107" i="1"/>
  <c r="DX108" i="1"/>
  <c r="FY109" i="1"/>
  <c r="EZ109" i="1"/>
  <c r="BV111" i="1"/>
  <c r="EV111" i="1"/>
  <c r="DW111" i="1"/>
  <c r="CX111" i="1"/>
  <c r="GH111" i="1"/>
  <c r="CI111" i="1"/>
  <c r="FF119" i="1"/>
  <c r="FE119" i="1"/>
  <c r="FD119" i="1"/>
  <c r="CU123" i="1"/>
  <c r="FR123" i="1"/>
  <c r="DT123" i="1"/>
  <c r="ES123" i="1"/>
  <c r="BS123" i="1"/>
  <c r="FF123" i="1"/>
  <c r="GE123" i="1"/>
  <c r="EG123" i="1"/>
  <c r="CF123" i="1"/>
  <c r="DL123" i="1"/>
  <c r="DK123" i="1"/>
  <c r="DJ123" i="1"/>
  <c r="DL125" i="1"/>
  <c r="DK125" i="1"/>
  <c r="FN136" i="1"/>
  <c r="DP136" i="1"/>
  <c r="BO136" i="1"/>
  <c r="CQ136" i="1"/>
  <c r="EO136" i="1"/>
  <c r="GA136" i="1"/>
  <c r="FB136" i="1"/>
  <c r="DD136" i="1"/>
  <c r="EC136" i="1"/>
  <c r="CB136" i="1"/>
  <c r="EX138" i="1"/>
  <c r="CZ138" i="1"/>
  <c r="FW138" i="1"/>
  <c r="DY138" i="1"/>
  <c r="BX138" i="1"/>
  <c r="BP138" i="1"/>
  <c r="BO138" i="1"/>
  <c r="BN138" i="1"/>
  <c r="DW61" i="1"/>
  <c r="DY62" i="1"/>
  <c r="EA63" i="1"/>
  <c r="EC64" i="1"/>
  <c r="DW66" i="1"/>
  <c r="EG66" i="1"/>
  <c r="DO67" i="1"/>
  <c r="DY67" i="1"/>
  <c r="DQ68" i="1"/>
  <c r="EA68" i="1"/>
  <c r="EC69" i="1"/>
  <c r="EE70" i="1"/>
  <c r="DW71" i="1"/>
  <c r="EG71" i="1"/>
  <c r="DO72" i="1"/>
  <c r="DY72" i="1"/>
  <c r="DQ73" i="1"/>
  <c r="EA73" i="1"/>
  <c r="EC74" i="1"/>
  <c r="EE75" i="1"/>
  <c r="DW76" i="1"/>
  <c r="EG76" i="1"/>
  <c r="DO77" i="1"/>
  <c r="DY77" i="1"/>
  <c r="DQ78" i="1"/>
  <c r="EA78" i="1"/>
  <c r="FE79" i="1"/>
  <c r="BW82" i="1"/>
  <c r="DC82" i="1"/>
  <c r="FV83" i="1"/>
  <c r="DG84" i="1"/>
  <c r="FN84" i="1"/>
  <c r="GE85" i="1"/>
  <c r="BS85" i="1"/>
  <c r="FM86" i="1"/>
  <c r="DO86" i="1"/>
  <c r="CA86" i="1"/>
  <c r="EA86" i="1"/>
  <c r="BO87" i="1"/>
  <c r="FB87" i="1"/>
  <c r="GA87" i="1"/>
  <c r="CB87" i="1"/>
  <c r="DG87" i="1"/>
  <c r="DP87" i="1"/>
  <c r="FY89" i="1"/>
  <c r="EA89" i="1"/>
  <c r="DB89" i="1"/>
  <c r="EC89" i="1"/>
  <c r="ER89" i="1"/>
  <c r="EE90" i="1"/>
  <c r="CF91" i="1"/>
  <c r="FO91" i="1"/>
  <c r="DW94" i="1"/>
  <c r="CX94" i="1"/>
  <c r="FI94" i="1"/>
  <c r="GH94" i="1"/>
  <c r="EJ94" i="1"/>
  <c r="FM96" i="1"/>
  <c r="DO96" i="1"/>
  <c r="CP96" i="1"/>
  <c r="FZ96" i="1"/>
  <c r="EB96" i="1"/>
  <c r="DB96" i="1"/>
  <c r="FO97" i="1"/>
  <c r="DQ97" i="1"/>
  <c r="EP97" i="1"/>
  <c r="EE97" i="1"/>
  <c r="CD97" i="1"/>
  <c r="EO97" i="1"/>
  <c r="FD97" i="1"/>
  <c r="BS98" i="1"/>
  <c r="DC98" i="1"/>
  <c r="DP98" i="1"/>
  <c r="FN98" i="1"/>
  <c r="ES99" i="1"/>
  <c r="ER99" i="1"/>
  <c r="FN99" i="1"/>
  <c r="CR100" i="1"/>
  <c r="EX100" i="1"/>
  <c r="FS100" i="1"/>
  <c r="FQ100" i="1"/>
  <c r="ER101" i="1"/>
  <c r="FQ101" i="1"/>
  <c r="DS101" i="1"/>
  <c r="BR101" i="1"/>
  <c r="GD101" i="1"/>
  <c r="FE101" i="1"/>
  <c r="EF101" i="1"/>
  <c r="CE101" i="1"/>
  <c r="EC101" i="1"/>
  <c r="FB102" i="1"/>
  <c r="EW103" i="1"/>
  <c r="CY103" i="1"/>
  <c r="FV103" i="1"/>
  <c r="DX103" i="1"/>
  <c r="CJ103" i="1"/>
  <c r="GI103" i="1"/>
  <c r="EK103" i="1"/>
  <c r="DL103" i="1"/>
  <c r="FJ103" i="1"/>
  <c r="GG103" i="1"/>
  <c r="DL108" i="1"/>
  <c r="ET108" i="1"/>
  <c r="EJ111" i="1"/>
  <c r="CI114" i="1"/>
  <c r="DW114" i="1"/>
  <c r="FY116" i="1"/>
  <c r="EZ116" i="1"/>
  <c r="DB116" i="1"/>
  <c r="BZ116" i="1"/>
  <c r="DJ125" i="1"/>
  <c r="CQ137" i="1"/>
  <c r="CZ137" i="1"/>
  <c r="CY137" i="1"/>
  <c r="CX137" i="1"/>
  <c r="BT88" i="1"/>
  <c r="BV89" i="1"/>
  <c r="DK89" i="1"/>
  <c r="DL90" i="1"/>
  <c r="EW90" i="1"/>
  <c r="GD90" i="1"/>
  <c r="FW91" i="1"/>
  <c r="FQ93" i="1"/>
  <c r="DS93" i="1"/>
  <c r="BR93" i="1"/>
  <c r="FE93" i="1"/>
  <c r="FZ93" i="1"/>
  <c r="GA94" i="1"/>
  <c r="BT95" i="1"/>
  <c r="DJ95" i="1"/>
  <c r="DQ96" i="1"/>
  <c r="GD96" i="1"/>
  <c r="FF97" i="1"/>
  <c r="FR97" i="1"/>
  <c r="BZ98" i="1"/>
  <c r="DB98" i="1"/>
  <c r="GC99" i="1"/>
  <c r="EE99" i="1"/>
  <c r="DF99" i="1"/>
  <c r="CE100" i="1"/>
  <c r="GD100" i="1"/>
  <c r="EF100" i="1"/>
  <c r="DG100" i="1"/>
  <c r="CR101" i="1"/>
  <c r="FO102" i="1"/>
  <c r="FQ103" i="1"/>
  <c r="DS103" i="1"/>
  <c r="CT103" i="1"/>
  <c r="FE103" i="1"/>
  <c r="DG103" i="1"/>
  <c r="GD103" i="1"/>
  <c r="BZ104" i="1"/>
  <c r="EA104" i="1"/>
  <c r="ER105" i="1"/>
  <c r="CT105" i="1"/>
  <c r="CE105" i="1"/>
  <c r="GD105" i="1"/>
  <c r="EF105" i="1"/>
  <c r="DG105" i="1"/>
  <c r="FE105" i="1"/>
  <c r="FQ105" i="1"/>
  <c r="CF106" i="1"/>
  <c r="GE106" i="1"/>
  <c r="EG106" i="1"/>
  <c r="FF106" i="1"/>
  <c r="EC106" i="1"/>
  <c r="EV108" i="1"/>
  <c r="FU108" i="1"/>
  <c r="CX108" i="1"/>
  <c r="CI108" i="1"/>
  <c r="FI108" i="1"/>
  <c r="GH108" i="1"/>
  <c r="EJ108" i="1"/>
  <c r="DK108" i="1"/>
  <c r="CY112" i="1"/>
  <c r="CU113" i="1"/>
  <c r="FR113" i="1"/>
  <c r="DT113" i="1"/>
  <c r="ES113" i="1"/>
  <c r="FF113" i="1"/>
  <c r="EG113" i="1"/>
  <c r="GE113" i="1"/>
  <c r="DH113" i="1"/>
  <c r="BO114" i="1"/>
  <c r="FN114" i="1"/>
  <c r="EO114" i="1"/>
  <c r="DP114" i="1"/>
  <c r="CB114" i="1"/>
  <c r="GA114" i="1"/>
  <c r="FB114" i="1"/>
  <c r="EC114" i="1"/>
  <c r="EP115" i="1"/>
  <c r="DQ115" i="1"/>
  <c r="FO115" i="1"/>
  <c r="CD115" i="1"/>
  <c r="GC115" i="1"/>
  <c r="DF115" i="1"/>
  <c r="FD115" i="1"/>
  <c r="FF120" i="1"/>
  <c r="FE120" i="1"/>
  <c r="FD120" i="1"/>
  <c r="DG127" i="1"/>
  <c r="DF127" i="1"/>
  <c r="EP134" i="1"/>
  <c r="DQ134" i="1"/>
  <c r="CR134" i="1"/>
  <c r="BP134" i="1"/>
  <c r="CD134" i="1"/>
  <c r="GC134" i="1"/>
  <c r="EE134" i="1"/>
  <c r="DF134" i="1"/>
  <c r="FD134" i="1"/>
  <c r="CP135" i="1"/>
  <c r="EN135" i="1"/>
  <c r="BN135" i="1"/>
  <c r="FM135" i="1"/>
  <c r="DO135" i="1"/>
  <c r="DC135" i="1"/>
  <c r="FA135" i="1"/>
  <c r="EB135" i="1"/>
  <c r="FZ135" i="1"/>
  <c r="CA135" i="1"/>
  <c r="GC89" i="1"/>
  <c r="EE89" i="1"/>
  <c r="DF89" i="1"/>
  <c r="BR90" i="1"/>
  <c r="ES91" i="1"/>
  <c r="BS91" i="1"/>
  <c r="FF91" i="1"/>
  <c r="BV92" i="1"/>
  <c r="FI92" i="1"/>
  <c r="FA94" i="1"/>
  <c r="FB95" i="1"/>
  <c r="FD96" i="1"/>
  <c r="CZ97" i="1"/>
  <c r="FS98" i="1"/>
  <c r="CV98" i="1"/>
  <c r="FH98" i="1"/>
  <c r="CH98" i="1"/>
  <c r="DJ98" i="1"/>
  <c r="EX99" i="1"/>
  <c r="EZ100" i="1"/>
  <c r="BZ100" i="1"/>
  <c r="FW101" i="1"/>
  <c r="BX102" i="1"/>
  <c r="BZ103" i="1"/>
  <c r="FY103" i="1"/>
  <c r="EA103" i="1"/>
  <c r="FS104" i="1"/>
  <c r="DU104" i="1"/>
  <c r="CV104" i="1"/>
  <c r="FH104" i="1"/>
  <c r="DJ104" i="1"/>
  <c r="GG104" i="1"/>
  <c r="CH104" i="1"/>
  <c r="EI104" i="1"/>
  <c r="DB105" i="1"/>
  <c r="EA105" i="1"/>
  <c r="ES107" i="1"/>
  <c r="CU107" i="1"/>
  <c r="FR107" i="1"/>
  <c r="BS107" i="1"/>
  <c r="GE107" i="1"/>
  <c r="EN109" i="1"/>
  <c r="DO109" i="1"/>
  <c r="CA109" i="1"/>
  <c r="FA109" i="1"/>
  <c r="DC109" i="1"/>
  <c r="BN110" i="1"/>
  <c r="DO110" i="1"/>
  <c r="FM110" i="1"/>
  <c r="FZ110" i="1"/>
  <c r="DC110" i="1"/>
  <c r="EB110" i="1"/>
  <c r="CP111" i="1"/>
  <c r="FM111" i="1"/>
  <c r="DO111" i="1"/>
  <c r="BN111" i="1"/>
  <c r="FZ111" i="1"/>
  <c r="DC111" i="1"/>
  <c r="FA111" i="1"/>
  <c r="DX112" i="1"/>
  <c r="BW112" i="1"/>
  <c r="DL112" i="1"/>
  <c r="FJ112" i="1"/>
  <c r="GI112" i="1"/>
  <c r="EW112" i="1"/>
  <c r="BN113" i="1"/>
  <c r="DO113" i="1"/>
  <c r="EN113" i="1"/>
  <c r="FZ113" i="1"/>
  <c r="EB113" i="1"/>
  <c r="CA113" i="1"/>
  <c r="DC113" i="1"/>
  <c r="CY114" i="1"/>
  <c r="BW114" i="1"/>
  <c r="EW114" i="1"/>
  <c r="DL114" i="1"/>
  <c r="FJ114" i="1"/>
  <c r="CJ114" i="1"/>
  <c r="DU115" i="1"/>
  <c r="DT115" i="1"/>
  <c r="CR116" i="1"/>
  <c r="BP116" i="1"/>
  <c r="DF116" i="1"/>
  <c r="CD116" i="1"/>
  <c r="EE116" i="1"/>
  <c r="EX117" i="1"/>
  <c r="EW117" i="1"/>
  <c r="EO119" i="1"/>
  <c r="FN119" i="1"/>
  <c r="CQ119" i="1"/>
  <c r="BO119" i="1"/>
  <c r="DP119" i="1"/>
  <c r="CB119" i="1"/>
  <c r="GA119" i="1"/>
  <c r="EC119" i="1"/>
  <c r="DD119" i="1"/>
  <c r="CP120" i="1"/>
  <c r="DO120" i="1"/>
  <c r="BN120" i="1"/>
  <c r="EN120" i="1"/>
  <c r="FM120" i="1"/>
  <c r="FA120" i="1"/>
  <c r="EB120" i="1"/>
  <c r="FZ120" i="1"/>
  <c r="CA120" i="1"/>
  <c r="DC120" i="1"/>
  <c r="CZ131" i="1"/>
  <c r="DU133" i="1"/>
  <c r="DS133" i="1"/>
  <c r="CU136" i="1"/>
  <c r="ES136" i="1"/>
  <c r="DT136" i="1"/>
  <c r="FR136" i="1"/>
  <c r="BS136" i="1"/>
  <c r="EG136" i="1"/>
  <c r="DH136" i="1"/>
  <c r="GE136" i="1"/>
  <c r="CF136" i="1"/>
  <c r="FF136" i="1"/>
  <c r="EN143" i="1"/>
  <c r="FM143" i="1"/>
  <c r="CP143" i="1"/>
  <c r="BN143" i="1"/>
  <c r="DO143" i="1"/>
  <c r="CA143" i="1"/>
  <c r="FZ143" i="1"/>
  <c r="EB143" i="1"/>
  <c r="FA143" i="1"/>
  <c r="DC143" i="1"/>
  <c r="GI143" i="1"/>
  <c r="GH143" i="1"/>
  <c r="EP144" i="1"/>
  <c r="FO144" i="1"/>
  <c r="DQ144" i="1"/>
  <c r="CR144" i="1"/>
  <c r="BP144" i="1"/>
  <c r="CD144" i="1"/>
  <c r="EE144" i="1"/>
  <c r="DF144" i="1"/>
  <c r="FD144" i="1"/>
  <c r="GC144" i="1"/>
  <c r="BV151" i="1"/>
  <c r="FU151" i="1"/>
  <c r="EV151" i="1"/>
  <c r="DW151" i="1"/>
  <c r="CX151" i="1"/>
  <c r="GH151" i="1"/>
  <c r="EJ151" i="1"/>
  <c r="DK151" i="1"/>
  <c r="FI151" i="1"/>
  <c r="CI151" i="1"/>
  <c r="FY87" i="1"/>
  <c r="EA87" i="1"/>
  <c r="DG89" i="1"/>
  <c r="FD89" i="1"/>
  <c r="GE90" i="1"/>
  <c r="EG90" i="1"/>
  <c r="FE90" i="1"/>
  <c r="GG91" i="1"/>
  <c r="EI91" i="1"/>
  <c r="BT91" i="1"/>
  <c r="DJ91" i="1"/>
  <c r="FR91" i="1"/>
  <c r="GI92" i="1"/>
  <c r="EK92" i="1"/>
  <c r="BW92" i="1"/>
  <c r="FJ92" i="1"/>
  <c r="EO94" i="1"/>
  <c r="FB94" i="1"/>
  <c r="BR96" i="1"/>
  <c r="CX96" i="1"/>
  <c r="EJ96" i="1"/>
  <c r="DT97" i="1"/>
  <c r="EJ98" i="1"/>
  <c r="BZ99" i="1"/>
  <c r="CZ99" i="1"/>
  <c r="DS99" i="1"/>
  <c r="ER100" i="1"/>
  <c r="FE100" i="1"/>
  <c r="FD101" i="1"/>
  <c r="EZ102" i="1"/>
  <c r="CE103" i="1"/>
  <c r="EV105" i="1"/>
  <c r="CQ106" i="1"/>
  <c r="BO106" i="1"/>
  <c r="FN106" i="1"/>
  <c r="CU106" i="1"/>
  <c r="FR106" i="1"/>
  <c r="ET107" i="1"/>
  <c r="CH107" i="1"/>
  <c r="GG107" i="1"/>
  <c r="EI107" i="1"/>
  <c r="FH107" i="1"/>
  <c r="EG107" i="1"/>
  <c r="FQ108" i="1"/>
  <c r="DS108" i="1"/>
  <c r="CT108" i="1"/>
  <c r="BR108" i="1"/>
  <c r="ER108" i="1"/>
  <c r="FE108" i="1"/>
  <c r="DG108" i="1"/>
  <c r="EF108" i="1"/>
  <c r="CE108" i="1"/>
  <c r="BV108" i="1"/>
  <c r="CB109" i="1"/>
  <c r="GA109" i="1"/>
  <c r="EC109" i="1"/>
  <c r="DD109" i="1"/>
  <c r="DP109" i="1"/>
  <c r="FN110" i="1"/>
  <c r="EO110" i="1"/>
  <c r="CQ110" i="1"/>
  <c r="BO110" i="1"/>
  <c r="CB110" i="1"/>
  <c r="GA110" i="1"/>
  <c r="DD110" i="1"/>
  <c r="FB110" i="1"/>
  <c r="EC110" i="1"/>
  <c r="DP111" i="1"/>
  <c r="FN111" i="1"/>
  <c r="EO111" i="1"/>
  <c r="CQ111" i="1"/>
  <c r="FB111" i="1"/>
  <c r="DD111" i="1"/>
  <c r="GA111" i="1"/>
  <c r="BX112" i="1"/>
  <c r="CZ112" i="1"/>
  <c r="EX112" i="1"/>
  <c r="DY112" i="1"/>
  <c r="CV112" i="1"/>
  <c r="BS113" i="1"/>
  <c r="CY113" i="1"/>
  <c r="CR113" i="1"/>
  <c r="EZ115" i="1"/>
  <c r="EA115" i="1"/>
  <c r="FY115" i="1"/>
  <c r="BZ115" i="1"/>
  <c r="ER116" i="1"/>
  <c r="DS116" i="1"/>
  <c r="CT116" i="1"/>
  <c r="FQ116" i="1"/>
  <c r="GD116" i="1"/>
  <c r="DG116" i="1"/>
  <c r="CE116" i="1"/>
  <c r="EF116" i="1"/>
  <c r="FD116" i="1"/>
  <c r="FU118" i="1"/>
  <c r="EP119" i="1"/>
  <c r="CR119" i="1"/>
  <c r="FO119" i="1"/>
  <c r="DQ119" i="1"/>
  <c r="BP119" i="1"/>
  <c r="CP119" i="1"/>
  <c r="BZ123" i="1"/>
  <c r="FY123" i="1"/>
  <c r="EA123" i="1"/>
  <c r="DB123" i="1"/>
  <c r="EZ123" i="1"/>
  <c r="DO125" i="1"/>
  <c r="DQ125" i="1"/>
  <c r="DP125" i="1"/>
  <c r="CV128" i="1"/>
  <c r="CU128" i="1"/>
  <c r="ET136" i="1"/>
  <c r="CV136" i="1"/>
  <c r="DU136" i="1"/>
  <c r="BT136" i="1"/>
  <c r="FS136" i="1"/>
  <c r="CH136" i="1"/>
  <c r="GG136" i="1"/>
  <c r="EI136" i="1"/>
  <c r="DJ136" i="1"/>
  <c r="FH136" i="1"/>
  <c r="FR140" i="1"/>
  <c r="FQ140" i="1"/>
  <c r="GG143" i="1"/>
  <c r="FS149" i="1"/>
  <c r="FR149" i="1"/>
  <c r="FQ149" i="1"/>
  <c r="BW151" i="1"/>
  <c r="FV151" i="1"/>
  <c r="DX151" i="1"/>
  <c r="CY151" i="1"/>
  <c r="EW151" i="1"/>
  <c r="DL151" i="1"/>
  <c r="GI151" i="1"/>
  <c r="EK151" i="1"/>
  <c r="CJ151" i="1"/>
  <c r="FJ151" i="1"/>
  <c r="DW82" i="1"/>
  <c r="DY83" i="1"/>
  <c r="FW86" i="1"/>
  <c r="DC87" i="1"/>
  <c r="BZ87" i="1"/>
  <c r="FQ88" i="1"/>
  <c r="DS88" i="1"/>
  <c r="BR88" i="1"/>
  <c r="BS89" i="1"/>
  <c r="CD89" i="1"/>
  <c r="EJ89" i="1"/>
  <c r="FE89" i="1"/>
  <c r="FF90" i="1"/>
  <c r="DK91" i="1"/>
  <c r="FH91" i="1"/>
  <c r="GA93" i="1"/>
  <c r="EC93" i="1"/>
  <c r="ER93" i="1"/>
  <c r="GC94" i="1"/>
  <c r="EE94" i="1"/>
  <c r="DF94" i="1"/>
  <c r="FN94" i="1"/>
  <c r="CE95" i="1"/>
  <c r="ES96" i="1"/>
  <c r="BS96" i="1"/>
  <c r="DW97" i="1"/>
  <c r="CI97" i="1"/>
  <c r="GH97" i="1"/>
  <c r="BV97" i="1"/>
  <c r="CF97" i="1"/>
  <c r="DU97" i="1"/>
  <c r="EW98" i="1"/>
  <c r="DX98" i="1"/>
  <c r="CJ98" i="1"/>
  <c r="DL98" i="1"/>
  <c r="EN99" i="1"/>
  <c r="BN99" i="1"/>
  <c r="CD99" i="1"/>
  <c r="BR103" i="1"/>
  <c r="CJ104" i="1"/>
  <c r="GA105" i="1"/>
  <c r="BS106" i="1"/>
  <c r="EO106" i="1"/>
  <c r="CI107" i="1"/>
  <c r="GH107" i="1"/>
  <c r="EJ107" i="1"/>
  <c r="DK107" i="1"/>
  <c r="FF108" i="1"/>
  <c r="FO109" i="1"/>
  <c r="FB109" i="1"/>
  <c r="DP110" i="1"/>
  <c r="EP111" i="1"/>
  <c r="CR111" i="1"/>
  <c r="CD111" i="1"/>
  <c r="FD111" i="1"/>
  <c r="EE111" i="1"/>
  <c r="DF111" i="1"/>
  <c r="FO111" i="1"/>
  <c r="BW113" i="1"/>
  <c r="BV113" i="1"/>
  <c r="CP113" i="1"/>
  <c r="CP115" i="1"/>
  <c r="DO115" i="1"/>
  <c r="EN115" i="1"/>
  <c r="FM115" i="1"/>
  <c r="EB115" i="1"/>
  <c r="FZ115" i="1"/>
  <c r="FA115" i="1"/>
  <c r="CI115" i="1"/>
  <c r="CH115" i="1"/>
  <c r="DB115" i="1"/>
  <c r="ES115" i="1"/>
  <c r="FE116" i="1"/>
  <c r="FB123" i="1"/>
  <c r="FA123" i="1"/>
  <c r="CT128" i="1"/>
  <c r="DW136" i="1"/>
  <c r="CX136" i="1"/>
  <c r="FU136" i="1"/>
  <c r="BV136" i="1"/>
  <c r="GH136" i="1"/>
  <c r="EJ136" i="1"/>
  <c r="CI136" i="1"/>
  <c r="DK136" i="1"/>
  <c r="FI136" i="1"/>
  <c r="EW115" i="1"/>
  <c r="BW115" i="1"/>
  <c r="FJ115" i="1"/>
  <c r="DL115" i="1"/>
  <c r="EK115" i="1"/>
  <c r="CJ115" i="1"/>
  <c r="FV115" i="1"/>
  <c r="ET117" i="1"/>
  <c r="CV117" i="1"/>
  <c r="FS117" i="1"/>
  <c r="BT117" i="1"/>
  <c r="CH117" i="1"/>
  <c r="GG117" i="1"/>
  <c r="EI117" i="1"/>
  <c r="DJ117" i="1"/>
  <c r="DU117" i="1"/>
  <c r="EV118" i="1"/>
  <c r="DW118" i="1"/>
  <c r="CX118" i="1"/>
  <c r="BV118" i="1"/>
  <c r="EZ119" i="1"/>
  <c r="FY119" i="1"/>
  <c r="DY123" i="1"/>
  <c r="DX123" i="1"/>
  <c r="ET127" i="1"/>
  <c r="FS127" i="1"/>
  <c r="BT127" i="1"/>
  <c r="CV127" i="1"/>
  <c r="DJ127" i="1"/>
  <c r="EI127" i="1"/>
  <c r="FH127" i="1"/>
  <c r="GG127" i="1"/>
  <c r="CH127" i="1"/>
  <c r="DQ138" i="1"/>
  <c r="DP138" i="1"/>
  <c r="DO138" i="1"/>
  <c r="BX143" i="1"/>
  <c r="BW143" i="1"/>
  <c r="BV143" i="1"/>
  <c r="EK104" i="1"/>
  <c r="BT105" i="1"/>
  <c r="GG105" i="1"/>
  <c r="FO106" i="1"/>
  <c r="DQ106" i="1"/>
  <c r="CD106" i="1"/>
  <c r="DF106" i="1"/>
  <c r="FQ107" i="1"/>
  <c r="DS107" i="1"/>
  <c r="CE107" i="1"/>
  <c r="CT107" i="1"/>
  <c r="DG107" i="1"/>
  <c r="EF107" i="1"/>
  <c r="FS108" i="1"/>
  <c r="DU108" i="1"/>
  <c r="EX109" i="1"/>
  <c r="DY109" i="1"/>
  <c r="EA111" i="1"/>
  <c r="FY111" i="1"/>
  <c r="DB111" i="1"/>
  <c r="BN112" i="1"/>
  <c r="EN112" i="1"/>
  <c r="CP112" i="1"/>
  <c r="DC112" i="1"/>
  <c r="FZ112" i="1"/>
  <c r="BP113" i="1"/>
  <c r="DQ113" i="1"/>
  <c r="GC113" i="1"/>
  <c r="DF113" i="1"/>
  <c r="EV117" i="1"/>
  <c r="FU117" i="1"/>
  <c r="GH117" i="1"/>
  <c r="EJ117" i="1"/>
  <c r="CI117" i="1"/>
  <c r="FI117" i="1"/>
  <c r="DY117" i="1"/>
  <c r="DX117" i="1"/>
  <c r="FH117" i="1"/>
  <c r="DX118" i="1"/>
  <c r="DP118" i="1"/>
  <c r="FS119" i="1"/>
  <c r="FQ119" i="1"/>
  <c r="ES121" i="1"/>
  <c r="CU121" i="1"/>
  <c r="BS121" i="1"/>
  <c r="FR121" i="1"/>
  <c r="CF121" i="1"/>
  <c r="GE121" i="1"/>
  <c r="EG121" i="1"/>
  <c r="FF121" i="1"/>
  <c r="DH121" i="1"/>
  <c r="DW123" i="1"/>
  <c r="DT127" i="1"/>
  <c r="CV132" i="1"/>
  <c r="DU132" i="1"/>
  <c r="ET132" i="1"/>
  <c r="FS132" i="1"/>
  <c r="BT132" i="1"/>
  <c r="EI132" i="1"/>
  <c r="FH132" i="1"/>
  <c r="CH132" i="1"/>
  <c r="CP134" i="1"/>
  <c r="EN134" i="1"/>
  <c r="DO134" i="1"/>
  <c r="FM134" i="1"/>
  <c r="BN134" i="1"/>
  <c r="EB134" i="1"/>
  <c r="DC134" i="1"/>
  <c r="CA134" i="1"/>
  <c r="FZ134" i="1"/>
  <c r="FA134" i="1"/>
  <c r="ER136" i="1"/>
  <c r="CT136" i="1"/>
  <c r="FQ136" i="1"/>
  <c r="DS136" i="1"/>
  <c r="BR136" i="1"/>
  <c r="DG136" i="1"/>
  <c r="EF136" i="1"/>
  <c r="FE136" i="1"/>
  <c r="GD136" i="1"/>
  <c r="CE136" i="1"/>
  <c r="DD139" i="1"/>
  <c r="DC139" i="1"/>
  <c r="DB139" i="1"/>
  <c r="FS141" i="1"/>
  <c r="FQ141" i="1"/>
  <c r="CV144" i="1"/>
  <c r="CU144" i="1"/>
  <c r="CT144" i="1"/>
  <c r="CJ146" i="1"/>
  <c r="CI146" i="1"/>
  <c r="FN141" i="1"/>
  <c r="DP141" i="1"/>
  <c r="CQ141" i="1"/>
  <c r="EO141" i="1"/>
  <c r="FB141" i="1"/>
  <c r="DD141" i="1"/>
  <c r="CB141" i="1"/>
  <c r="GA141" i="1"/>
  <c r="FR165" i="1"/>
  <c r="FQ165" i="1"/>
  <c r="EW104" i="1"/>
  <c r="CY104" i="1"/>
  <c r="FM105" i="1"/>
  <c r="DO105" i="1"/>
  <c r="FZ105" i="1"/>
  <c r="BX107" i="1"/>
  <c r="GD107" i="1"/>
  <c r="FW109" i="1"/>
  <c r="DT110" i="1"/>
  <c r="FR110" i="1"/>
  <c r="CU110" i="1"/>
  <c r="DH110" i="1"/>
  <c r="DO112" i="1"/>
  <c r="CT115" i="1"/>
  <c r="FQ115" i="1"/>
  <c r="ER115" i="1"/>
  <c r="DS115" i="1"/>
  <c r="GD115" i="1"/>
  <c r="EF115" i="1"/>
  <c r="CE115" i="1"/>
  <c r="DG115" i="1"/>
  <c r="FE115" i="1"/>
  <c r="BR115" i="1"/>
  <c r="CY115" i="1"/>
  <c r="CP116" i="1"/>
  <c r="EN116" i="1"/>
  <c r="FM116" i="1"/>
  <c r="DC116" i="1"/>
  <c r="EB116" i="1"/>
  <c r="FA116" i="1"/>
  <c r="DU120" i="1"/>
  <c r="DS120" i="1"/>
  <c r="DW125" i="1"/>
  <c r="BV125" i="1"/>
  <c r="FU125" i="1"/>
  <c r="CX125" i="1"/>
  <c r="GH125" i="1"/>
  <c r="CI125" i="1"/>
  <c r="EJ125" i="1"/>
  <c r="GE128" i="1"/>
  <c r="GD128" i="1"/>
  <c r="GC128" i="1"/>
  <c r="BZ130" i="1"/>
  <c r="FY130" i="1"/>
  <c r="EA130" i="1"/>
  <c r="DB130" i="1"/>
  <c r="EZ130" i="1"/>
  <c r="EN133" i="1"/>
  <c r="DO133" i="1"/>
  <c r="CP133" i="1"/>
  <c r="BN133" i="1"/>
  <c r="EB133" i="1"/>
  <c r="FA133" i="1"/>
  <c r="FZ133" i="1"/>
  <c r="CA133" i="1"/>
  <c r="FM144" i="1"/>
  <c r="EN144" i="1"/>
  <c r="DO144" i="1"/>
  <c r="CP144" i="1"/>
  <c r="BN144" i="1"/>
  <c r="FA144" i="1"/>
  <c r="FZ144" i="1"/>
  <c r="DC144" i="1"/>
  <c r="CA144" i="1"/>
  <c r="DL148" i="1"/>
  <c r="DK148" i="1"/>
  <c r="DJ148" i="1"/>
  <c r="BV98" i="1"/>
  <c r="FM101" i="1"/>
  <c r="DO101" i="1"/>
  <c r="CP101" i="1"/>
  <c r="CA101" i="1"/>
  <c r="FQ102" i="1"/>
  <c r="DS102" i="1"/>
  <c r="CI103" i="1"/>
  <c r="FI103" i="1"/>
  <c r="DW103" i="1"/>
  <c r="EX104" i="1"/>
  <c r="FV104" i="1"/>
  <c r="EO105" i="1"/>
  <c r="CQ105" i="1"/>
  <c r="FN105" i="1"/>
  <c r="FW106" i="1"/>
  <c r="BO108" i="1"/>
  <c r="GA108" i="1"/>
  <c r="DO108" i="1"/>
  <c r="ES110" i="1"/>
  <c r="DU111" i="1"/>
  <c r="EL111" i="1" s="1"/>
  <c r="FU112" i="1"/>
  <c r="EV112" i="1"/>
  <c r="GH112" i="1"/>
  <c r="EJ112" i="1"/>
  <c r="FM112" i="1"/>
  <c r="EX113" i="1"/>
  <c r="DY113" i="1"/>
  <c r="BX113" i="1"/>
  <c r="FR114" i="1"/>
  <c r="DT114" i="1"/>
  <c r="BS114" i="1"/>
  <c r="CU114" i="1"/>
  <c r="ES114" i="1"/>
  <c r="FF114" i="1"/>
  <c r="GE114" i="1"/>
  <c r="CQ116" i="1"/>
  <c r="DP116" i="1"/>
  <c r="FB116" i="1"/>
  <c r="DD116" i="1"/>
  <c r="EC116" i="1"/>
  <c r="CB118" i="1"/>
  <c r="CA118" i="1"/>
  <c r="DT120" i="1"/>
  <c r="FM121" i="1"/>
  <c r="DO121" i="1"/>
  <c r="CP121" i="1"/>
  <c r="BN121" i="1"/>
  <c r="EN121" i="1"/>
  <c r="FA121" i="1"/>
  <c r="EB121" i="1"/>
  <c r="FZ121" i="1"/>
  <c r="CA121" i="1"/>
  <c r="DS121" i="1"/>
  <c r="DU121" i="1"/>
  <c r="CE123" i="1"/>
  <c r="FI125" i="1"/>
  <c r="FB126" i="1"/>
  <c r="FU128" i="1"/>
  <c r="DW128" i="1"/>
  <c r="BV128" i="1"/>
  <c r="CX128" i="1"/>
  <c r="GH128" i="1"/>
  <c r="EJ128" i="1"/>
  <c r="DK128" i="1"/>
  <c r="FI128" i="1"/>
  <c r="CI128" i="1"/>
  <c r="FN132" i="1"/>
  <c r="FM132" i="1"/>
  <c r="DP133" i="1"/>
  <c r="FN133" i="1"/>
  <c r="EO133" i="1"/>
  <c r="CQ133" i="1"/>
  <c r="CB133" i="1"/>
  <c r="GA133" i="1"/>
  <c r="FB133" i="1"/>
  <c r="EC133" i="1"/>
  <c r="FS139" i="1"/>
  <c r="FR139" i="1"/>
  <c r="FQ139" i="1"/>
  <c r="EC141" i="1"/>
  <c r="EO144" i="1"/>
  <c r="FN144" i="1"/>
  <c r="DP144" i="1"/>
  <c r="CQ144" i="1"/>
  <c r="FB144" i="1"/>
  <c r="CB144" i="1"/>
  <c r="GA144" i="1"/>
  <c r="DD144" i="1"/>
  <c r="EC144" i="1"/>
  <c r="BX145" i="1"/>
  <c r="BW145" i="1"/>
  <c r="DY147" i="1"/>
  <c r="DX147" i="1"/>
  <c r="FW149" i="1"/>
  <c r="EX149" i="1"/>
  <c r="CZ149" i="1"/>
  <c r="DY149" i="1"/>
  <c r="BX149" i="1"/>
  <c r="BP149" i="1"/>
  <c r="BO149" i="1"/>
  <c r="BN149" i="1"/>
  <c r="DW147" i="1"/>
  <c r="BS103" i="1"/>
  <c r="DW104" i="1"/>
  <c r="DY105" i="1"/>
  <c r="EI105" i="1"/>
  <c r="ES105" i="1"/>
  <c r="CI106" i="1"/>
  <c r="DC106" i="1"/>
  <c r="EK106" i="1"/>
  <c r="BS108" i="1"/>
  <c r="EO108" i="1"/>
  <c r="CE109" i="1"/>
  <c r="EV109" i="1"/>
  <c r="EZ110" i="1"/>
  <c r="FV111" i="1"/>
  <c r="DF112" i="1"/>
  <c r="GG113" i="1"/>
  <c r="DF114" i="1"/>
  <c r="DB114" i="1"/>
  <c r="CZ116" i="1"/>
  <c r="EX116" i="1"/>
  <c r="BX116" i="1"/>
  <c r="FF117" i="1"/>
  <c r="DH117" i="1"/>
  <c r="GE117" i="1"/>
  <c r="CF117" i="1"/>
  <c r="CJ118" i="1"/>
  <c r="DL118" i="1"/>
  <c r="CA119" i="1"/>
  <c r="FA119" i="1"/>
  <c r="EB119" i="1"/>
  <c r="EO120" i="1"/>
  <c r="DP120" i="1"/>
  <c r="FB120" i="1"/>
  <c r="EC120" i="1"/>
  <c r="FN120" i="1"/>
  <c r="CV123" i="1"/>
  <c r="FS123" i="1"/>
  <c r="FH123" i="1"/>
  <c r="GG123" i="1"/>
  <c r="EI123" i="1"/>
  <c r="CZ125" i="1"/>
  <c r="CY125" i="1"/>
  <c r="CP125" i="1"/>
  <c r="BX127" i="1"/>
  <c r="ES129" i="1"/>
  <c r="ER129" i="1"/>
  <c r="EA133" i="1"/>
  <c r="EZ133" i="1"/>
  <c r="BZ133" i="1"/>
  <c r="FY133" i="1"/>
  <c r="DB133" i="1"/>
  <c r="EW138" i="1"/>
  <c r="CY138" i="1"/>
  <c r="FV138" i="1"/>
  <c r="DX138" i="1"/>
  <c r="GI138" i="1"/>
  <c r="FJ138" i="1"/>
  <c r="DL138" i="1"/>
  <c r="EK138" i="1"/>
  <c r="CJ138" i="1"/>
  <c r="EZ144" i="1"/>
  <c r="FY144" i="1"/>
  <c r="BZ144" i="1"/>
  <c r="DB144" i="1"/>
  <c r="EA144" i="1"/>
  <c r="EW150" i="1"/>
  <c r="EV150" i="1"/>
  <c r="CV170" i="1"/>
  <c r="FS170" i="1"/>
  <c r="BT170" i="1"/>
  <c r="ET170" i="1"/>
  <c r="DU170" i="1"/>
  <c r="GG170" i="1"/>
  <c r="EI170" i="1"/>
  <c r="DJ170" i="1"/>
  <c r="CH170" i="1"/>
  <c r="FH170" i="1"/>
  <c r="EN169" i="1"/>
  <c r="DO169" i="1"/>
  <c r="BN169" i="1"/>
  <c r="FM169" i="1"/>
  <c r="CP169" i="1"/>
  <c r="FA169" i="1"/>
  <c r="EB169" i="1"/>
  <c r="FZ169" i="1"/>
  <c r="DC169" i="1"/>
  <c r="CA169" i="1"/>
  <c r="CE151" i="1"/>
  <c r="CD151" i="1"/>
  <c r="EP159" i="1"/>
  <c r="FO159" i="1"/>
  <c r="CR159" i="1"/>
  <c r="BP159" i="1"/>
  <c r="CD159" i="1"/>
  <c r="GC159" i="1"/>
  <c r="EE159" i="1"/>
  <c r="DF159" i="1"/>
  <c r="FD159" i="1"/>
  <c r="EO169" i="1"/>
  <c r="DP169" i="1"/>
  <c r="FN169" i="1"/>
  <c r="CQ169" i="1"/>
  <c r="BO169" i="1"/>
  <c r="GA169" i="1"/>
  <c r="FB169" i="1"/>
  <c r="EC169" i="1"/>
  <c r="DD169" i="1"/>
  <c r="CB169" i="1"/>
  <c r="ER126" i="1"/>
  <c r="CT126" i="1"/>
  <c r="BR126" i="1"/>
  <c r="GD126" i="1"/>
  <c r="EF126" i="1"/>
  <c r="DG126" i="1"/>
  <c r="FE126" i="1"/>
  <c r="CE126" i="1"/>
  <c r="EC126" i="1"/>
  <c r="EA126" i="1"/>
  <c r="CZ127" i="1"/>
  <c r="DY127" i="1"/>
  <c r="EP127" i="1"/>
  <c r="EO127" i="1"/>
  <c r="BX128" i="1"/>
  <c r="FW128" i="1"/>
  <c r="CZ128" i="1"/>
  <c r="EX128" i="1"/>
  <c r="DY128" i="1"/>
  <c r="ET129" i="1"/>
  <c r="BT129" i="1"/>
  <c r="DU129" i="1"/>
  <c r="EI129" i="1"/>
  <c r="GG129" i="1"/>
  <c r="CH129" i="1"/>
  <c r="CV129" i="1"/>
  <c r="DS134" i="1"/>
  <c r="ER134" i="1"/>
  <c r="GD134" i="1"/>
  <c r="EF134" i="1"/>
  <c r="CE134" i="1"/>
  <c r="DG134" i="1"/>
  <c r="FN137" i="1"/>
  <c r="FM137" i="1"/>
  <c r="BX146" i="1"/>
  <c r="DY146" i="1"/>
  <c r="CZ146" i="1"/>
  <c r="EX146" i="1"/>
  <c r="FW146" i="1"/>
  <c r="BP146" i="1"/>
  <c r="BO146" i="1"/>
  <c r="GG168" i="1"/>
  <c r="DY102" i="1"/>
  <c r="FW102" i="1"/>
  <c r="DC103" i="1"/>
  <c r="FS105" i="1"/>
  <c r="CY106" i="1"/>
  <c r="DW106" i="1"/>
  <c r="FU106" i="1"/>
  <c r="DY107" i="1"/>
  <c r="FW107" i="1"/>
  <c r="DC108" i="1"/>
  <c r="DS109" i="1"/>
  <c r="EE109" i="1"/>
  <c r="DB110" i="1"/>
  <c r="ER111" i="1"/>
  <c r="FQ111" i="1"/>
  <c r="BR111" i="1"/>
  <c r="CE111" i="1"/>
  <c r="DS111" i="1"/>
  <c r="FN112" i="1"/>
  <c r="DP112" i="1"/>
  <c r="CQ112" i="1"/>
  <c r="CB112" i="1"/>
  <c r="EE112" i="1"/>
  <c r="FB112" i="1"/>
  <c r="FO112" i="1"/>
  <c r="DW113" i="1"/>
  <c r="EI113" i="1"/>
  <c r="EX114" i="1"/>
  <c r="DY114" i="1"/>
  <c r="FR115" i="1"/>
  <c r="DY115" i="1"/>
  <c r="CF116" i="1"/>
  <c r="GE116" i="1"/>
  <c r="EI116" i="1"/>
  <c r="BN117" i="1"/>
  <c r="DO117" i="1"/>
  <c r="FZ117" i="1"/>
  <c r="EB117" i="1"/>
  <c r="CP117" i="1"/>
  <c r="CT118" i="1"/>
  <c r="EW118" i="1"/>
  <c r="FO118" i="1"/>
  <c r="FN118" i="1"/>
  <c r="DK119" i="1"/>
  <c r="DJ119" i="1"/>
  <c r="FZ119" i="1"/>
  <c r="EV122" i="1"/>
  <c r="CX122" i="1"/>
  <c r="CI122" i="1"/>
  <c r="GH122" i="1"/>
  <c r="EJ122" i="1"/>
  <c r="DK122" i="1"/>
  <c r="GD122" i="1"/>
  <c r="EO125" i="1"/>
  <c r="FN125" i="1"/>
  <c r="BO125" i="1"/>
  <c r="CB125" i="1"/>
  <c r="FB125" i="1"/>
  <c r="DD125" i="1"/>
  <c r="EC125" i="1"/>
  <c r="BS125" i="1"/>
  <c r="EI125" i="1"/>
  <c r="ES126" i="1"/>
  <c r="CU126" i="1"/>
  <c r="DH126" i="1"/>
  <c r="EG126" i="1"/>
  <c r="FF126" i="1"/>
  <c r="DB126" i="1"/>
  <c r="FY127" i="1"/>
  <c r="EA127" i="1"/>
  <c r="BN127" i="1"/>
  <c r="EN127" i="1"/>
  <c r="BO128" i="1"/>
  <c r="EE128" i="1"/>
  <c r="EV129" i="1"/>
  <c r="DW129" i="1"/>
  <c r="FU129" i="1"/>
  <c r="BV129" i="1"/>
  <c r="CX129" i="1"/>
  <c r="CI129" i="1"/>
  <c r="GH129" i="1"/>
  <c r="EJ129" i="1"/>
  <c r="FI129" i="1"/>
  <c r="DK129" i="1"/>
  <c r="EC132" i="1"/>
  <c r="EA132" i="1"/>
  <c r="FQ134" i="1"/>
  <c r="FS138" i="1"/>
  <c r="GC141" i="1"/>
  <c r="EJ149" i="1"/>
  <c r="EI149" i="1"/>
  <c r="DF150" i="1"/>
  <c r="FO155" i="1"/>
  <c r="EP155" i="1"/>
  <c r="DQ155" i="1"/>
  <c r="CR155" i="1"/>
  <c r="BP155" i="1"/>
  <c r="DF155" i="1"/>
  <c r="GC155" i="1"/>
  <c r="FD155" i="1"/>
  <c r="CD155" i="1"/>
  <c r="EE155" i="1"/>
  <c r="EX155" i="1"/>
  <c r="EW155" i="1"/>
  <c r="DD98" i="1"/>
  <c r="DX101" i="1"/>
  <c r="FV101" i="1"/>
  <c r="CR102" i="1"/>
  <c r="DB102" i="1"/>
  <c r="DD103" i="1"/>
  <c r="EB103" i="1"/>
  <c r="FZ103" i="1"/>
  <c r="DF104" i="1"/>
  <c r="DH105" i="1"/>
  <c r="CP106" i="1"/>
  <c r="DX106" i="1"/>
  <c r="FV106" i="1"/>
  <c r="CR107" i="1"/>
  <c r="DB107" i="1"/>
  <c r="DD108" i="1"/>
  <c r="EB108" i="1"/>
  <c r="FZ108" i="1"/>
  <c r="BR109" i="1"/>
  <c r="DF109" i="1"/>
  <c r="EF109" i="1"/>
  <c r="FD109" i="1"/>
  <c r="CX110" i="1"/>
  <c r="BV110" i="1"/>
  <c r="FY110" i="1"/>
  <c r="BS111" i="1"/>
  <c r="GA112" i="1"/>
  <c r="CH113" i="1"/>
  <c r="EJ113" i="1"/>
  <c r="FS113" i="1"/>
  <c r="DQ114" i="1"/>
  <c r="EP114" i="1"/>
  <c r="FS116" i="1"/>
  <c r="DJ116" i="1"/>
  <c r="CH116" i="1"/>
  <c r="BT116" i="1"/>
  <c r="DY116" i="1"/>
  <c r="FH116" i="1"/>
  <c r="FN117" i="1"/>
  <c r="DP117" i="1"/>
  <c r="DD117" i="1"/>
  <c r="CQ117" i="1"/>
  <c r="FR118" i="1"/>
  <c r="DT118" i="1"/>
  <c r="BS118" i="1"/>
  <c r="BW118" i="1"/>
  <c r="CY118" i="1"/>
  <c r="FM118" i="1"/>
  <c r="EW119" i="1"/>
  <c r="CY119" i="1"/>
  <c r="BW119" i="1"/>
  <c r="FJ119" i="1"/>
  <c r="DL119" i="1"/>
  <c r="CJ119" i="1"/>
  <c r="GI119" i="1"/>
  <c r="EK119" i="1"/>
  <c r="CZ120" i="1"/>
  <c r="FW120" i="1"/>
  <c r="BX120" i="1"/>
  <c r="CB120" i="1"/>
  <c r="GA120" i="1"/>
  <c r="BW122" i="1"/>
  <c r="EW122" i="1"/>
  <c r="DX122" i="1"/>
  <c r="GI122" i="1"/>
  <c r="EK122" i="1"/>
  <c r="DL122" i="1"/>
  <c r="CJ122" i="1"/>
  <c r="FJ122" i="1"/>
  <c r="CD122" i="1"/>
  <c r="EE122" i="1"/>
  <c r="BT123" i="1"/>
  <c r="CH123" i="1"/>
  <c r="ET123" i="1"/>
  <c r="EP125" i="1"/>
  <c r="CR125" i="1"/>
  <c r="DF125" i="1"/>
  <c r="EE125" i="1"/>
  <c r="FD125" i="1"/>
  <c r="GC125" i="1"/>
  <c r="CP127" i="1"/>
  <c r="DO127" i="1"/>
  <c r="FZ127" i="1"/>
  <c r="CA127" i="1"/>
  <c r="BO127" i="1"/>
  <c r="EB127" i="1"/>
  <c r="BN128" i="1"/>
  <c r="FM128" i="1"/>
  <c r="EN128" i="1"/>
  <c r="CP128" i="1"/>
  <c r="DO128" i="1"/>
  <c r="EB128" i="1"/>
  <c r="FA128" i="1"/>
  <c r="DC128" i="1"/>
  <c r="EF128" i="1"/>
  <c r="FV129" i="1"/>
  <c r="EW129" i="1"/>
  <c r="DX129" i="1"/>
  <c r="CY129" i="1"/>
  <c r="CJ129" i="1"/>
  <c r="GI129" i="1"/>
  <c r="EK129" i="1"/>
  <c r="DL129" i="1"/>
  <c r="FJ129" i="1"/>
  <c r="FH129" i="1"/>
  <c r="GE129" i="1"/>
  <c r="GD129" i="1"/>
  <c r="GC129" i="1"/>
  <c r="EZ145" i="1"/>
  <c r="FE147" i="1"/>
  <c r="DG150" i="1"/>
  <c r="EV155" i="1"/>
  <c r="DY86" i="1"/>
  <c r="DW90" i="1"/>
  <c r="DY91" i="1"/>
  <c r="DW95" i="1"/>
  <c r="DY96" i="1"/>
  <c r="EC98" i="1"/>
  <c r="DW100" i="1"/>
  <c r="DY101" i="1"/>
  <c r="DQ102" i="1"/>
  <c r="EA102" i="1"/>
  <c r="EC103" i="1"/>
  <c r="EE104" i="1"/>
  <c r="DW105" i="1"/>
  <c r="EG105" i="1"/>
  <c r="DO106" i="1"/>
  <c r="DY106" i="1"/>
  <c r="DQ107" i="1"/>
  <c r="EA107" i="1"/>
  <c r="EC108" i="1"/>
  <c r="FR109" i="1"/>
  <c r="DT109" i="1"/>
  <c r="BS109" i="1"/>
  <c r="DG109" i="1"/>
  <c r="FQ109" i="1"/>
  <c r="FJ110" i="1"/>
  <c r="BW110" i="1"/>
  <c r="DJ111" i="1"/>
  <c r="CH111" i="1"/>
  <c r="DS112" i="1"/>
  <c r="CD112" i="1"/>
  <c r="DD112" i="1"/>
  <c r="FQ112" i="1"/>
  <c r="CJ113" i="1"/>
  <c r="GI113" i="1"/>
  <c r="CI113" i="1"/>
  <c r="EK113" i="1"/>
  <c r="EN114" i="1"/>
  <c r="DO114" i="1"/>
  <c r="CZ114" i="1"/>
  <c r="CX115" i="1"/>
  <c r="EV115" i="1"/>
  <c r="DK115" i="1"/>
  <c r="FW116" i="1"/>
  <c r="CR117" i="1"/>
  <c r="FD117" i="1"/>
  <c r="CD117" i="1"/>
  <c r="EC117" i="1"/>
  <c r="CV118" i="1"/>
  <c r="DU118" i="1"/>
  <c r="FH118" i="1"/>
  <c r="EX119" i="1"/>
  <c r="BX119" i="1"/>
  <c r="FW119" i="1"/>
  <c r="ER119" i="1"/>
  <c r="EZ120" i="1"/>
  <c r="FY120" i="1"/>
  <c r="EA120" i="1"/>
  <c r="CY122" i="1"/>
  <c r="FM123" i="1"/>
  <c r="FO124" i="1"/>
  <c r="CX126" i="1"/>
  <c r="DW126" i="1"/>
  <c r="FU126" i="1"/>
  <c r="GH126" i="1"/>
  <c r="FI126" i="1"/>
  <c r="EV126" i="1"/>
  <c r="DB127" i="1"/>
  <c r="FM127" i="1"/>
  <c r="FW129" i="1"/>
  <c r="EX129" i="1"/>
  <c r="CZ129" i="1"/>
  <c r="BX129" i="1"/>
  <c r="FJ135" i="1"/>
  <c r="FH135" i="1"/>
  <c r="CV138" i="1"/>
  <c r="BT138" i="1"/>
  <c r="DU138" i="1"/>
  <c r="FH138" i="1"/>
  <c r="DJ138" i="1"/>
  <c r="GG138" i="1"/>
  <c r="CH138" i="1"/>
  <c r="EI138" i="1"/>
  <c r="FD138" i="1"/>
  <c r="FJ160" i="1"/>
  <c r="FH160" i="1"/>
  <c r="GG121" i="1"/>
  <c r="EI121" i="1"/>
  <c r="DJ121" i="1"/>
  <c r="CH121" i="1"/>
  <c r="ET122" i="1"/>
  <c r="CH122" i="1"/>
  <c r="GG122" i="1"/>
  <c r="EI122" i="1"/>
  <c r="BP124" i="1"/>
  <c r="DQ124" i="1"/>
  <c r="CR124" i="1"/>
  <c r="GC124" i="1"/>
  <c r="CD124" i="1"/>
  <c r="FV125" i="1"/>
  <c r="CJ125" i="1"/>
  <c r="BV127" i="1"/>
  <c r="CX127" i="1"/>
  <c r="DW127" i="1"/>
  <c r="EV127" i="1"/>
  <c r="EJ127" i="1"/>
  <c r="DK127" i="1"/>
  <c r="EX133" i="1"/>
  <c r="CZ133" i="1"/>
  <c r="DY133" i="1"/>
  <c r="BX133" i="1"/>
  <c r="CU133" i="1"/>
  <c r="CT133" i="1"/>
  <c r="EO135" i="1"/>
  <c r="FN135" i="1"/>
  <c r="FB135" i="1"/>
  <c r="DD135" i="1"/>
  <c r="EC135" i="1"/>
  <c r="GA135" i="1"/>
  <c r="DP135" i="1"/>
  <c r="CR136" i="1"/>
  <c r="FO136" i="1"/>
  <c r="EP136" i="1"/>
  <c r="BP136" i="1"/>
  <c r="FD136" i="1"/>
  <c r="DF136" i="1"/>
  <c r="EE136" i="1"/>
  <c r="GC136" i="1"/>
  <c r="CD136" i="1"/>
  <c r="EX136" i="1"/>
  <c r="EW136" i="1"/>
  <c r="BP137" i="1"/>
  <c r="FO137" i="1"/>
  <c r="DQ137" i="1"/>
  <c r="CR137" i="1"/>
  <c r="DF137" i="1"/>
  <c r="CD137" i="1"/>
  <c r="GC137" i="1"/>
  <c r="CX138" i="1"/>
  <c r="DW138" i="1"/>
  <c r="EV138" i="1"/>
  <c r="BV138" i="1"/>
  <c r="DK138" i="1"/>
  <c r="GH138" i="1"/>
  <c r="EJ138" i="1"/>
  <c r="CI138" i="1"/>
  <c r="BN141" i="1"/>
  <c r="FM141" i="1"/>
  <c r="DO141" i="1"/>
  <c r="CP141" i="1"/>
  <c r="EN141" i="1"/>
  <c r="DC141" i="1"/>
  <c r="FZ141" i="1"/>
  <c r="FA141" i="1"/>
  <c r="BX142" i="1"/>
  <c r="CZ142" i="1"/>
  <c r="EX142" i="1"/>
  <c r="DY142" i="1"/>
  <c r="FW142" i="1"/>
  <c r="BO142" i="1"/>
  <c r="BN142" i="1"/>
  <c r="FE143" i="1"/>
  <c r="FD143" i="1"/>
  <c r="EZ149" i="1"/>
  <c r="EA149" i="1"/>
  <c r="FY149" i="1"/>
  <c r="DB149" i="1"/>
  <c r="BZ149" i="1"/>
  <c r="CR152" i="1"/>
  <c r="CQ152" i="1"/>
  <c r="CP152" i="1"/>
  <c r="CQ155" i="1"/>
  <c r="EO155" i="1"/>
  <c r="DP155" i="1"/>
  <c r="FN155" i="1"/>
  <c r="BO155" i="1"/>
  <c r="FB155" i="1"/>
  <c r="EC155" i="1"/>
  <c r="GA155" i="1"/>
  <c r="DD155" i="1"/>
  <c r="CB155" i="1"/>
  <c r="FJ156" i="1"/>
  <c r="FH156" i="1"/>
  <c r="DQ174" i="1"/>
  <c r="DP174" i="1"/>
  <c r="DO174" i="1"/>
  <c r="EN118" i="1"/>
  <c r="FZ118" i="1"/>
  <c r="EB118" i="1"/>
  <c r="BS119" i="1"/>
  <c r="FR119" i="1"/>
  <c r="DT119" i="1"/>
  <c r="CU119" i="1"/>
  <c r="DU119" i="1"/>
  <c r="DS119" i="1"/>
  <c r="EG119" i="1"/>
  <c r="EP120" i="1"/>
  <c r="CD120" i="1"/>
  <c r="GC120" i="1"/>
  <c r="EE120" i="1"/>
  <c r="CR120" i="1"/>
  <c r="CQ121" i="1"/>
  <c r="FN121" i="1"/>
  <c r="DP121" i="1"/>
  <c r="FB121" i="1"/>
  <c r="EO121" i="1"/>
  <c r="CV122" i="1"/>
  <c r="GH123" i="1"/>
  <c r="CI123" i="1"/>
  <c r="EX124" i="1"/>
  <c r="CZ124" i="1"/>
  <c r="DF124" i="1"/>
  <c r="EP124" i="1"/>
  <c r="FD124" i="1"/>
  <c r="BR125" i="1"/>
  <c r="FN128" i="1"/>
  <c r="DP128" i="1"/>
  <c r="EO128" i="1"/>
  <c r="CQ128" i="1"/>
  <c r="CA130" i="1"/>
  <c r="EB130" i="1"/>
  <c r="BP132" i="1"/>
  <c r="FO132" i="1"/>
  <c r="EP132" i="1"/>
  <c r="DQ132" i="1"/>
  <c r="FD132" i="1"/>
  <c r="DF132" i="1"/>
  <c r="EE132" i="1"/>
  <c r="CD132" i="1"/>
  <c r="FR134" i="1"/>
  <c r="CB135" i="1"/>
  <c r="FU138" i="1"/>
  <c r="BV141" i="1"/>
  <c r="EV141" i="1"/>
  <c r="FU141" i="1"/>
  <c r="CX141" i="1"/>
  <c r="GH141" i="1"/>
  <c r="EJ141" i="1"/>
  <c r="DK141" i="1"/>
  <c r="CI141" i="1"/>
  <c r="FI141" i="1"/>
  <c r="CA141" i="1"/>
  <c r="FI144" i="1"/>
  <c r="FH144" i="1"/>
  <c r="BP147" i="1"/>
  <c r="CR147" i="1"/>
  <c r="DQ147" i="1"/>
  <c r="EP147" i="1"/>
  <c r="FO147" i="1"/>
  <c r="EE147" i="1"/>
  <c r="DF147" i="1"/>
  <c r="CD147" i="1"/>
  <c r="GC147" i="1"/>
  <c r="FF153" i="1"/>
  <c r="FD153" i="1"/>
  <c r="DU159" i="1"/>
  <c r="DS159" i="1"/>
  <c r="DH115" i="1"/>
  <c r="BS115" i="1"/>
  <c r="DL117" i="1"/>
  <c r="CJ117" i="1"/>
  <c r="BW117" i="1"/>
  <c r="EK117" i="1"/>
  <c r="FJ117" i="1"/>
  <c r="CD118" i="1"/>
  <c r="CV119" i="1"/>
  <c r="CE120" i="1"/>
  <c r="GD120" i="1"/>
  <c r="EF120" i="1"/>
  <c r="DG120" i="1"/>
  <c r="BR120" i="1"/>
  <c r="CH120" i="1"/>
  <c r="DF120" i="1"/>
  <c r="CD121" i="1"/>
  <c r="DF121" i="1"/>
  <c r="EC121" i="1"/>
  <c r="EP121" i="1"/>
  <c r="FS121" i="1"/>
  <c r="FO122" i="1"/>
  <c r="DQ122" i="1"/>
  <c r="CR122" i="1"/>
  <c r="BP122" i="1"/>
  <c r="BT122" i="1"/>
  <c r="DJ122" i="1"/>
  <c r="DU122" i="1"/>
  <c r="CJ123" i="1"/>
  <c r="EK123" i="1"/>
  <c r="BZ124" i="1"/>
  <c r="DB124" i="1"/>
  <c r="EA124" i="1"/>
  <c r="EZ124" i="1"/>
  <c r="FR125" i="1"/>
  <c r="DT125" i="1"/>
  <c r="CU125" i="1"/>
  <c r="FE127" i="1"/>
  <c r="CI127" i="1"/>
  <c r="CT127" i="1"/>
  <c r="GH127" i="1"/>
  <c r="FQ128" i="1"/>
  <c r="CB130" i="1"/>
  <c r="CT132" i="1"/>
  <c r="ER132" i="1"/>
  <c r="DG132" i="1"/>
  <c r="EF132" i="1"/>
  <c r="FE132" i="1"/>
  <c r="DG133" i="1"/>
  <c r="CX139" i="1"/>
  <c r="EV139" i="1"/>
  <c r="FI139" i="1"/>
  <c r="DK139" i="1"/>
  <c r="GH139" i="1"/>
  <c r="EJ139" i="1"/>
  <c r="CI139" i="1"/>
  <c r="DJ143" i="1"/>
  <c r="FW143" i="1"/>
  <c r="FV143" i="1"/>
  <c r="CT147" i="1"/>
  <c r="DS147" i="1"/>
  <c r="ER147" i="1"/>
  <c r="FQ147" i="1"/>
  <c r="GD147" i="1"/>
  <c r="CE147" i="1"/>
  <c r="DG147" i="1"/>
  <c r="EF147" i="1"/>
  <c r="FW152" i="1"/>
  <c r="BX152" i="1"/>
  <c r="EX152" i="1"/>
  <c r="DY152" i="1"/>
  <c r="CZ152" i="1"/>
  <c r="BP152" i="1"/>
  <c r="BO152" i="1"/>
  <c r="BN152" i="1"/>
  <c r="DJ153" i="1"/>
  <c r="FO161" i="1"/>
  <c r="DQ161" i="1"/>
  <c r="CR161" i="1"/>
  <c r="BP161" i="1"/>
  <c r="EP161" i="1"/>
  <c r="FD161" i="1"/>
  <c r="GC161" i="1"/>
  <c r="CD161" i="1"/>
  <c r="DF161" i="1"/>
  <c r="EE161" i="1"/>
  <c r="CT162" i="1"/>
  <c r="EP110" i="1"/>
  <c r="CD110" i="1"/>
  <c r="CF111" i="1"/>
  <c r="ET112" i="1"/>
  <c r="CH112" i="1"/>
  <c r="BR114" i="1"/>
  <c r="CD114" i="1"/>
  <c r="BT115" i="1"/>
  <c r="CF115" i="1"/>
  <c r="BX117" i="1"/>
  <c r="BP118" i="1"/>
  <c r="DF118" i="1"/>
  <c r="CP118" i="1"/>
  <c r="FD118" i="1"/>
  <c r="CX119" i="1"/>
  <c r="DW119" i="1"/>
  <c r="EV119" i="1"/>
  <c r="BS120" i="1"/>
  <c r="GE120" i="1"/>
  <c r="CT120" i="1"/>
  <c r="DQ120" i="1"/>
  <c r="DG121" i="1"/>
  <c r="DQ121" i="1"/>
  <c r="EN124" i="1"/>
  <c r="CP124" i="1"/>
  <c r="FZ124" i="1"/>
  <c r="EB124" i="1"/>
  <c r="DC124" i="1"/>
  <c r="EE124" i="1"/>
  <c r="FW124" i="1"/>
  <c r="CV125" i="1"/>
  <c r="DU125" i="1"/>
  <c r="FH125" i="1"/>
  <c r="GG125" i="1"/>
  <c r="CH125" i="1"/>
  <c r="FS125" i="1"/>
  <c r="GE125" i="1"/>
  <c r="FI127" i="1"/>
  <c r="FU127" i="1"/>
  <c r="FB128" i="1"/>
  <c r="BX131" i="1"/>
  <c r="EX131" i="1"/>
  <c r="FW131" i="1"/>
  <c r="ES132" i="1"/>
  <c r="CU132" i="1"/>
  <c r="FF132" i="1"/>
  <c r="DH132" i="1"/>
  <c r="EG132" i="1"/>
  <c r="DC132" i="1"/>
  <c r="DB132" i="1"/>
  <c r="EZ132" i="1"/>
  <c r="DJ134" i="1"/>
  <c r="ET134" i="1"/>
  <c r="ES134" i="1"/>
  <c r="BO135" i="1"/>
  <c r="ES137" i="1"/>
  <c r="FR138" i="1"/>
  <c r="DT138" i="1"/>
  <c r="CU138" i="1"/>
  <c r="BS138" i="1"/>
  <c r="DH138" i="1"/>
  <c r="CF138" i="1"/>
  <c r="ES138" i="1"/>
  <c r="FI138" i="1"/>
  <c r="CY139" i="1"/>
  <c r="FV139" i="1"/>
  <c r="EW139" i="1"/>
  <c r="FJ139" i="1"/>
  <c r="GI139" i="1"/>
  <c r="DL139" i="1"/>
  <c r="EK139" i="1"/>
  <c r="FS140" i="1"/>
  <c r="DJ140" i="1"/>
  <c r="CH140" i="1"/>
  <c r="EB141" i="1"/>
  <c r="DK143" i="1"/>
  <c r="FU143" i="1"/>
  <c r="FS144" i="1"/>
  <c r="FR144" i="1"/>
  <c r="FQ144" i="1"/>
  <c r="DD145" i="1"/>
  <c r="DC145" i="1"/>
  <c r="EO145" i="1"/>
  <c r="EN145" i="1"/>
  <c r="CV146" i="1"/>
  <c r="CU146" i="1"/>
  <c r="EE146" i="1"/>
  <c r="CY149" i="1"/>
  <c r="FV149" i="1"/>
  <c r="DX149" i="1"/>
  <c r="BW149" i="1"/>
  <c r="EW149" i="1"/>
  <c r="FJ149" i="1"/>
  <c r="GI149" i="1"/>
  <c r="DL149" i="1"/>
  <c r="CJ149" i="1"/>
  <c r="EK149" i="1"/>
  <c r="CV150" i="1"/>
  <c r="CU150" i="1"/>
  <c r="CT150" i="1"/>
  <c r="DT158" i="1"/>
  <c r="DS158" i="1"/>
  <c r="EO159" i="1"/>
  <c r="DP159" i="1"/>
  <c r="CQ159" i="1"/>
  <c r="FN159" i="1"/>
  <c r="BO159" i="1"/>
  <c r="FB159" i="1"/>
  <c r="DD159" i="1"/>
  <c r="EC159" i="1"/>
  <c r="GA159" i="1"/>
  <c r="CB159" i="1"/>
  <c r="CT161" i="1"/>
  <c r="FQ161" i="1"/>
  <c r="BR161" i="1"/>
  <c r="ER161" i="1"/>
  <c r="DS161" i="1"/>
  <c r="FE161" i="1"/>
  <c r="GD161" i="1"/>
  <c r="DG161" i="1"/>
  <c r="CE161" i="1"/>
  <c r="EF161" i="1"/>
  <c r="CY162" i="1"/>
  <c r="DX162" i="1"/>
  <c r="FV162" i="1"/>
  <c r="BW162" i="1"/>
  <c r="EK162" i="1"/>
  <c r="FJ162" i="1"/>
  <c r="GI162" i="1"/>
  <c r="DL162" i="1"/>
  <c r="CJ162" i="1"/>
  <c r="BR118" i="1"/>
  <c r="BT119" i="1"/>
  <c r="CD119" i="1"/>
  <c r="BV120" i="1"/>
  <c r="CF120" i="1"/>
  <c r="DX120" i="1"/>
  <c r="BX121" i="1"/>
  <c r="EJ121" i="1"/>
  <c r="GH121" i="1"/>
  <c r="EB122" i="1"/>
  <c r="FZ122" i="1"/>
  <c r="BR123" i="1"/>
  <c r="EV124" i="1"/>
  <c r="BV124" i="1"/>
  <c r="FU124" i="1"/>
  <c r="EN125" i="1"/>
  <c r="EP126" i="1"/>
  <c r="CD126" i="1"/>
  <c r="BS127" i="1"/>
  <c r="ET128" i="1"/>
  <c r="CH128" i="1"/>
  <c r="GG128" i="1"/>
  <c r="EI128" i="1"/>
  <c r="FF129" i="1"/>
  <c r="CF129" i="1"/>
  <c r="EV130" i="1"/>
  <c r="DK130" i="1"/>
  <c r="DS131" i="1"/>
  <c r="CT131" i="1"/>
  <c r="GD131" i="1"/>
  <c r="CE131" i="1"/>
  <c r="GC131" i="1"/>
  <c r="CY133" i="1"/>
  <c r="EW133" i="1"/>
  <c r="EK133" i="1"/>
  <c r="DL133" i="1"/>
  <c r="FF133" i="1"/>
  <c r="FE133" i="1"/>
  <c r="EZ134" i="1"/>
  <c r="DB134" i="1"/>
  <c r="EA134" i="1"/>
  <c r="FY134" i="1"/>
  <c r="FS135" i="1"/>
  <c r="DU135" i="1"/>
  <c r="DJ135" i="1"/>
  <c r="CH135" i="1"/>
  <c r="GG135" i="1"/>
  <c r="FZ137" i="1"/>
  <c r="FB137" i="1"/>
  <c r="CB139" i="1"/>
  <c r="EW142" i="1"/>
  <c r="DX142" i="1"/>
  <c r="BW142" i="1"/>
  <c r="CY142" i="1"/>
  <c r="CJ142" i="1"/>
  <c r="GI142" i="1"/>
  <c r="EK142" i="1"/>
  <c r="DL142" i="1"/>
  <c r="FJ142" i="1"/>
  <c r="EP148" i="1"/>
  <c r="FO148" i="1"/>
  <c r="BP148" i="1"/>
  <c r="DF148" i="1"/>
  <c r="EE148" i="1"/>
  <c r="FD148" i="1"/>
  <c r="DQ148" i="1"/>
  <c r="CP150" i="1"/>
  <c r="FM150" i="1"/>
  <c r="EN150" i="1"/>
  <c r="FA150" i="1"/>
  <c r="EB150" i="1"/>
  <c r="CA150" i="1"/>
  <c r="FZ150" i="1"/>
  <c r="DC150" i="1"/>
  <c r="DD153" i="1"/>
  <c r="DC153" i="1"/>
  <c r="DB153" i="1"/>
  <c r="EC153" i="1"/>
  <c r="EB153" i="1"/>
  <c r="EA153" i="1"/>
  <c r="FM155" i="1"/>
  <c r="DO155" i="1"/>
  <c r="CP155" i="1"/>
  <c r="EN155" i="1"/>
  <c r="BN155" i="1"/>
  <c r="FA155" i="1"/>
  <c r="EB155" i="1"/>
  <c r="FZ155" i="1"/>
  <c r="DC155" i="1"/>
  <c r="CA155" i="1"/>
  <c r="BT155" i="1"/>
  <c r="BS155" i="1"/>
  <c r="CZ156" i="1"/>
  <c r="CX156" i="1"/>
  <c r="DW121" i="1"/>
  <c r="FU121" i="1"/>
  <c r="CQ122" i="1"/>
  <c r="DO122" i="1"/>
  <c r="DY122" i="1"/>
  <c r="FM122" i="1"/>
  <c r="FW122" i="1"/>
  <c r="DC123" i="1"/>
  <c r="DQ123" i="1"/>
  <c r="FO123" i="1"/>
  <c r="CT124" i="1"/>
  <c r="DK124" i="1"/>
  <c r="BW125" i="1"/>
  <c r="DC125" i="1"/>
  <c r="EZ126" i="1"/>
  <c r="EE126" i="1"/>
  <c r="FB127" i="1"/>
  <c r="DH127" i="1"/>
  <c r="DJ128" i="1"/>
  <c r="EG129" i="1"/>
  <c r="GG130" i="1"/>
  <c r="BN131" i="1"/>
  <c r="EN131" i="1"/>
  <c r="CP131" i="1"/>
  <c r="DC131" i="1"/>
  <c r="EB131" i="1"/>
  <c r="FA131" i="1"/>
  <c r="FZ131" i="1"/>
  <c r="EV132" i="1"/>
  <c r="DW132" i="1"/>
  <c r="CX132" i="1"/>
  <c r="GH132" i="1"/>
  <c r="CI132" i="1"/>
  <c r="FU132" i="1"/>
  <c r="CR135" i="1"/>
  <c r="EP135" i="1"/>
  <c r="EE135" i="1"/>
  <c r="DF135" i="1"/>
  <c r="CD135" i="1"/>
  <c r="EI135" i="1"/>
  <c r="BW136" i="1"/>
  <c r="FW139" i="1"/>
  <c r="EX139" i="1"/>
  <c r="CZ139" i="1"/>
  <c r="BP139" i="1"/>
  <c r="BO139" i="1"/>
  <c r="CZ140" i="1"/>
  <c r="FW140" i="1"/>
  <c r="EX140" i="1"/>
  <c r="FV142" i="1"/>
  <c r="FF143" i="1"/>
  <c r="BR144" i="1"/>
  <c r="ES145" i="1"/>
  <c r="CU145" i="1"/>
  <c r="CF145" i="1"/>
  <c r="DH145" i="1"/>
  <c r="EG145" i="1"/>
  <c r="DT145" i="1"/>
  <c r="ET147" i="1"/>
  <c r="ES147" i="1"/>
  <c r="FS153" i="1"/>
  <c r="DU153" i="1"/>
  <c r="CV153" i="1"/>
  <c r="DM153" i="1" s="1"/>
  <c r="ET153" i="1"/>
  <c r="BT153" i="1"/>
  <c r="FH153" i="1"/>
  <c r="EI153" i="1"/>
  <c r="CH153" i="1"/>
  <c r="BN154" i="1"/>
  <c r="DO154" i="1"/>
  <c r="EN154" i="1"/>
  <c r="FA154" i="1"/>
  <c r="DC154" i="1"/>
  <c r="EB154" i="1"/>
  <c r="FZ154" i="1"/>
  <c r="FR158" i="1"/>
  <c r="FQ158" i="1"/>
  <c r="ER160" i="1"/>
  <c r="DS160" i="1"/>
  <c r="FQ160" i="1"/>
  <c r="CT160" i="1"/>
  <c r="BR160" i="1"/>
  <c r="CE160" i="1"/>
  <c r="GD160" i="1"/>
  <c r="EF160" i="1"/>
  <c r="DG160" i="1"/>
  <c r="FE160" i="1"/>
  <c r="DX111" i="1"/>
  <c r="DX116" i="1"/>
  <c r="DF119" i="1"/>
  <c r="CX120" i="1"/>
  <c r="DH120" i="1"/>
  <c r="CZ121" i="1"/>
  <c r="DX121" i="1"/>
  <c r="DP122" i="1"/>
  <c r="FN122" i="1"/>
  <c r="CT123" i="1"/>
  <c r="EB123" i="1"/>
  <c r="FZ123" i="1"/>
  <c r="FF124" i="1"/>
  <c r="BT124" i="1"/>
  <c r="CE124" i="1"/>
  <c r="EX125" i="1"/>
  <c r="BX125" i="1"/>
  <c r="FW125" i="1"/>
  <c r="BO126" i="1"/>
  <c r="BZ126" i="1"/>
  <c r="DF126" i="1"/>
  <c r="CB127" i="1"/>
  <c r="CD128" i="1"/>
  <c r="DQ128" i="1"/>
  <c r="BP129" i="1"/>
  <c r="FO129" i="1"/>
  <c r="DQ129" i="1"/>
  <c r="FD129" i="1"/>
  <c r="CD129" i="1"/>
  <c r="CP129" i="1"/>
  <c r="FR130" i="1"/>
  <c r="DT130" i="1"/>
  <c r="CU130" i="1"/>
  <c r="FF130" i="1"/>
  <c r="CH130" i="1"/>
  <c r="FU130" i="1"/>
  <c r="GH130" i="1"/>
  <c r="FN131" i="1"/>
  <c r="DP131" i="1"/>
  <c r="EO131" i="1"/>
  <c r="CQ131" i="1"/>
  <c r="DD131" i="1"/>
  <c r="EC131" i="1"/>
  <c r="FM131" i="1"/>
  <c r="GA131" i="1"/>
  <c r="CJ132" i="1"/>
  <c r="GI132" i="1"/>
  <c r="FI132" i="1"/>
  <c r="FV132" i="1"/>
  <c r="BW133" i="1"/>
  <c r="CJ133" i="1"/>
  <c r="EW134" i="1"/>
  <c r="BZ134" i="1"/>
  <c r="ER135" i="1"/>
  <c r="CT135" i="1"/>
  <c r="DS135" i="1"/>
  <c r="GD135" i="1"/>
  <c r="EF135" i="1"/>
  <c r="CE135" i="1"/>
  <c r="CV135" i="1"/>
  <c r="FO135" i="1"/>
  <c r="EX137" i="1"/>
  <c r="DY137" i="1"/>
  <c r="BX137" i="1"/>
  <c r="EZ139" i="1"/>
  <c r="EA139" i="1"/>
  <c r="FY139" i="1"/>
  <c r="BN139" i="1"/>
  <c r="FY140" i="1"/>
  <c r="EZ140" i="1"/>
  <c r="DB140" i="1"/>
  <c r="EA140" i="1"/>
  <c r="CV143" i="1"/>
  <c r="FS143" i="1"/>
  <c r="DU143" i="1"/>
  <c r="FH143" i="1"/>
  <c r="EI143" i="1"/>
  <c r="BS144" i="1"/>
  <c r="DH144" i="1"/>
  <c r="DS146" i="1"/>
  <c r="DJ147" i="1"/>
  <c r="BS148" i="1"/>
  <c r="FQ148" i="1"/>
  <c r="CZ150" i="1"/>
  <c r="FW150" i="1"/>
  <c r="EX150" i="1"/>
  <c r="DY150" i="1"/>
  <c r="BX150" i="1"/>
  <c r="DW153" i="1"/>
  <c r="FU153" i="1"/>
  <c r="EV153" i="1"/>
  <c r="CX153" i="1"/>
  <c r="BV153" i="1"/>
  <c r="FI153" i="1"/>
  <c r="EJ153" i="1"/>
  <c r="GH153" i="1"/>
  <c r="DK153" i="1"/>
  <c r="CI153" i="1"/>
  <c r="DS153" i="1"/>
  <c r="DP154" i="1"/>
  <c r="EO154" i="1"/>
  <c r="DD154" i="1"/>
  <c r="GA154" i="1"/>
  <c r="EC154" i="1"/>
  <c r="FB154" i="1"/>
  <c r="BT166" i="1"/>
  <c r="BR166" i="1"/>
  <c r="CQ167" i="1"/>
  <c r="CZ167" i="1"/>
  <c r="CP167" i="1"/>
  <c r="EE119" i="1"/>
  <c r="DW120" i="1"/>
  <c r="EG120" i="1"/>
  <c r="DY121" i="1"/>
  <c r="DS123" i="1"/>
  <c r="BN125" i="1"/>
  <c r="FM125" i="1"/>
  <c r="BP126" i="1"/>
  <c r="FD126" i="1"/>
  <c r="FO126" i="1"/>
  <c r="FY126" i="1"/>
  <c r="ER127" i="1"/>
  <c r="BR127" i="1"/>
  <c r="FF127" i="1"/>
  <c r="GA127" i="1"/>
  <c r="ES128" i="1"/>
  <c r="BT128" i="1"/>
  <c r="FE129" i="1"/>
  <c r="CE129" i="1"/>
  <c r="CV130" i="1"/>
  <c r="FS130" i="1"/>
  <c r="DU130" i="1"/>
  <c r="BV130" i="1"/>
  <c r="CI130" i="1"/>
  <c r="CX130" i="1"/>
  <c r="DJ130" i="1"/>
  <c r="CR131" i="1"/>
  <c r="EP131" i="1"/>
  <c r="FD131" i="1"/>
  <c r="EE131" i="1"/>
  <c r="BR131" i="1"/>
  <c r="FO131" i="1"/>
  <c r="FW132" i="1"/>
  <c r="EV133" i="1"/>
  <c r="CX133" i="1"/>
  <c r="DK133" i="1"/>
  <c r="EJ133" i="1"/>
  <c r="FI133" i="1"/>
  <c r="EX134" i="1"/>
  <c r="CZ134" i="1"/>
  <c r="DT135" i="1"/>
  <c r="CU135" i="1"/>
  <c r="CF135" i="1"/>
  <c r="GE135" i="1"/>
  <c r="BT135" i="1"/>
  <c r="GC135" i="1"/>
  <c r="BZ137" i="1"/>
  <c r="FY137" i="1"/>
  <c r="EA137" i="1"/>
  <c r="CP140" i="1"/>
  <c r="FM140" i="1"/>
  <c r="EN140" i="1"/>
  <c r="FA140" i="1"/>
  <c r="EB140" i="1"/>
  <c r="CA140" i="1"/>
  <c r="FZ140" i="1"/>
  <c r="DC140" i="1"/>
  <c r="BO140" i="1"/>
  <c r="EC145" i="1"/>
  <c r="EB145" i="1"/>
  <c r="GE145" i="1"/>
  <c r="CV149" i="1"/>
  <c r="CU149" i="1"/>
  <c r="CT149" i="1"/>
  <c r="FY150" i="1"/>
  <c r="EZ150" i="1"/>
  <c r="DB150" i="1"/>
  <c r="BZ150" i="1"/>
  <c r="BN150" i="1"/>
  <c r="EA150" i="1"/>
  <c r="FR151" i="1"/>
  <c r="FQ151" i="1"/>
  <c r="GG153" i="1"/>
  <c r="EW157" i="1"/>
  <c r="BW157" i="1"/>
  <c r="FV157" i="1"/>
  <c r="CJ157" i="1"/>
  <c r="GI157" i="1"/>
  <c r="EK157" i="1"/>
  <c r="FJ157" i="1"/>
  <c r="CY157" i="1"/>
  <c r="DL157" i="1"/>
  <c r="FR164" i="1"/>
  <c r="ES164" i="1"/>
  <c r="DT164" i="1"/>
  <c r="BS164" i="1"/>
  <c r="CU164" i="1"/>
  <c r="CF164" i="1"/>
  <c r="GE164" i="1"/>
  <c r="EG164" i="1"/>
  <c r="DH164" i="1"/>
  <c r="FF164" i="1"/>
  <c r="DL131" i="1"/>
  <c r="BW131" i="1"/>
  <c r="DD132" i="1"/>
  <c r="CV133" i="1"/>
  <c r="BW134" i="1"/>
  <c r="BN136" i="1"/>
  <c r="FM136" i="1"/>
  <c r="CA136" i="1"/>
  <c r="CJ137" i="1"/>
  <c r="GI137" i="1"/>
  <c r="EK137" i="1"/>
  <c r="FJ137" i="1"/>
  <c r="GD139" i="1"/>
  <c r="EF139" i="1"/>
  <c r="DG139" i="1"/>
  <c r="CE139" i="1"/>
  <c r="CF140" i="1"/>
  <c r="GE140" i="1"/>
  <c r="EG140" i="1"/>
  <c r="ET141" i="1"/>
  <c r="CH141" i="1"/>
  <c r="GG141" i="1"/>
  <c r="EI141" i="1"/>
  <c r="DJ141" i="1"/>
  <c r="CI142" i="1"/>
  <c r="GH142" i="1"/>
  <c r="EJ142" i="1"/>
  <c r="CZ144" i="1"/>
  <c r="EX144" i="1"/>
  <c r="CY146" i="1"/>
  <c r="DX146" i="1"/>
  <c r="EW146" i="1"/>
  <c r="DL146" i="1"/>
  <c r="EK146" i="1"/>
  <c r="EN147" i="1"/>
  <c r="CP147" i="1"/>
  <c r="FZ147" i="1"/>
  <c r="EB147" i="1"/>
  <c r="DC147" i="1"/>
  <c r="FA147" i="1"/>
  <c r="GI148" i="1"/>
  <c r="CJ148" i="1"/>
  <c r="FI149" i="1"/>
  <c r="DK149" i="1"/>
  <c r="GH149" i="1"/>
  <c r="FV150" i="1"/>
  <c r="EW152" i="1"/>
  <c r="FV152" i="1"/>
  <c r="DX152" i="1"/>
  <c r="CY152" i="1"/>
  <c r="GI152" i="1"/>
  <c r="CJ152" i="1"/>
  <c r="FJ152" i="1"/>
  <c r="EK152" i="1"/>
  <c r="DL152" i="1"/>
  <c r="CP159" i="1"/>
  <c r="DO159" i="1"/>
  <c r="EN159" i="1"/>
  <c r="FM159" i="1"/>
  <c r="FA159" i="1"/>
  <c r="EB159" i="1"/>
  <c r="FZ159" i="1"/>
  <c r="CR160" i="1"/>
  <c r="FO160" i="1"/>
  <c r="BP160" i="1"/>
  <c r="DQ160" i="1"/>
  <c r="FD160" i="1"/>
  <c r="GC160" i="1"/>
  <c r="DF160" i="1"/>
  <c r="EE160" i="1"/>
  <c r="CD160" i="1"/>
  <c r="EP162" i="1"/>
  <c r="EO162" i="1"/>
  <c r="ES170" i="1"/>
  <c r="CU170" i="1"/>
  <c r="FR170" i="1"/>
  <c r="DT170" i="1"/>
  <c r="BS170" i="1"/>
  <c r="CF170" i="1"/>
  <c r="GE170" i="1"/>
  <c r="EG170" i="1"/>
  <c r="DH170" i="1"/>
  <c r="FF170" i="1"/>
  <c r="CV145" i="1"/>
  <c r="DU145" i="1"/>
  <c r="ET145" i="1"/>
  <c r="DJ145" i="1"/>
  <c r="GG145" i="1"/>
  <c r="EI145" i="1"/>
  <c r="FE146" i="1"/>
  <c r="BR148" i="1"/>
  <c r="EP154" i="1"/>
  <c r="CR154" i="1"/>
  <c r="DQ154" i="1"/>
  <c r="CD154" i="1"/>
  <c r="GC154" i="1"/>
  <c r="FD154" i="1"/>
  <c r="EE154" i="1"/>
  <c r="DF154" i="1"/>
  <c r="ES161" i="1"/>
  <c r="FR161" i="1"/>
  <c r="CU161" i="1"/>
  <c r="BS161" i="1"/>
  <c r="FF161" i="1"/>
  <c r="GE161" i="1"/>
  <c r="DH161" i="1"/>
  <c r="DU165" i="1"/>
  <c r="ET165" i="1"/>
  <c r="BT165" i="1"/>
  <c r="FS165" i="1"/>
  <c r="GG165" i="1"/>
  <c r="CH165" i="1"/>
  <c r="FH165" i="1"/>
  <c r="DJ165" i="1"/>
  <c r="DD130" i="1"/>
  <c r="GA130" i="1"/>
  <c r="BX132" i="1"/>
  <c r="DF133" i="1"/>
  <c r="EI133" i="1"/>
  <c r="ET133" i="1"/>
  <c r="DH134" i="1"/>
  <c r="BS134" i="1"/>
  <c r="EK134" i="1"/>
  <c r="FI135" i="1"/>
  <c r="DL136" i="1"/>
  <c r="FA136" i="1"/>
  <c r="FF137" i="1"/>
  <c r="CF137" i="1"/>
  <c r="FR137" i="1"/>
  <c r="EA138" i="1"/>
  <c r="CA139" i="1"/>
  <c r="DO139" i="1"/>
  <c r="DP140" i="1"/>
  <c r="CR141" i="1"/>
  <c r="FO141" i="1"/>
  <c r="DQ141" i="1"/>
  <c r="EE141" i="1"/>
  <c r="FH141" i="1"/>
  <c r="CT142" i="1"/>
  <c r="FQ142" i="1"/>
  <c r="DS142" i="1"/>
  <c r="FE142" i="1"/>
  <c r="CX142" i="1"/>
  <c r="DK142" i="1"/>
  <c r="EV143" i="1"/>
  <c r="DW143" i="1"/>
  <c r="FY143" i="1"/>
  <c r="BT144" i="1"/>
  <c r="DU144" i="1"/>
  <c r="DT144" i="1"/>
  <c r="BV145" i="1"/>
  <c r="DW145" i="1"/>
  <c r="CX145" i="1"/>
  <c r="FH145" i="1"/>
  <c r="FU145" i="1"/>
  <c r="FR146" i="1"/>
  <c r="ES146" i="1"/>
  <c r="BS146" i="1"/>
  <c r="FF146" i="1"/>
  <c r="DH146" i="1"/>
  <c r="BW146" i="1"/>
  <c r="EG146" i="1"/>
  <c r="FM146" i="1"/>
  <c r="CA147" i="1"/>
  <c r="FH147" i="1"/>
  <c r="FW147" i="1"/>
  <c r="FR148" i="1"/>
  <c r="DT148" i="1"/>
  <c r="CU148" i="1"/>
  <c r="ES148" i="1"/>
  <c r="EG148" i="1"/>
  <c r="DH148" i="1"/>
  <c r="BW148" i="1"/>
  <c r="EA148" i="1"/>
  <c r="FD149" i="1"/>
  <c r="BN151" i="1"/>
  <c r="FM151" i="1"/>
  <c r="DO151" i="1"/>
  <c r="CP151" i="1"/>
  <c r="EA152" i="1"/>
  <c r="BX157" i="1"/>
  <c r="BV157" i="1"/>
  <c r="FB157" i="1"/>
  <c r="FA157" i="1"/>
  <c r="FS158" i="1"/>
  <c r="DC159" i="1"/>
  <c r="CX165" i="1"/>
  <c r="FU165" i="1"/>
  <c r="BV165" i="1"/>
  <c r="DW165" i="1"/>
  <c r="EV165" i="1"/>
  <c r="CI165" i="1"/>
  <c r="FI165" i="1"/>
  <c r="GH165" i="1"/>
  <c r="EJ165" i="1"/>
  <c r="DK165" i="1"/>
  <c r="EV166" i="1"/>
  <c r="DC129" i="1"/>
  <c r="EC130" i="1"/>
  <c r="ET131" i="1"/>
  <c r="CF131" i="1"/>
  <c r="FJ131" i="1"/>
  <c r="BN132" i="1"/>
  <c r="BR133" i="1"/>
  <c r="CD133" i="1"/>
  <c r="DJ133" i="1"/>
  <c r="BT134" i="1"/>
  <c r="CF134" i="1"/>
  <c r="DL134" i="1"/>
  <c r="BX136" i="1"/>
  <c r="FW136" i="1"/>
  <c r="CJ136" i="1"/>
  <c r="EI137" i="1"/>
  <c r="FH137" i="1"/>
  <c r="GE137" i="1"/>
  <c r="CA138" i="1"/>
  <c r="BZ138" i="1"/>
  <c r="EB138" i="1"/>
  <c r="DP139" i="1"/>
  <c r="CB140" i="1"/>
  <c r="EC140" i="1"/>
  <c r="ER141" i="1"/>
  <c r="CV141" i="1"/>
  <c r="EF141" i="1"/>
  <c r="FF142" i="1"/>
  <c r="BV142" i="1"/>
  <c r="DW142" i="1"/>
  <c r="EW143" i="1"/>
  <c r="CJ143" i="1"/>
  <c r="DX143" i="1"/>
  <c r="EJ143" i="1"/>
  <c r="EZ143" i="1"/>
  <c r="BX144" i="1"/>
  <c r="DS144" i="1"/>
  <c r="FV145" i="1"/>
  <c r="CQ145" i="1"/>
  <c r="FI145" i="1"/>
  <c r="ET146" i="1"/>
  <c r="FS146" i="1"/>
  <c r="CH146" i="1"/>
  <c r="DJ146" i="1"/>
  <c r="EI146" i="1"/>
  <c r="FH146" i="1"/>
  <c r="EZ146" i="1"/>
  <c r="DO147" i="1"/>
  <c r="CV148" i="1"/>
  <c r="DU148" i="1"/>
  <c r="FH148" i="1"/>
  <c r="GG148" i="1"/>
  <c r="EB148" i="1"/>
  <c r="FF148" i="1"/>
  <c r="DH149" i="1"/>
  <c r="FE149" i="1"/>
  <c r="FQ150" i="1"/>
  <c r="GG150" i="1"/>
  <c r="CV152" i="1"/>
  <c r="DU152" i="1"/>
  <c r="BT152" i="1"/>
  <c r="GG152" i="1"/>
  <c r="EI152" i="1"/>
  <c r="CH152" i="1"/>
  <c r="DJ152" i="1"/>
  <c r="DS154" i="1"/>
  <c r="EZ157" i="1"/>
  <c r="CX158" i="1"/>
  <c r="EV158" i="1"/>
  <c r="BV158" i="1"/>
  <c r="DW158" i="1"/>
  <c r="FI158" i="1"/>
  <c r="EJ158" i="1"/>
  <c r="DK158" i="1"/>
  <c r="CI158" i="1"/>
  <c r="CZ159" i="1"/>
  <c r="BX159" i="1"/>
  <c r="DY159" i="1"/>
  <c r="CA159" i="1"/>
  <c r="EG161" i="1"/>
  <c r="FH161" i="1"/>
  <c r="FM162" i="1"/>
  <c r="BZ163" i="1"/>
  <c r="DF164" i="1"/>
  <c r="FQ167" i="1"/>
  <c r="BR167" i="1"/>
  <c r="CT167" i="1"/>
  <c r="DS167" i="1"/>
  <c r="ER167" i="1"/>
  <c r="GD167" i="1"/>
  <c r="EF167" i="1"/>
  <c r="DG167" i="1"/>
  <c r="CE167" i="1"/>
  <c r="FE167" i="1"/>
  <c r="DX127" i="1"/>
  <c r="EB129" i="1"/>
  <c r="DF130" i="1"/>
  <c r="GH131" i="1"/>
  <c r="EJ131" i="1"/>
  <c r="FZ132" i="1"/>
  <c r="EB132" i="1"/>
  <c r="CA132" i="1"/>
  <c r="FY132" i="1"/>
  <c r="FR133" i="1"/>
  <c r="DT133" i="1"/>
  <c r="BT133" i="1"/>
  <c r="FS133" i="1"/>
  <c r="GC133" i="1"/>
  <c r="CX134" i="1"/>
  <c r="BV134" i="1"/>
  <c r="GE134" i="1"/>
  <c r="CZ135" i="1"/>
  <c r="BX135" i="1"/>
  <c r="FU135" i="1"/>
  <c r="DB136" i="1"/>
  <c r="CI137" i="1"/>
  <c r="BW137" i="1"/>
  <c r="DX137" i="1"/>
  <c r="EJ137" i="1"/>
  <c r="FI137" i="1"/>
  <c r="CB138" i="1"/>
  <c r="GA138" i="1"/>
  <c r="EC138" i="1"/>
  <c r="FA138" i="1"/>
  <c r="EP139" i="1"/>
  <c r="CD139" i="1"/>
  <c r="GC139" i="1"/>
  <c r="EE139" i="1"/>
  <c r="DQ139" i="1"/>
  <c r="EB139" i="1"/>
  <c r="EN139" i="1"/>
  <c r="CE140" i="1"/>
  <c r="GD140" i="1"/>
  <c r="BR140" i="1"/>
  <c r="CF141" i="1"/>
  <c r="BT141" i="1"/>
  <c r="DU141" i="1"/>
  <c r="EG141" i="1"/>
  <c r="ET142" i="1"/>
  <c r="CH142" i="1"/>
  <c r="FM142" i="1"/>
  <c r="EX143" i="1"/>
  <c r="DB143" i="1"/>
  <c r="DY143" i="1"/>
  <c r="EK143" i="1"/>
  <c r="FV144" i="1"/>
  <c r="CY144" i="1"/>
  <c r="FJ144" i="1"/>
  <c r="GI144" i="1"/>
  <c r="DL144" i="1"/>
  <c r="EW144" i="1"/>
  <c r="CZ145" i="1"/>
  <c r="FW145" i="1"/>
  <c r="DY145" i="1"/>
  <c r="BO145" i="1"/>
  <c r="BN145" i="1"/>
  <c r="EV145" i="1"/>
  <c r="EV146" i="1"/>
  <c r="CX146" i="1"/>
  <c r="GH146" i="1"/>
  <c r="EJ146" i="1"/>
  <c r="DK146" i="1"/>
  <c r="DW146" i="1"/>
  <c r="GE146" i="1"/>
  <c r="BZ147" i="1"/>
  <c r="EZ147" i="1"/>
  <c r="DB147" i="1"/>
  <c r="EA147" i="1"/>
  <c r="BN147" i="1"/>
  <c r="FM147" i="1"/>
  <c r="FY147" i="1"/>
  <c r="GH148" i="1"/>
  <c r="CI148" i="1"/>
  <c r="FV148" i="1"/>
  <c r="FU149" i="1"/>
  <c r="DG151" i="1"/>
  <c r="DF151" i="1"/>
  <c r="FA151" i="1"/>
  <c r="DW152" i="1"/>
  <c r="CX152" i="1"/>
  <c r="EV152" i="1"/>
  <c r="BV152" i="1"/>
  <c r="GH152" i="1"/>
  <c r="CI152" i="1"/>
  <c r="DK152" i="1"/>
  <c r="FI152" i="1"/>
  <c r="EJ152" i="1"/>
  <c r="CB153" i="1"/>
  <c r="EW158" i="1"/>
  <c r="DX158" i="1"/>
  <c r="FV158" i="1"/>
  <c r="BW158" i="1"/>
  <c r="FJ158" i="1"/>
  <c r="EK158" i="1"/>
  <c r="DL158" i="1"/>
  <c r="FF158" i="1"/>
  <c r="FE158" i="1"/>
  <c r="FD158" i="1"/>
  <c r="EZ159" i="1"/>
  <c r="EA159" i="1"/>
  <c r="FY159" i="1"/>
  <c r="BN159" i="1"/>
  <c r="DT161" i="1"/>
  <c r="FI161" i="1"/>
  <c r="FN162" i="1"/>
  <c r="FR167" i="1"/>
  <c r="CU167" i="1"/>
  <c r="BS167" i="1"/>
  <c r="DT167" i="1"/>
  <c r="ES167" i="1"/>
  <c r="FF167" i="1"/>
  <c r="GE167" i="1"/>
  <c r="DH167" i="1"/>
  <c r="EG167" i="1"/>
  <c r="CF167" i="1"/>
  <c r="EK141" i="1"/>
  <c r="GI141" i="1"/>
  <c r="BS143" i="1"/>
  <c r="DW144" i="1"/>
  <c r="ER144" i="1"/>
  <c r="FO145" i="1"/>
  <c r="BW147" i="1"/>
  <c r="GD149" i="1"/>
  <c r="EF149" i="1"/>
  <c r="DG149" i="1"/>
  <c r="CE149" i="1"/>
  <c r="CF150" i="1"/>
  <c r="GE150" i="1"/>
  <c r="EG150" i="1"/>
  <c r="CQ150" i="1"/>
  <c r="FN150" i="1"/>
  <c r="CF151" i="1"/>
  <c r="DT151" i="1"/>
  <c r="CU152" i="1"/>
  <c r="ES152" i="1"/>
  <c r="EG152" i="1"/>
  <c r="DH152" i="1"/>
  <c r="CA153" i="1"/>
  <c r="FE155" i="1"/>
  <c r="ES156" i="1"/>
  <c r="FR156" i="1"/>
  <c r="EG156" i="1"/>
  <c r="CI157" i="1"/>
  <c r="DT160" i="1"/>
  <c r="CX162" i="1"/>
  <c r="EV162" i="1"/>
  <c r="FU162" i="1"/>
  <c r="EJ162" i="1"/>
  <c r="DK162" i="1"/>
  <c r="FI162" i="1"/>
  <c r="GH162" i="1"/>
  <c r="CP163" i="1"/>
  <c r="DO163" i="1"/>
  <c r="EN163" i="1"/>
  <c r="EB163" i="1"/>
  <c r="FA163" i="1"/>
  <c r="DC163" i="1"/>
  <c r="FE165" i="1"/>
  <c r="FD165" i="1"/>
  <c r="CT154" i="1"/>
  <c r="FQ154" i="1"/>
  <c r="ER154" i="1"/>
  <c r="CE154" i="1"/>
  <c r="GD154" i="1"/>
  <c r="EF154" i="1"/>
  <c r="FE154" i="1"/>
  <c r="ER155" i="1"/>
  <c r="CT155" i="1"/>
  <c r="EF155" i="1"/>
  <c r="EX158" i="1"/>
  <c r="DY158" i="1"/>
  <c r="BP158" i="1"/>
  <c r="BO158" i="1"/>
  <c r="BN158" i="1"/>
  <c r="ER159" i="1"/>
  <c r="FQ159" i="1"/>
  <c r="CT159" i="1"/>
  <c r="CE159" i="1"/>
  <c r="GD159" i="1"/>
  <c r="EF159" i="1"/>
  <c r="DG159" i="1"/>
  <c r="FE159" i="1"/>
  <c r="BR159" i="1"/>
  <c r="CF160" i="1"/>
  <c r="GE160" i="1"/>
  <c r="EG160" i="1"/>
  <c r="CJ166" i="1"/>
  <c r="CH166" i="1"/>
  <c r="DX141" i="1"/>
  <c r="FV141" i="1"/>
  <c r="CR142" i="1"/>
  <c r="DB142" i="1"/>
  <c r="DD143" i="1"/>
  <c r="GD144" i="1"/>
  <c r="FU144" i="1"/>
  <c r="DF145" i="1"/>
  <c r="EP145" i="1"/>
  <c r="BN146" i="1"/>
  <c r="CA146" i="1"/>
  <c r="FF147" i="1"/>
  <c r="DL147" i="1"/>
  <c r="EX148" i="1"/>
  <c r="BX148" i="1"/>
  <c r="DD148" i="1"/>
  <c r="FW148" i="1"/>
  <c r="CA149" i="1"/>
  <c r="DO149" i="1"/>
  <c r="DP150" i="1"/>
  <c r="FN151" i="1"/>
  <c r="DP151" i="1"/>
  <c r="CQ151" i="1"/>
  <c r="FB151" i="1"/>
  <c r="EC151" i="1"/>
  <c r="FF151" i="1"/>
  <c r="GE151" i="1"/>
  <c r="BS152" i="1"/>
  <c r="CF152" i="1"/>
  <c r="CJ153" i="1"/>
  <c r="ER153" i="1"/>
  <c r="FY153" i="1"/>
  <c r="FR154" i="1"/>
  <c r="ES154" i="1"/>
  <c r="DT154" i="1"/>
  <c r="CU154" i="1"/>
  <c r="GE154" i="1"/>
  <c r="EG154" i="1"/>
  <c r="DH154" i="1"/>
  <c r="FF154" i="1"/>
  <c r="ES155" i="1"/>
  <c r="CU155" i="1"/>
  <c r="CF155" i="1"/>
  <c r="GE155" i="1"/>
  <c r="EG155" i="1"/>
  <c r="DH155" i="1"/>
  <c r="BO156" i="1"/>
  <c r="FN156" i="1"/>
  <c r="DP156" i="1"/>
  <c r="CQ156" i="1"/>
  <c r="EO156" i="1"/>
  <c r="DD156" i="1"/>
  <c r="GA156" i="1"/>
  <c r="FB156" i="1"/>
  <c r="BR156" i="1"/>
  <c r="FW158" i="1"/>
  <c r="ET160" i="1"/>
  <c r="DU160" i="1"/>
  <c r="GG160" i="1"/>
  <c r="EI160" i="1"/>
  <c r="DJ160" i="1"/>
  <c r="CH160" i="1"/>
  <c r="DD162" i="1"/>
  <c r="DC162" i="1"/>
  <c r="DB162" i="1"/>
  <c r="EZ162" i="1"/>
  <c r="EW163" i="1"/>
  <c r="CY163" i="1"/>
  <c r="FV163" i="1"/>
  <c r="BW163" i="1"/>
  <c r="DX163" i="1"/>
  <c r="FJ163" i="1"/>
  <c r="DL163" i="1"/>
  <c r="EK163" i="1"/>
  <c r="GI163" i="1"/>
  <c r="CJ163" i="1"/>
  <c r="EP166" i="1"/>
  <c r="BP166" i="1"/>
  <c r="CR166" i="1"/>
  <c r="DF166" i="1"/>
  <c r="EE166" i="1"/>
  <c r="FD166" i="1"/>
  <c r="GC166" i="1"/>
  <c r="DQ166" i="1"/>
  <c r="FY167" i="1"/>
  <c r="DC137" i="1"/>
  <c r="DW140" i="1"/>
  <c r="FU140" i="1"/>
  <c r="DY141" i="1"/>
  <c r="FW141" i="1"/>
  <c r="DC142" i="1"/>
  <c r="DQ142" i="1"/>
  <c r="EA142" i="1"/>
  <c r="FO142" i="1"/>
  <c r="FY142" i="1"/>
  <c r="CU143" i="1"/>
  <c r="EC143" i="1"/>
  <c r="GA143" i="1"/>
  <c r="DG144" i="1"/>
  <c r="CP145" i="1"/>
  <c r="BZ145" i="1"/>
  <c r="FM145" i="1"/>
  <c r="FN146" i="1"/>
  <c r="DP146" i="1"/>
  <c r="CB146" i="1"/>
  <c r="FQ146" i="1"/>
  <c r="CF147" i="1"/>
  <c r="FJ147" i="1"/>
  <c r="GE147" i="1"/>
  <c r="FB148" i="1"/>
  <c r="DP149" i="1"/>
  <c r="CB150" i="1"/>
  <c r="EC150" i="1"/>
  <c r="CR151" i="1"/>
  <c r="FO151" i="1"/>
  <c r="DQ151" i="1"/>
  <c r="DT152" i="1"/>
  <c r="EX153" i="1"/>
  <c r="DY153" i="1"/>
  <c r="BP153" i="1"/>
  <c r="BO153" i="1"/>
  <c r="CP153" i="1"/>
  <c r="DO153" i="1"/>
  <c r="FZ153" i="1"/>
  <c r="BT154" i="1"/>
  <c r="CV155" i="1"/>
  <c r="GG155" i="1"/>
  <c r="EI155" i="1"/>
  <c r="DJ155" i="1"/>
  <c r="CH155" i="1"/>
  <c r="FQ155" i="1"/>
  <c r="FO156" i="1"/>
  <c r="DQ156" i="1"/>
  <c r="CR156" i="1"/>
  <c r="FD156" i="1"/>
  <c r="GC156" i="1"/>
  <c r="BS156" i="1"/>
  <c r="CF156" i="1"/>
  <c r="EE156" i="1"/>
  <c r="CU157" i="1"/>
  <c r="FR157" i="1"/>
  <c r="DT157" i="1"/>
  <c r="BS157" i="1"/>
  <c r="FF157" i="1"/>
  <c r="GE157" i="1"/>
  <c r="EG157" i="1"/>
  <c r="ES157" i="1"/>
  <c r="EV160" i="1"/>
  <c r="FA162" i="1"/>
  <c r="CZ163" i="1"/>
  <c r="DY163" i="1"/>
  <c r="EX163" i="1"/>
  <c r="FW163" i="1"/>
  <c r="BX163" i="1"/>
  <c r="EE163" i="1"/>
  <c r="EV164" i="1"/>
  <c r="FO171" i="1"/>
  <c r="DQ171" i="1"/>
  <c r="CR171" i="1"/>
  <c r="EP171" i="1"/>
  <c r="BP171" i="1"/>
  <c r="FD171" i="1"/>
  <c r="EE171" i="1"/>
  <c r="GC171" i="1"/>
  <c r="CD171" i="1"/>
  <c r="CX171" i="1"/>
  <c r="CY171" i="1"/>
  <c r="CZ171" i="1"/>
  <c r="FO174" i="1"/>
  <c r="FN174" i="1"/>
  <c r="DX135" i="1"/>
  <c r="EB137" i="1"/>
  <c r="DX140" i="1"/>
  <c r="EB142" i="1"/>
  <c r="DT143" i="1"/>
  <c r="EF144" i="1"/>
  <c r="FB145" i="1"/>
  <c r="CR146" i="1"/>
  <c r="FD146" i="1"/>
  <c r="DO146" i="1"/>
  <c r="EV147" i="1"/>
  <c r="BV147" i="1"/>
  <c r="FU147" i="1"/>
  <c r="EN148" i="1"/>
  <c r="BO148" i="1"/>
  <c r="BZ148" i="1"/>
  <c r="EP149" i="1"/>
  <c r="CD149" i="1"/>
  <c r="GC149" i="1"/>
  <c r="EE149" i="1"/>
  <c r="DQ149" i="1"/>
  <c r="EB149" i="1"/>
  <c r="EN149" i="1"/>
  <c r="BR150" i="1"/>
  <c r="ER151" i="1"/>
  <c r="BS151" i="1"/>
  <c r="CU151" i="1"/>
  <c r="DH151" i="1"/>
  <c r="DS151" i="1"/>
  <c r="EE151" i="1"/>
  <c r="FQ152" i="1"/>
  <c r="DS152" i="1"/>
  <c r="ER152" i="1"/>
  <c r="CT152" i="1"/>
  <c r="DG152" i="1"/>
  <c r="EF152" i="1"/>
  <c r="FB152" i="1"/>
  <c r="FA152" i="1"/>
  <c r="BZ153" i="1"/>
  <c r="BN153" i="1"/>
  <c r="EW153" i="1"/>
  <c r="DS155" i="1"/>
  <c r="FR155" i="1"/>
  <c r="CT156" i="1"/>
  <c r="FQ156" i="1"/>
  <c r="FE156" i="1"/>
  <c r="GD156" i="1"/>
  <c r="EF156" i="1"/>
  <c r="CV157" i="1"/>
  <c r="FS157" i="1"/>
  <c r="FH157" i="1"/>
  <c r="GG157" i="1"/>
  <c r="ET157" i="1"/>
  <c r="FO157" i="1"/>
  <c r="FN157" i="1"/>
  <c r="CT158" i="1"/>
  <c r="CV162" i="1"/>
  <c r="ET162" i="1"/>
  <c r="FS162" i="1"/>
  <c r="BT162" i="1"/>
  <c r="FH162" i="1"/>
  <c r="DJ162" i="1"/>
  <c r="EI162" i="1"/>
  <c r="GG162" i="1"/>
  <c r="CH162" i="1"/>
  <c r="EZ163" i="1"/>
  <c r="EA163" i="1"/>
  <c r="DB163" i="1"/>
  <c r="BN163" i="1"/>
  <c r="FZ163" i="1"/>
  <c r="EW164" i="1"/>
  <c r="CP171" i="1"/>
  <c r="FD173" i="1"/>
  <c r="FM174" i="1"/>
  <c r="FY152" i="1"/>
  <c r="BR153" i="1"/>
  <c r="EZ154" i="1"/>
  <c r="BZ155" i="1"/>
  <c r="BX156" i="1"/>
  <c r="GA157" i="1"/>
  <c r="FJ159" i="1"/>
  <c r="CQ160" i="1"/>
  <c r="FN160" i="1"/>
  <c r="DP160" i="1"/>
  <c r="BX161" i="1"/>
  <c r="ER164" i="1"/>
  <c r="DS164" i="1"/>
  <c r="FQ164" i="1"/>
  <c r="CE164" i="1"/>
  <c r="GD164" i="1"/>
  <c r="EF164" i="1"/>
  <c r="FE164" i="1"/>
  <c r="DT165" i="1"/>
  <c r="ES165" i="1"/>
  <c r="DH165" i="1"/>
  <c r="GE165" i="1"/>
  <c r="EG165" i="1"/>
  <c r="FF165" i="1"/>
  <c r="EZ169" i="1"/>
  <c r="EA169" i="1"/>
  <c r="BZ169" i="1"/>
  <c r="DB169" i="1"/>
  <c r="EX162" i="1"/>
  <c r="DY162" i="1"/>
  <c r="CZ162" i="1"/>
  <c r="FE162" i="1"/>
  <c r="FD162" i="1"/>
  <c r="DP163" i="1"/>
  <c r="CQ163" i="1"/>
  <c r="FS167" i="1"/>
  <c r="CV167" i="1"/>
  <c r="BT167" i="1"/>
  <c r="DU167" i="1"/>
  <c r="ET167" i="1"/>
  <c r="FH167" i="1"/>
  <c r="CH167" i="1"/>
  <c r="GG167" i="1"/>
  <c r="DJ167" i="1"/>
  <c r="EI167" i="1"/>
  <c r="FN167" i="1"/>
  <c r="FM167" i="1"/>
  <c r="EN153" i="1"/>
  <c r="CT153" i="1"/>
  <c r="BV155" i="1"/>
  <c r="FU155" i="1"/>
  <c r="DW155" i="1"/>
  <c r="EA155" i="1"/>
  <c r="ET156" i="1"/>
  <c r="CH156" i="1"/>
  <c r="GG156" i="1"/>
  <c r="EI156" i="1"/>
  <c r="BP157" i="1"/>
  <c r="BO157" i="1"/>
  <c r="DY157" i="1"/>
  <c r="FY158" i="1"/>
  <c r="FW160" i="1"/>
  <c r="ET161" i="1"/>
  <c r="CH161" i="1"/>
  <c r="GG161" i="1"/>
  <c r="EI161" i="1"/>
  <c r="CY161" i="1"/>
  <c r="DW161" i="1"/>
  <c r="EZ161" i="1"/>
  <c r="BN162" i="1"/>
  <c r="EP163" i="1"/>
  <c r="DQ163" i="1"/>
  <c r="CD163" i="1"/>
  <c r="GC163" i="1"/>
  <c r="CT163" i="1"/>
  <c r="CH164" i="1"/>
  <c r="CT164" i="1"/>
  <c r="EO165" i="1"/>
  <c r="CQ165" i="1"/>
  <c r="DP165" i="1"/>
  <c r="BO165" i="1"/>
  <c r="DD165" i="1"/>
  <c r="EC165" i="1"/>
  <c r="FB165" i="1"/>
  <c r="CB165" i="1"/>
  <c r="BS165" i="1"/>
  <c r="EV167" i="1"/>
  <c r="CX167" i="1"/>
  <c r="FU167" i="1"/>
  <c r="DW167" i="1"/>
  <c r="FI167" i="1"/>
  <c r="GH167" i="1"/>
  <c r="DK167" i="1"/>
  <c r="CI167" i="1"/>
  <c r="EJ167" i="1"/>
  <c r="FY169" i="1"/>
  <c r="CU172" i="1"/>
  <c r="BS172" i="1"/>
  <c r="ES172" i="1"/>
  <c r="FR172" i="1"/>
  <c r="DT172" i="1"/>
  <c r="FF172" i="1"/>
  <c r="CF172" i="1"/>
  <c r="EG172" i="1"/>
  <c r="GE172" i="1"/>
  <c r="DH172" i="1"/>
  <c r="DW150" i="1"/>
  <c r="FU150" i="1"/>
  <c r="DY151" i="1"/>
  <c r="FW151" i="1"/>
  <c r="EO153" i="1"/>
  <c r="FE153" i="1"/>
  <c r="GD153" i="1"/>
  <c r="FJ154" i="1"/>
  <c r="BW154" i="1"/>
  <c r="BW155" i="1"/>
  <c r="CI155" i="1"/>
  <c r="CI156" i="1"/>
  <c r="GH156" i="1"/>
  <c r="EJ156" i="1"/>
  <c r="DK156" i="1"/>
  <c r="DW156" i="1"/>
  <c r="BZ157" i="1"/>
  <c r="FY157" i="1"/>
  <c r="EA157" i="1"/>
  <c r="BN157" i="1"/>
  <c r="CP157" i="1"/>
  <c r="CA158" i="1"/>
  <c r="DB158" i="1"/>
  <c r="FM158" i="1"/>
  <c r="FZ158" i="1"/>
  <c r="BT159" i="1"/>
  <c r="BO160" i="1"/>
  <c r="GA160" i="1"/>
  <c r="CI161" i="1"/>
  <c r="GH161" i="1"/>
  <c r="EJ161" i="1"/>
  <c r="DK161" i="1"/>
  <c r="EN161" i="1"/>
  <c r="FA161" i="1"/>
  <c r="EN162" i="1"/>
  <c r="DO162" i="1"/>
  <c r="FZ162" i="1"/>
  <c r="CA162" i="1"/>
  <c r="BO162" i="1"/>
  <c r="CP162" i="1"/>
  <c r="FW162" i="1"/>
  <c r="BR163" i="1"/>
  <c r="FQ163" i="1"/>
  <c r="EO164" i="1"/>
  <c r="BO164" i="1"/>
  <c r="FB164" i="1"/>
  <c r="EC164" i="1"/>
  <c r="BR164" i="1"/>
  <c r="CI164" i="1"/>
  <c r="EP165" i="1"/>
  <c r="CR165" i="1"/>
  <c r="DQ165" i="1"/>
  <c r="BP165" i="1"/>
  <c r="CD165" i="1"/>
  <c r="EE165" i="1"/>
  <c r="DF165" i="1"/>
  <c r="EW167" i="1"/>
  <c r="CY167" i="1"/>
  <c r="FJ167" i="1"/>
  <c r="EK167" i="1"/>
  <c r="DL167" i="1"/>
  <c r="GI167" i="1"/>
  <c r="CJ167" i="1"/>
  <c r="CX168" i="1"/>
  <c r="EV168" i="1"/>
  <c r="DW168" i="1"/>
  <c r="FU168" i="1"/>
  <c r="BV168" i="1"/>
  <c r="FI168" i="1"/>
  <c r="EJ168" i="1"/>
  <c r="EX170" i="1"/>
  <c r="EW170" i="1"/>
  <c r="BT172" i="1"/>
  <c r="ET172" i="1"/>
  <c r="FS172" i="1"/>
  <c r="DU172" i="1"/>
  <c r="CH172" i="1"/>
  <c r="FH172" i="1"/>
  <c r="EI172" i="1"/>
  <c r="DJ172" i="1"/>
  <c r="GG172" i="1"/>
  <c r="DX145" i="1"/>
  <c r="DX150" i="1"/>
  <c r="GA152" i="1"/>
  <c r="EC152" i="1"/>
  <c r="GC153" i="1"/>
  <c r="EE153" i="1"/>
  <c r="DF153" i="1"/>
  <c r="CJ154" i="1"/>
  <c r="FW155" i="1"/>
  <c r="GI156" i="1"/>
  <c r="EK156" i="1"/>
  <c r="DL156" i="1"/>
  <c r="CJ156" i="1"/>
  <c r="DX156" i="1"/>
  <c r="CB158" i="1"/>
  <c r="GA158" i="1"/>
  <c r="EC158" i="1"/>
  <c r="CP158" i="1"/>
  <c r="DC158" i="1"/>
  <c r="FA158" i="1"/>
  <c r="FN158" i="1"/>
  <c r="FM160" i="1"/>
  <c r="DO160" i="1"/>
  <c r="CP160" i="1"/>
  <c r="BN160" i="1"/>
  <c r="CB160" i="1"/>
  <c r="DD160" i="1"/>
  <c r="BW161" i="1"/>
  <c r="GI161" i="1"/>
  <c r="EK161" i="1"/>
  <c r="DL161" i="1"/>
  <c r="CJ161" i="1"/>
  <c r="EP164" i="1"/>
  <c r="DQ164" i="1"/>
  <c r="CD164" i="1"/>
  <c r="EE164" i="1"/>
  <c r="GC164" i="1"/>
  <c r="FD164" i="1"/>
  <c r="DS165" i="1"/>
  <c r="CT165" i="1"/>
  <c r="ER165" i="1"/>
  <c r="GD165" i="1"/>
  <c r="EF165" i="1"/>
  <c r="DG165" i="1"/>
  <c r="FV167" i="1"/>
  <c r="CH169" i="1"/>
  <c r="EV170" i="1"/>
  <c r="EV172" i="1"/>
  <c r="DW172" i="1"/>
  <c r="BV172" i="1"/>
  <c r="CI172" i="1"/>
  <c r="EJ172" i="1"/>
  <c r="FI172" i="1"/>
  <c r="GH172" i="1"/>
  <c r="DK172" i="1"/>
  <c r="BR157" i="1"/>
  <c r="BT158" i="1"/>
  <c r="DX159" i="1"/>
  <c r="FV159" i="1"/>
  <c r="FR162" i="1"/>
  <c r="DT162" i="1"/>
  <c r="BV163" i="1"/>
  <c r="FA164" i="1"/>
  <c r="CA164" i="1"/>
  <c r="BN165" i="1"/>
  <c r="EN165" i="1"/>
  <c r="FM165" i="1"/>
  <c r="FA165" i="1"/>
  <c r="DC165" i="1"/>
  <c r="EB165" i="1"/>
  <c r="CP165" i="1"/>
  <c r="BV166" i="1"/>
  <c r="FU166" i="1"/>
  <c r="DW166" i="1"/>
  <c r="GH166" i="1"/>
  <c r="CI166" i="1"/>
  <c r="FS168" i="1"/>
  <c r="DU168" i="1"/>
  <c r="CV168" i="1"/>
  <c r="ET168" i="1"/>
  <c r="BT168" i="1"/>
  <c r="FH168" i="1"/>
  <c r="DJ168" i="1"/>
  <c r="EI168" i="1"/>
  <c r="CH168" i="1"/>
  <c r="ER170" i="1"/>
  <c r="FQ170" i="1"/>
  <c r="DS170" i="1"/>
  <c r="CT170" i="1"/>
  <c r="BR170" i="1"/>
  <c r="CE170" i="1"/>
  <c r="DG170" i="1"/>
  <c r="GD170" i="1"/>
  <c r="FE170" i="1"/>
  <c r="BO171" i="1"/>
  <c r="FN171" i="1"/>
  <c r="DP171" i="1"/>
  <c r="CQ171" i="1"/>
  <c r="GA171" i="1"/>
  <c r="EC171" i="1"/>
  <c r="DD171" i="1"/>
  <c r="EF172" i="1"/>
  <c r="EE172" i="1"/>
  <c r="CZ174" i="1"/>
  <c r="FW174" i="1"/>
  <c r="DY174" i="1"/>
  <c r="EX174" i="1"/>
  <c r="BP174" i="1"/>
  <c r="BO174" i="1"/>
  <c r="BN174" i="1"/>
  <c r="EX167" i="1"/>
  <c r="BX167" i="1"/>
  <c r="DY167" i="1"/>
  <c r="EP169" i="1"/>
  <c r="FO169" i="1"/>
  <c r="DQ169" i="1"/>
  <c r="CR169" i="1"/>
  <c r="CD169" i="1"/>
  <c r="GC169" i="1"/>
  <c r="EE169" i="1"/>
  <c r="DF169" i="1"/>
  <c r="FD169" i="1"/>
  <c r="EW172" i="1"/>
  <c r="DX172" i="1"/>
  <c r="FV172" i="1"/>
  <c r="CY172" i="1"/>
  <c r="BW172" i="1"/>
  <c r="CJ172" i="1"/>
  <c r="GI172" i="1"/>
  <c r="EK172" i="1"/>
  <c r="FJ172" i="1"/>
  <c r="EO173" i="1"/>
  <c r="CQ173" i="1"/>
  <c r="FN173" i="1"/>
  <c r="BO173" i="1"/>
  <c r="CB173" i="1"/>
  <c r="GA173" i="1"/>
  <c r="EC173" i="1"/>
  <c r="DD173" i="1"/>
  <c r="CY155" i="1"/>
  <c r="DY156" i="1"/>
  <c r="FW156" i="1"/>
  <c r="DC157" i="1"/>
  <c r="DW160" i="1"/>
  <c r="FU160" i="1"/>
  <c r="CQ161" i="1"/>
  <c r="DY161" i="1"/>
  <c r="FW161" i="1"/>
  <c r="CB162" i="1"/>
  <c r="DH162" i="1"/>
  <c r="ES162" i="1"/>
  <c r="GD163" i="1"/>
  <c r="EF163" i="1"/>
  <c r="EJ163" i="1"/>
  <c r="ER166" i="1"/>
  <c r="CT166" i="1"/>
  <c r="DG166" i="1"/>
  <c r="EF166" i="1"/>
  <c r="FQ166" i="1"/>
  <c r="GD166" i="1"/>
  <c r="DB168" i="1"/>
  <c r="CT169" i="1"/>
  <c r="FQ169" i="1"/>
  <c r="ER169" i="1"/>
  <c r="CE169" i="1"/>
  <c r="GD169" i="1"/>
  <c r="EF169" i="1"/>
  <c r="DG169" i="1"/>
  <c r="EF170" i="1"/>
  <c r="DY172" i="1"/>
  <c r="FW172" i="1"/>
  <c r="EX172" i="1"/>
  <c r="CZ172" i="1"/>
  <c r="BP172" i="1"/>
  <c r="BN172" i="1"/>
  <c r="CR173" i="1"/>
  <c r="CX173" i="1"/>
  <c r="CP173" i="1"/>
  <c r="DX155" i="1"/>
  <c r="FV155" i="1"/>
  <c r="DB156" i="1"/>
  <c r="CT157" i="1"/>
  <c r="DD157" i="1"/>
  <c r="EB157" i="1"/>
  <c r="FZ157" i="1"/>
  <c r="CV158" i="1"/>
  <c r="DF158" i="1"/>
  <c r="DH159" i="1"/>
  <c r="DX160" i="1"/>
  <c r="FV160" i="1"/>
  <c r="DB161" i="1"/>
  <c r="DP161" i="1"/>
  <c r="FN161" i="1"/>
  <c r="DF162" i="1"/>
  <c r="GA162" i="1"/>
  <c r="DH163" i="1"/>
  <c r="BS163" i="1"/>
  <c r="CE163" i="1"/>
  <c r="DK163" i="1"/>
  <c r="EV163" i="1"/>
  <c r="GE163" i="1"/>
  <c r="BX165" i="1"/>
  <c r="CA165" i="1"/>
  <c r="DO165" i="1"/>
  <c r="CU166" i="1"/>
  <c r="DT166" i="1"/>
  <c r="ES166" i="1"/>
  <c r="CF166" i="1"/>
  <c r="EG166" i="1"/>
  <c r="DH166" i="1"/>
  <c r="FE166" i="1"/>
  <c r="FR166" i="1"/>
  <c r="GE166" i="1"/>
  <c r="BS169" i="1"/>
  <c r="EO171" i="1"/>
  <c r="FB171" i="1"/>
  <c r="BZ172" i="1"/>
  <c r="FY172" i="1"/>
  <c r="EA172" i="1"/>
  <c r="EZ172" i="1"/>
  <c r="DB172" i="1"/>
  <c r="DW154" i="1"/>
  <c r="DY155" i="1"/>
  <c r="EA156" i="1"/>
  <c r="DS157" i="1"/>
  <c r="EC157" i="1"/>
  <c r="DU158" i="1"/>
  <c r="EE158" i="1"/>
  <c r="DW159" i="1"/>
  <c r="EG159" i="1"/>
  <c r="DY160" i="1"/>
  <c r="EA161" i="1"/>
  <c r="BR162" i="1"/>
  <c r="BS162" i="1"/>
  <c r="CD162" i="1"/>
  <c r="BT163" i="1"/>
  <c r="CF163" i="1"/>
  <c r="FU163" i="1"/>
  <c r="EZ164" i="1"/>
  <c r="BN164" i="1"/>
  <c r="BZ164" i="1"/>
  <c r="CV166" i="1"/>
  <c r="DU166" i="1"/>
  <c r="DJ166" i="1"/>
  <c r="GG166" i="1"/>
  <c r="FF166" i="1"/>
  <c r="FS166" i="1"/>
  <c r="BS168" i="1"/>
  <c r="FR168" i="1"/>
  <c r="DT168" i="1"/>
  <c r="CU168" i="1"/>
  <c r="GE168" i="1"/>
  <c r="DH168" i="1"/>
  <c r="CF168" i="1"/>
  <c r="EG168" i="1"/>
  <c r="CR172" i="1"/>
  <c r="CQ172" i="1"/>
  <c r="CP172" i="1"/>
  <c r="CY174" i="1"/>
  <c r="FV174" i="1"/>
  <c r="DX174" i="1"/>
  <c r="EW174" i="1"/>
  <c r="BW174" i="1"/>
  <c r="FJ174" i="1"/>
  <c r="GI174" i="1"/>
  <c r="DL174" i="1"/>
  <c r="CJ174" i="1"/>
  <c r="EK174" i="1"/>
  <c r="FB166" i="1"/>
  <c r="FN166" i="1"/>
  <c r="CR167" i="1"/>
  <c r="FD167" i="1"/>
  <c r="DQ168" i="1"/>
  <c r="FO168" i="1"/>
  <c r="EP168" i="1"/>
  <c r="GC168" i="1"/>
  <c r="EE168" i="1"/>
  <c r="DF168" i="1"/>
  <c r="FD168" i="1"/>
  <c r="EP170" i="1"/>
  <c r="DQ170" i="1"/>
  <c r="FO170" i="1"/>
  <c r="GC170" i="1"/>
  <c r="FD170" i="1"/>
  <c r="EE170" i="1"/>
  <c r="EN173" i="1"/>
  <c r="FM173" i="1"/>
  <c r="DO173" i="1"/>
  <c r="CA173" i="1"/>
  <c r="DC173" i="1"/>
  <c r="FA173" i="1"/>
  <c r="FF174" i="1"/>
  <c r="FD174" i="1"/>
  <c r="EZ174" i="1"/>
  <c r="DB174" i="1"/>
  <c r="CX164" i="1"/>
  <c r="FJ165" i="1"/>
  <c r="EX165" i="1"/>
  <c r="CZ166" i="1"/>
  <c r="BX166" i="1"/>
  <c r="EO166" i="1"/>
  <c r="EZ166" i="1"/>
  <c r="DB167" i="1"/>
  <c r="FO167" i="1"/>
  <c r="BT169" i="1"/>
  <c r="ER171" i="1"/>
  <c r="DS171" i="1"/>
  <c r="FE171" i="1"/>
  <c r="EF171" i="1"/>
  <c r="GD171" i="1"/>
  <c r="GI173" i="1"/>
  <c r="DF174" i="1"/>
  <c r="FR174" i="1"/>
  <c r="FQ174" i="1"/>
  <c r="DW164" i="1"/>
  <c r="FU164" i="1"/>
  <c r="BW165" i="1"/>
  <c r="FW166" i="1"/>
  <c r="EN167" i="1"/>
  <c r="BN167" i="1"/>
  <c r="FZ167" i="1"/>
  <c r="EB167" i="1"/>
  <c r="BP167" i="1"/>
  <c r="CA167" i="1"/>
  <c r="DO167" i="1"/>
  <c r="EN168" i="1"/>
  <c r="BN168" i="1"/>
  <c r="DO168" i="1"/>
  <c r="CA168" i="1"/>
  <c r="EB168" i="1"/>
  <c r="BP168" i="1"/>
  <c r="CR168" i="1"/>
  <c r="FZ168" i="1"/>
  <c r="FM170" i="1"/>
  <c r="DO170" i="1"/>
  <c r="CP170" i="1"/>
  <c r="EN170" i="1"/>
  <c r="BN170" i="1"/>
  <c r="FA170" i="1"/>
  <c r="EB170" i="1"/>
  <c r="BP170" i="1"/>
  <c r="CR170" i="1"/>
  <c r="DF170" i="1"/>
  <c r="ES171" i="1"/>
  <c r="DT171" i="1"/>
  <c r="FR171" i="1"/>
  <c r="GE171" i="1"/>
  <c r="FF171" i="1"/>
  <c r="DH171" i="1"/>
  <c r="EG171" i="1"/>
  <c r="EX173" i="1"/>
  <c r="FW173" i="1"/>
  <c r="DY173" i="1"/>
  <c r="BX173" i="1"/>
  <c r="CB174" i="1"/>
  <c r="CT174" i="1"/>
  <c r="DX164" i="1"/>
  <c r="EZ165" i="1"/>
  <c r="CP166" i="1"/>
  <c r="FM166" i="1"/>
  <c r="DP167" i="1"/>
  <c r="EC167" i="1"/>
  <c r="DD167" i="1"/>
  <c r="CB167" i="1"/>
  <c r="DQ167" i="1"/>
  <c r="EP167" i="1"/>
  <c r="EO168" i="1"/>
  <c r="DP168" i="1"/>
  <c r="FN168" i="1"/>
  <c r="CB168" i="1"/>
  <c r="GA168" i="1"/>
  <c r="EC168" i="1"/>
  <c r="FB168" i="1"/>
  <c r="CQ170" i="1"/>
  <c r="EO170" i="1"/>
  <c r="DP170" i="1"/>
  <c r="FN170" i="1"/>
  <c r="FB170" i="1"/>
  <c r="EC170" i="1"/>
  <c r="GA170" i="1"/>
  <c r="CD170" i="1"/>
  <c r="ET171" i="1"/>
  <c r="FS171" i="1"/>
  <c r="CV171" i="1"/>
  <c r="DU171" i="1"/>
  <c r="CH171" i="1"/>
  <c r="GG171" i="1"/>
  <c r="EI171" i="1"/>
  <c r="DJ171" i="1"/>
  <c r="FH171" i="1"/>
  <c r="EZ173" i="1"/>
  <c r="FY173" i="1"/>
  <c r="EA173" i="1"/>
  <c r="BN173" i="1"/>
  <c r="EB173" i="1"/>
  <c r="BZ170" i="1"/>
  <c r="FQ172" i="1"/>
  <c r="DS172" i="1"/>
  <c r="CT172" i="1"/>
  <c r="FE172" i="1"/>
  <c r="DG172" i="1"/>
  <c r="CJ173" i="1"/>
  <c r="GE174" i="1"/>
  <c r="CA174" i="1"/>
  <c r="DX166" i="1"/>
  <c r="FI169" i="1"/>
  <c r="BW169" i="1"/>
  <c r="CI171" i="1"/>
  <c r="GH171" i="1"/>
  <c r="EJ171" i="1"/>
  <c r="DK171" i="1"/>
  <c r="DX173" i="1"/>
  <c r="EV173" i="1"/>
  <c r="FJ173" i="1"/>
  <c r="FV173" i="1"/>
  <c r="GH173" i="1"/>
  <c r="EO174" i="1"/>
  <c r="GG174" i="1"/>
  <c r="EX168" i="1"/>
  <c r="FJ169" i="1"/>
  <c r="CJ169" i="1"/>
  <c r="FV170" i="1"/>
  <c r="BW171" i="1"/>
  <c r="GI171" i="1"/>
  <c r="EK171" i="1"/>
  <c r="DL171" i="1"/>
  <c r="BO172" i="1"/>
  <c r="BR172" i="1"/>
  <c r="FS173" i="1"/>
  <c r="DU173" i="1"/>
  <c r="CV173" i="1"/>
  <c r="CH173" i="1"/>
  <c r="EK173" i="1"/>
  <c r="EP174" i="1"/>
  <c r="CD174" i="1"/>
  <c r="GC174" i="1"/>
  <c r="EE174" i="1"/>
  <c r="DS174" i="1"/>
  <c r="FW170" i="1"/>
  <c r="CE172" i="1"/>
  <c r="BW173" i="1"/>
  <c r="CI173" i="1"/>
  <c r="CE174" i="1"/>
  <c r="GD174" i="1"/>
  <c r="EF174" i="1"/>
  <c r="DG174" i="1"/>
  <c r="DS168" i="1"/>
  <c r="FQ168" i="1"/>
  <c r="DU169" i="1"/>
  <c r="FS169" i="1"/>
  <c r="CY170" i="1"/>
  <c r="DW170" i="1"/>
  <c r="FU170" i="1"/>
  <c r="DO171" i="1"/>
  <c r="DY171" i="1"/>
  <c r="DC172" i="1"/>
  <c r="DQ172" i="1"/>
  <c r="CU173" i="1"/>
  <c r="DS173" i="1"/>
  <c r="FQ173" i="1"/>
  <c r="DU174" i="1"/>
  <c r="FS174" i="1"/>
  <c r="CX169" i="1"/>
  <c r="DH169" i="1"/>
  <c r="CZ170" i="1"/>
  <c r="DX170" i="1"/>
  <c r="DB171" i="1"/>
  <c r="DD172" i="1"/>
  <c r="DW169" i="1"/>
  <c r="EG169" i="1"/>
  <c r="DY170" i="1"/>
  <c r="EA171" i="1"/>
  <c r="EC172" i="1"/>
  <c r="EE173" i="1"/>
  <c r="DW174" i="1"/>
  <c r="EG174" i="1"/>
  <c r="EL80" i="1" l="1"/>
  <c r="GJ153" i="1"/>
  <c r="FK135" i="1"/>
  <c r="CK71" i="1"/>
  <c r="GJ133" i="1"/>
  <c r="EL41" i="1"/>
  <c r="GJ115" i="1"/>
  <c r="DM20" i="1"/>
  <c r="FK94" i="1"/>
  <c r="EL110" i="1"/>
  <c r="DM68" i="1"/>
  <c r="DM61" i="1"/>
  <c r="DM44" i="1"/>
  <c r="FK19" i="1"/>
  <c r="GJ20" i="1"/>
  <c r="FK164" i="1"/>
  <c r="GJ152" i="1"/>
  <c r="EL17" i="1"/>
  <c r="DM27" i="1"/>
  <c r="EL61" i="1"/>
  <c r="EL86" i="1"/>
  <c r="GJ154" i="1"/>
  <c r="EL109" i="1"/>
  <c r="DM126" i="1"/>
  <c r="DM104" i="1"/>
  <c r="DM88" i="1"/>
  <c r="FK118" i="1"/>
  <c r="DM25" i="1"/>
  <c r="CK68" i="1"/>
  <c r="FK89" i="1"/>
  <c r="GJ39" i="1"/>
  <c r="DM30" i="1"/>
  <c r="CK28" i="1"/>
  <c r="DM121" i="1"/>
  <c r="DM54" i="1"/>
  <c r="DM75" i="1"/>
  <c r="FK38" i="1"/>
  <c r="GJ139" i="1"/>
  <c r="DM67" i="1"/>
  <c r="DM22" i="1"/>
  <c r="EL127" i="1"/>
  <c r="FK107" i="1"/>
  <c r="GJ99" i="1"/>
  <c r="FK70" i="1"/>
  <c r="GJ61" i="1"/>
  <c r="EL60" i="1"/>
  <c r="FK26" i="1"/>
  <c r="CK59" i="1"/>
  <c r="GJ172" i="1"/>
  <c r="FK33" i="1"/>
  <c r="GJ95" i="1"/>
  <c r="DM59" i="1"/>
  <c r="FK140" i="1"/>
  <c r="EL150" i="1"/>
  <c r="CK25" i="1"/>
  <c r="FK74" i="1"/>
  <c r="FK65" i="1"/>
  <c r="EL157" i="1"/>
  <c r="FK150" i="1"/>
  <c r="DM158" i="1"/>
  <c r="GJ134" i="1"/>
  <c r="GJ140" i="1"/>
  <c r="DM106" i="1"/>
  <c r="EL44" i="1"/>
  <c r="EL6" i="1"/>
  <c r="EL43" i="1"/>
  <c r="FK88" i="1"/>
  <c r="DM163" i="1"/>
  <c r="CK65" i="1"/>
  <c r="GJ67" i="1"/>
  <c r="FK23" i="1"/>
  <c r="GJ162" i="1"/>
  <c r="GJ150" i="1"/>
  <c r="DM148" i="1"/>
  <c r="DM94" i="1"/>
  <c r="FK98" i="1"/>
  <c r="FK49" i="1"/>
  <c r="DM21" i="1"/>
  <c r="FK34" i="1"/>
  <c r="EL128" i="1"/>
  <c r="EL173" i="1"/>
  <c r="FK173" i="1"/>
  <c r="EL164" i="1"/>
  <c r="GJ120" i="1"/>
  <c r="FK109" i="1"/>
  <c r="DM78" i="1"/>
  <c r="DM73" i="1"/>
  <c r="EL71" i="1"/>
  <c r="GJ78" i="1"/>
  <c r="DM86" i="1"/>
  <c r="FK73" i="1"/>
  <c r="EL39" i="1"/>
  <c r="DM14" i="1"/>
  <c r="GJ165" i="1"/>
  <c r="EL91" i="1"/>
  <c r="FK56" i="1"/>
  <c r="GJ16" i="1"/>
  <c r="EL158" i="1"/>
  <c r="FK75" i="1"/>
  <c r="FK152" i="1"/>
  <c r="FK163" i="1"/>
  <c r="EL135" i="1"/>
  <c r="GJ125" i="1"/>
  <c r="EL112" i="1"/>
  <c r="GJ101" i="1"/>
  <c r="CK151" i="1"/>
  <c r="DM115" i="1"/>
  <c r="GJ28" i="1"/>
  <c r="FK15" i="1"/>
  <c r="FK153" i="1"/>
  <c r="DM133" i="1"/>
  <c r="FK129" i="1"/>
  <c r="GJ149" i="1"/>
  <c r="EL133" i="1"/>
  <c r="GJ97" i="1"/>
  <c r="GJ138" i="1"/>
  <c r="GJ63" i="1"/>
  <c r="GJ59" i="1"/>
  <c r="EL33" i="1"/>
  <c r="EL147" i="1"/>
  <c r="GJ116" i="1"/>
  <c r="EL136" i="1"/>
  <c r="EL94" i="1"/>
  <c r="FK72" i="1"/>
  <c r="EL66" i="1"/>
  <c r="FK76" i="1"/>
  <c r="FK17" i="1"/>
  <c r="GJ4" i="1"/>
  <c r="FK25" i="1"/>
  <c r="DM12" i="1"/>
  <c r="EL11" i="1"/>
  <c r="GJ164" i="1"/>
  <c r="DM15" i="1"/>
  <c r="GJ42" i="1"/>
  <c r="DM95" i="1"/>
  <c r="FK84" i="1"/>
  <c r="EL24" i="1"/>
  <c r="GJ14" i="1"/>
  <c r="FK41" i="1"/>
  <c r="GJ23" i="1"/>
  <c r="DM55" i="1"/>
  <c r="EL4" i="1"/>
  <c r="DM169" i="1"/>
  <c r="GJ142" i="1"/>
  <c r="EL107" i="1"/>
  <c r="DM128" i="1"/>
  <c r="FK117" i="1"/>
  <c r="GJ110" i="1"/>
  <c r="EL62" i="1"/>
  <c r="DM34" i="1"/>
  <c r="GJ57" i="1"/>
  <c r="CK47" i="1"/>
  <c r="GJ30" i="1"/>
  <c r="GJ157" i="1"/>
  <c r="CK141" i="1"/>
  <c r="FK130" i="1"/>
  <c r="DM164" i="1"/>
  <c r="DM137" i="1"/>
  <c r="DM129" i="1"/>
  <c r="DM113" i="1"/>
  <c r="EL100" i="1"/>
  <c r="EL81" i="1"/>
  <c r="GJ65" i="1"/>
  <c r="EL48" i="1"/>
  <c r="FK6" i="1"/>
  <c r="GJ53" i="1"/>
  <c r="CK74" i="1"/>
  <c r="FK71" i="1"/>
  <c r="FK14" i="1"/>
  <c r="GJ25" i="1"/>
  <c r="DM9" i="1"/>
  <c r="CK58" i="1"/>
  <c r="FK156" i="1"/>
  <c r="CK164" i="1"/>
  <c r="GJ127" i="1"/>
  <c r="GJ86" i="1"/>
  <c r="FK66" i="1"/>
  <c r="GJ93" i="1"/>
  <c r="FK87" i="1"/>
  <c r="DM91" i="1"/>
  <c r="GJ80" i="1"/>
  <c r="FK78" i="1"/>
  <c r="EL30" i="1"/>
  <c r="FK4" i="1"/>
  <c r="DM140" i="1"/>
  <c r="GJ132" i="1"/>
  <c r="CK125" i="1"/>
  <c r="FK85" i="1"/>
  <c r="GJ40" i="1"/>
  <c r="FK53" i="1"/>
  <c r="EL172" i="1"/>
  <c r="GJ173" i="1"/>
  <c r="DM167" i="1"/>
  <c r="GJ163" i="1"/>
  <c r="FK157" i="1"/>
  <c r="CK163" i="1"/>
  <c r="FK145" i="1"/>
  <c r="FK142" i="1"/>
  <c r="EL139" i="1"/>
  <c r="FK133" i="1"/>
  <c r="GJ129" i="1"/>
  <c r="EL114" i="1"/>
  <c r="FK138" i="1"/>
  <c r="FK104" i="1"/>
  <c r="GJ117" i="1"/>
  <c r="GJ111" i="1"/>
  <c r="DM89" i="1"/>
  <c r="FK67" i="1"/>
  <c r="DM114" i="1"/>
  <c r="DM65" i="1"/>
  <c r="EL75" i="1"/>
  <c r="GJ52" i="1"/>
  <c r="EL95" i="1"/>
  <c r="FK93" i="1"/>
  <c r="GJ66" i="1"/>
  <c r="DM40" i="1"/>
  <c r="GJ36" i="1"/>
  <c r="FK48" i="1"/>
  <c r="EL12" i="1"/>
  <c r="GJ64" i="1"/>
  <c r="FK57" i="1"/>
  <c r="GJ48" i="1"/>
  <c r="EL36" i="1"/>
  <c r="FK29" i="1"/>
  <c r="CK12" i="1"/>
  <c r="DM3" i="1"/>
  <c r="DM8" i="1"/>
  <c r="DM5" i="1"/>
  <c r="GJ34" i="1"/>
  <c r="GJ29" i="1"/>
  <c r="FK160" i="1"/>
  <c r="EL143" i="1"/>
  <c r="GJ113" i="1"/>
  <c r="FK146" i="1"/>
  <c r="DM123" i="1"/>
  <c r="CK99" i="1"/>
  <c r="DM92" i="1"/>
  <c r="GJ58" i="1"/>
  <c r="EL65" i="1"/>
  <c r="GJ43" i="1"/>
  <c r="EL42" i="1"/>
  <c r="FK95" i="1"/>
  <c r="GJ21" i="1"/>
  <c r="CK98" i="1"/>
  <c r="DM36" i="1"/>
  <c r="EL9" i="1"/>
  <c r="DM29" i="1"/>
  <c r="FK11" i="1"/>
  <c r="DM160" i="1"/>
  <c r="GJ155" i="1"/>
  <c r="FK99" i="1"/>
  <c r="DM50" i="1"/>
  <c r="GJ69" i="1"/>
  <c r="EL149" i="1"/>
  <c r="DM127" i="1"/>
  <c r="EL78" i="1"/>
  <c r="CK133" i="1"/>
  <c r="EL131" i="1"/>
  <c r="FK112" i="1"/>
  <c r="GJ128" i="1"/>
  <c r="CK127" i="1"/>
  <c r="DM110" i="1"/>
  <c r="EL104" i="1"/>
  <c r="FK102" i="1"/>
  <c r="FK91" i="1"/>
  <c r="FK68" i="1"/>
  <c r="DM96" i="1"/>
  <c r="EL89" i="1"/>
  <c r="FK61" i="1"/>
  <c r="EL55" i="1"/>
  <c r="DM99" i="1"/>
  <c r="FK59" i="1"/>
  <c r="EL54" i="1"/>
  <c r="EL98" i="1"/>
  <c r="GJ38" i="1"/>
  <c r="EL34" i="1"/>
  <c r="FK37" i="1"/>
  <c r="EL49" i="1"/>
  <c r="FK52" i="1"/>
  <c r="GJ45" i="1"/>
  <c r="FK27" i="1"/>
  <c r="GJ166" i="1"/>
  <c r="EL152" i="1"/>
  <c r="EL163" i="1"/>
  <c r="GJ130" i="1"/>
  <c r="EL121" i="1"/>
  <c r="GJ121" i="1"/>
  <c r="EL116" i="1"/>
  <c r="GJ104" i="1"/>
  <c r="GJ91" i="1"/>
  <c r="FK80" i="1"/>
  <c r="EL47" i="1"/>
  <c r="EL99" i="1"/>
  <c r="GJ68" i="1"/>
  <c r="FK55" i="1"/>
  <c r="EL26" i="1"/>
  <c r="CK51" i="1"/>
  <c r="FK54" i="1"/>
  <c r="EL19" i="1"/>
  <c r="EL15" i="1"/>
  <c r="EL31" i="1"/>
  <c r="CK8" i="1"/>
  <c r="FK32" i="1"/>
  <c r="FK24" i="1"/>
  <c r="CK20" i="1"/>
  <c r="DM145" i="1"/>
  <c r="FK121" i="1"/>
  <c r="EL117" i="1"/>
  <c r="GJ94" i="1"/>
  <c r="GJ37" i="1"/>
  <c r="GJ60" i="1"/>
  <c r="GJ15" i="1"/>
  <c r="EL10" i="1"/>
  <c r="GJ33" i="1"/>
  <c r="GJ19" i="1"/>
  <c r="FK20" i="1"/>
  <c r="DM70" i="1"/>
  <c r="EL23" i="1"/>
  <c r="CK43" i="1"/>
  <c r="GJ24" i="1"/>
  <c r="DM26" i="1"/>
  <c r="DM76" i="1"/>
  <c r="EL37" i="1"/>
  <c r="GJ10" i="1"/>
  <c r="FK16" i="1"/>
  <c r="EL20" i="1"/>
  <c r="FK69" i="1"/>
  <c r="DM130" i="1"/>
  <c r="GJ135" i="1"/>
  <c r="FK111" i="1"/>
  <c r="DM100" i="1"/>
  <c r="EL79" i="1"/>
  <c r="DM60" i="1"/>
  <c r="EL28" i="1"/>
  <c r="GJ168" i="1"/>
  <c r="GJ169" i="1"/>
  <c r="FK158" i="1"/>
  <c r="FK143" i="1"/>
  <c r="EL146" i="1"/>
  <c r="FK141" i="1"/>
  <c r="GJ123" i="1"/>
  <c r="FK126" i="1"/>
  <c r="FK128" i="1"/>
  <c r="EL118" i="1"/>
  <c r="EL108" i="1"/>
  <c r="EL102" i="1"/>
  <c r="FK116" i="1"/>
  <c r="DM132" i="1"/>
  <c r="GJ108" i="1"/>
  <c r="GJ98" i="1"/>
  <c r="GJ79" i="1"/>
  <c r="DM74" i="1"/>
  <c r="GJ71" i="1"/>
  <c r="DM57" i="1"/>
  <c r="GJ114" i="1"/>
  <c r="EL70" i="1"/>
  <c r="DM51" i="1"/>
  <c r="DM63" i="1"/>
  <c r="GJ55" i="1"/>
  <c r="DM66" i="1"/>
  <c r="FK30" i="1"/>
  <c r="FK58" i="1"/>
  <c r="EL5" i="1"/>
  <c r="GJ7" i="1"/>
  <c r="FK172" i="1"/>
  <c r="GJ126" i="1"/>
  <c r="FK108" i="1"/>
  <c r="FK149" i="1"/>
  <c r="GJ145" i="1"/>
  <c r="CK143" i="1"/>
  <c r="EL140" i="1"/>
  <c r="EL120" i="1"/>
  <c r="FK110" i="1"/>
  <c r="EL159" i="1"/>
  <c r="FK123" i="1"/>
  <c r="GJ159" i="1"/>
  <c r="CK114" i="1"/>
  <c r="EL69" i="1"/>
  <c r="FK103" i="1"/>
  <c r="GJ73" i="1"/>
  <c r="EL40" i="1"/>
  <c r="DM170" i="1"/>
  <c r="DM168" i="1"/>
  <c r="GJ143" i="1"/>
  <c r="GJ146" i="1"/>
  <c r="DM131" i="1"/>
  <c r="EL123" i="1"/>
  <c r="FK132" i="1"/>
  <c r="DM118" i="1"/>
  <c r="EL101" i="1"/>
  <c r="GJ107" i="1"/>
  <c r="DM112" i="1"/>
  <c r="FK106" i="1"/>
  <c r="GJ102" i="1"/>
  <c r="GJ103" i="1"/>
  <c r="GJ88" i="1"/>
  <c r="GJ89" i="1"/>
  <c r="FK63" i="1"/>
  <c r="EL52" i="1"/>
  <c r="FK79" i="1"/>
  <c r="FK81" i="1"/>
  <c r="FK113" i="1"/>
  <c r="EL63" i="1"/>
  <c r="GJ62" i="1"/>
  <c r="FK39" i="1"/>
  <c r="FK45" i="1"/>
  <c r="FK35" i="1"/>
  <c r="DM45" i="1"/>
  <c r="DM46" i="1"/>
  <c r="GJ17" i="1"/>
  <c r="GJ5" i="1"/>
  <c r="EL25" i="1"/>
  <c r="DM16" i="1"/>
  <c r="DM10" i="1"/>
  <c r="GJ170" i="1"/>
  <c r="EL170" i="1"/>
  <c r="FK169" i="1"/>
  <c r="CK171" i="1"/>
  <c r="DM151" i="1"/>
  <c r="CK167" i="1"/>
  <c r="FK168" i="1"/>
  <c r="EL162" i="1"/>
  <c r="DM162" i="1"/>
  <c r="GJ171" i="1"/>
  <c r="CK153" i="1"/>
  <c r="DM142" i="1"/>
  <c r="FK139" i="1"/>
  <c r="CK156" i="1"/>
  <c r="FK154" i="1"/>
  <c r="DM149" i="1"/>
  <c r="EL129" i="1"/>
  <c r="FK161" i="1"/>
  <c r="EL122" i="1"/>
  <c r="GJ137" i="1"/>
  <c r="FK136" i="1"/>
  <c r="FK114" i="1"/>
  <c r="DM155" i="1"/>
  <c r="DM159" i="1"/>
  <c r="EL113" i="1"/>
  <c r="DM111" i="1"/>
  <c r="CK112" i="1"/>
  <c r="CK134" i="1"/>
  <c r="EL96" i="1"/>
  <c r="FK97" i="1"/>
  <c r="EL73" i="1"/>
  <c r="CK138" i="1"/>
  <c r="CK101" i="1"/>
  <c r="GJ81" i="1"/>
  <c r="EL57" i="1"/>
  <c r="DM77" i="1"/>
  <c r="GJ84" i="1"/>
  <c r="FK82" i="1"/>
  <c r="CK62" i="1"/>
  <c r="CK78" i="1"/>
  <c r="CK105" i="1"/>
  <c r="EL83" i="1"/>
  <c r="DM79" i="1"/>
  <c r="CK85" i="1"/>
  <c r="EL67" i="1"/>
  <c r="DM62" i="1"/>
  <c r="DM41" i="1"/>
  <c r="EL51" i="1"/>
  <c r="GJ26" i="1"/>
  <c r="EL50" i="1"/>
  <c r="CK38" i="1"/>
  <c r="EL21" i="1"/>
  <c r="CK16" i="1"/>
  <c r="DM19" i="1"/>
  <c r="CK15" i="1"/>
  <c r="CK172" i="1"/>
  <c r="CK174" i="1"/>
  <c r="DM166" i="1"/>
  <c r="EL160" i="1"/>
  <c r="CK154" i="1"/>
  <c r="CK161" i="1"/>
  <c r="GJ122" i="1"/>
  <c r="DM143" i="1"/>
  <c r="CK137" i="1"/>
  <c r="GJ136" i="1"/>
  <c r="EL155" i="1"/>
  <c r="FK127" i="1"/>
  <c r="CK113" i="1"/>
  <c r="DM134" i="1"/>
  <c r="EL97" i="1"/>
  <c r="CK106" i="1"/>
  <c r="FK77" i="1"/>
  <c r="EL82" i="1"/>
  <c r="CK41" i="1"/>
  <c r="FK105" i="1"/>
  <c r="GJ83" i="1"/>
  <c r="CK96" i="1"/>
  <c r="EL56" i="1"/>
  <c r="CK63" i="1"/>
  <c r="GJ54" i="1"/>
  <c r="GJ51" i="1"/>
  <c r="GJ47" i="1"/>
  <c r="EL45" i="1"/>
  <c r="DM80" i="1"/>
  <c r="CK39" i="1"/>
  <c r="FK50" i="1"/>
  <c r="FK21" i="1"/>
  <c r="CK4" i="1"/>
  <c r="FK3" i="1"/>
  <c r="CK5" i="1"/>
  <c r="CK26" i="1"/>
  <c r="CK10" i="1"/>
  <c r="CK7" i="1"/>
  <c r="CK46" i="1"/>
  <c r="FK12" i="1"/>
  <c r="FK9" i="1"/>
  <c r="CK32" i="1"/>
  <c r="FK2" i="1"/>
  <c r="CK166" i="1"/>
  <c r="GJ158" i="1"/>
  <c r="CK160" i="1"/>
  <c r="CK129" i="1"/>
  <c r="DM161" i="1"/>
  <c r="CK132" i="1"/>
  <c r="EL174" i="1"/>
  <c r="DM136" i="1"/>
  <c r="GJ124" i="1"/>
  <c r="FK155" i="1"/>
  <c r="CK117" i="1"/>
  <c r="FK159" i="1"/>
  <c r="EL134" i="1"/>
  <c r="EL77" i="1"/>
  <c r="CK128" i="1"/>
  <c r="CK60" i="1"/>
  <c r="DM82" i="1"/>
  <c r="DM28" i="1"/>
  <c r="CK53" i="1"/>
  <c r="DM97" i="1"/>
  <c r="DM98" i="1"/>
  <c r="CK83" i="1"/>
  <c r="GJ56" i="1"/>
  <c r="GJ50" i="1"/>
  <c r="CK86" i="1"/>
  <c r="CK70" i="1"/>
  <c r="FK18" i="1"/>
  <c r="CK35" i="1"/>
  <c r="FK42" i="1"/>
  <c r="EL58" i="1"/>
  <c r="GJ76" i="1"/>
  <c r="EL32" i="1"/>
  <c r="CK24" i="1"/>
  <c r="GJ31" i="1"/>
  <c r="DM17" i="1"/>
  <c r="EL2" i="1"/>
  <c r="EL169" i="1"/>
  <c r="FK166" i="1"/>
  <c r="EL141" i="1"/>
  <c r="GJ160" i="1"/>
  <c r="FK131" i="1"/>
  <c r="CK126" i="1"/>
  <c r="CK150" i="1"/>
  <c r="CK148" i="1"/>
  <c r="CK131" i="1"/>
  <c r="CK118" i="1"/>
  <c r="EL161" i="1"/>
  <c r="FK124" i="1"/>
  <c r="DM125" i="1"/>
  <c r="EL106" i="1"/>
  <c r="CK119" i="1"/>
  <c r="FK134" i="1"/>
  <c r="GJ100" i="1"/>
  <c r="FK151" i="1"/>
  <c r="CK107" i="1"/>
  <c r="CK97" i="1"/>
  <c r="DM87" i="1"/>
  <c r="GJ77" i="1"/>
  <c r="FK122" i="1"/>
  <c r="CK48" i="1"/>
  <c r="DM42" i="1"/>
  <c r="CK95" i="1"/>
  <c r="DM83" i="1"/>
  <c r="DM69" i="1"/>
  <c r="CK52" i="1"/>
  <c r="FK36" i="1"/>
  <c r="EL18" i="1"/>
  <c r="GJ35" i="1"/>
  <c r="CK90" i="1"/>
  <c r="EL46" i="1"/>
  <c r="CK27" i="1"/>
  <c r="CK3" i="1"/>
  <c r="FK7" i="1"/>
  <c r="GJ12" i="1"/>
  <c r="CK17" i="1"/>
  <c r="GJ9" i="1"/>
  <c r="CK13" i="1"/>
  <c r="FK31" i="1"/>
  <c r="DM2" i="1"/>
  <c r="EL168" i="1"/>
  <c r="EL151" i="1"/>
  <c r="GJ141" i="1"/>
  <c r="FK162" i="1"/>
  <c r="FK137" i="1"/>
  <c r="CK139" i="1"/>
  <c r="GJ148" i="1"/>
  <c r="GJ161" i="1"/>
  <c r="DM150" i="1"/>
  <c r="GJ147" i="1"/>
  <c r="CK145" i="1"/>
  <c r="FK125" i="1"/>
  <c r="CK146" i="1"/>
  <c r="CK149" i="1"/>
  <c r="GJ106" i="1"/>
  <c r="EL125" i="1"/>
  <c r="EL119" i="1"/>
  <c r="CK144" i="1"/>
  <c r="CK130" i="1"/>
  <c r="FK90" i="1"/>
  <c r="CK100" i="1"/>
  <c r="CK92" i="1"/>
  <c r="CK87" i="1"/>
  <c r="CK64" i="1"/>
  <c r="CK80" i="1"/>
  <c r="FK83" i="1"/>
  <c r="FK96" i="1"/>
  <c r="FK86" i="1"/>
  <c r="CK40" i="1"/>
  <c r="CK57" i="1"/>
  <c r="DM85" i="1"/>
  <c r="CK36" i="1"/>
  <c r="DM35" i="1"/>
  <c r="GJ46" i="1"/>
  <c r="CK76" i="1"/>
  <c r="EL59" i="1"/>
  <c r="EL53" i="1"/>
  <c r="CK61" i="1"/>
  <c r="CK23" i="1"/>
  <c r="EL3" i="1"/>
  <c r="CK9" i="1"/>
  <c r="GJ32" i="1"/>
  <c r="EL13" i="1"/>
  <c r="CK49" i="1"/>
  <c r="DM31" i="1"/>
  <c r="DM24" i="1"/>
  <c r="CK168" i="1"/>
  <c r="DM157" i="1"/>
  <c r="GJ151" i="1"/>
  <c r="DM141" i="1"/>
  <c r="DM139" i="1"/>
  <c r="DM135" i="1"/>
  <c r="FK148" i="1"/>
  <c r="FK147" i="1"/>
  <c r="DM120" i="1"/>
  <c r="EL126" i="1"/>
  <c r="GJ109" i="1"/>
  <c r="GJ119" i="1"/>
  <c r="DM144" i="1"/>
  <c r="EL115" i="1"/>
  <c r="DM90" i="1"/>
  <c r="FK100" i="1"/>
  <c r="CK69" i="1"/>
  <c r="CK110" i="1"/>
  <c r="DM52" i="1"/>
  <c r="CK89" i="1"/>
  <c r="EL87" i="1"/>
  <c r="DM103" i="1"/>
  <c r="FK60" i="1"/>
  <c r="CK56" i="1"/>
  <c r="DM37" i="1"/>
  <c r="EL85" i="1"/>
  <c r="DM43" i="1"/>
  <c r="EL76" i="1"/>
  <c r="CK72" i="1"/>
  <c r="DM53" i="1"/>
  <c r="GJ3" i="1"/>
  <c r="GJ2" i="1"/>
  <c r="DM6" i="1"/>
  <c r="DM13" i="1"/>
  <c r="DM33" i="1"/>
  <c r="CK29" i="1"/>
  <c r="FK22" i="1"/>
  <c r="DM32" i="1"/>
  <c r="GJ13" i="1"/>
  <c r="DM4" i="1"/>
  <c r="EL153" i="1"/>
  <c r="CK142" i="1"/>
  <c r="DM138" i="1"/>
  <c r="EL138" i="1"/>
  <c r="EL144" i="1"/>
  <c r="FK115" i="1"/>
  <c r="FK92" i="1"/>
  <c r="DM47" i="1"/>
  <c r="GJ87" i="1"/>
  <c r="CK88" i="1"/>
  <c r="GJ75" i="1"/>
  <c r="CK33" i="1"/>
  <c r="GJ74" i="1"/>
  <c r="EL130" i="1"/>
  <c r="CK91" i="1"/>
  <c r="CK55" i="1"/>
  <c r="EL27" i="1"/>
  <c r="EL16" i="1"/>
  <c r="CK37" i="1"/>
  <c r="CK44" i="1"/>
  <c r="DM39" i="1"/>
  <c r="DM72" i="1"/>
  <c r="DM64" i="1"/>
  <c r="CK79" i="1"/>
  <c r="DM48" i="1"/>
  <c r="CK34" i="1"/>
  <c r="CK42" i="1"/>
  <c r="CK31" i="1"/>
  <c r="EL14" i="1"/>
  <c r="EL29" i="1"/>
  <c r="EL22" i="1"/>
  <c r="CK170" i="1"/>
  <c r="CK165" i="1"/>
  <c r="EL165" i="1"/>
  <c r="FK167" i="1"/>
  <c r="DM165" i="1"/>
  <c r="CK162" i="1"/>
  <c r="FK171" i="1"/>
  <c r="EL156" i="1"/>
  <c r="DM147" i="1"/>
  <c r="DM124" i="1"/>
  <c r="GJ112" i="1"/>
  <c r="CK169" i="1"/>
  <c r="CK120" i="1"/>
  <c r="FK119" i="1"/>
  <c r="GJ144" i="1"/>
  <c r="DM101" i="1"/>
  <c r="CK115" i="1"/>
  <c r="GJ96" i="1"/>
  <c r="EL92" i="1"/>
  <c r="CK93" i="1"/>
  <c r="CK121" i="1"/>
  <c r="CK73" i="1"/>
  <c r="CK67" i="1"/>
  <c r="EL64" i="1"/>
  <c r="FK40" i="1"/>
  <c r="EL93" i="1"/>
  <c r="EL105" i="1"/>
  <c r="CK81" i="1"/>
  <c r="CK54" i="1"/>
  <c r="GJ27" i="1"/>
  <c r="DM71" i="1"/>
  <c r="FK44" i="1"/>
  <c r="DM84" i="1"/>
  <c r="EL72" i="1"/>
  <c r="DM49" i="1"/>
  <c r="CK77" i="1"/>
  <c r="FK8" i="1"/>
  <c r="FK5" i="1"/>
  <c r="GJ11" i="1"/>
  <c r="GJ22" i="1"/>
  <c r="CK6" i="1"/>
  <c r="FK170" i="1"/>
  <c r="DM156" i="1"/>
  <c r="EL166" i="1"/>
  <c r="DM119" i="1"/>
  <c r="FK174" i="1"/>
  <c r="EL167" i="1"/>
  <c r="DM174" i="1"/>
  <c r="GJ174" i="1"/>
  <c r="DM171" i="1"/>
  <c r="GJ156" i="1"/>
  <c r="EL142" i="1"/>
  <c r="EL154" i="1"/>
  <c r="CK152" i="1"/>
  <c r="CK122" i="1"/>
  <c r="CK147" i="1"/>
  <c r="EL124" i="1"/>
  <c r="DM117" i="1"/>
  <c r="DM107" i="1"/>
  <c r="DM102" i="1"/>
  <c r="GJ118" i="1"/>
  <c r="FK144" i="1"/>
  <c r="CK116" i="1"/>
  <c r="EL68" i="1"/>
  <c r="EL90" i="1"/>
  <c r="FK101" i="1"/>
  <c r="GJ92" i="1"/>
  <c r="CK111" i="1"/>
  <c r="DM81" i="1"/>
  <c r="CK84" i="1"/>
  <c r="FK43" i="1"/>
  <c r="DM23" i="1"/>
  <c r="DM93" i="1"/>
  <c r="CK66" i="1"/>
  <c r="EL74" i="1"/>
  <c r="GJ85" i="1"/>
  <c r="DM105" i="1"/>
  <c r="CK82" i="1"/>
  <c r="EL103" i="1"/>
  <c r="DM58" i="1"/>
  <c r="GJ44" i="1"/>
  <c r="GJ72" i="1"/>
  <c r="CK75" i="1"/>
  <c r="FK47" i="1"/>
  <c r="EL38" i="1"/>
  <c r="EL8" i="1"/>
  <c r="CK14" i="1"/>
  <c r="CK45" i="1"/>
  <c r="FK10" i="1"/>
  <c r="CK30" i="1"/>
  <c r="CK19" i="1"/>
  <c r="DM7" i="1"/>
  <c r="CK22" i="1"/>
  <c r="CK173" i="1"/>
  <c r="FK165" i="1"/>
  <c r="GJ167" i="1"/>
  <c r="DM172" i="1"/>
  <c r="DM173" i="1"/>
  <c r="CK157" i="1"/>
  <c r="DM146" i="1"/>
  <c r="EL171" i="1"/>
  <c r="CK158" i="1"/>
  <c r="DM154" i="1"/>
  <c r="EL145" i="1"/>
  <c r="GJ131" i="1"/>
  <c r="EL148" i="1"/>
  <c r="DM122" i="1"/>
  <c r="EL132" i="1"/>
  <c r="FK120" i="1"/>
  <c r="DM152" i="1"/>
  <c r="EL137" i="1"/>
  <c r="CK136" i="1"/>
  <c r="CK124" i="1"/>
  <c r="CK123" i="1"/>
  <c r="CK155" i="1"/>
  <c r="CK140" i="1"/>
  <c r="CK159" i="1"/>
  <c r="CK109" i="1"/>
  <c r="CK102" i="1"/>
  <c r="DM116" i="1"/>
  <c r="DM108" i="1"/>
  <c r="CK104" i="1"/>
  <c r="GJ90" i="1"/>
  <c r="CK94" i="1"/>
  <c r="CK135" i="1"/>
  <c r="EL84" i="1"/>
  <c r="GJ82" i="1"/>
  <c r="FK62" i="1"/>
  <c r="DM109" i="1"/>
  <c r="GJ105" i="1"/>
  <c r="CK103" i="1"/>
  <c r="DM56" i="1"/>
  <c r="GJ41" i="1"/>
  <c r="CK50" i="1"/>
  <c r="FK51" i="1"/>
  <c r="GJ70" i="1"/>
  <c r="GJ49" i="1"/>
  <c r="DM38" i="1"/>
  <c r="CK21" i="1"/>
  <c r="FK13" i="1"/>
  <c r="GJ8" i="1"/>
  <c r="FK28" i="1"/>
  <c r="GJ6" i="1"/>
  <c r="EL7" i="1"/>
  <c r="CK2" i="1"/>
</calcChain>
</file>

<file path=xl/sharedStrings.xml><?xml version="1.0" encoding="utf-8"?>
<sst xmlns="http://schemas.openxmlformats.org/spreadsheetml/2006/main" count="958" uniqueCount="334">
  <si>
    <t>start_state</t>
  </si>
  <si>
    <t>county_biomass</t>
  </si>
  <si>
    <t>index</t>
  </si>
  <si>
    <t>bur_path_length_km</t>
  </si>
  <si>
    <t>bur_w2_c_eff</t>
  </si>
  <si>
    <t>beccs_90_path_length_km</t>
  </si>
  <si>
    <t>beccs_90_w2_c_eff</t>
  </si>
  <si>
    <t>USFS_Acre_A1</t>
  </si>
  <si>
    <t>Other_Acre_A1</t>
  </si>
  <si>
    <t>total_acre_A1</t>
  </si>
  <si>
    <t>USFS_Acre_A2</t>
  </si>
  <si>
    <t>Other_Acre_A2</t>
  </si>
  <si>
    <t>total_acre_A2</t>
  </si>
  <si>
    <t>USFS_Acre_A3</t>
  </si>
  <si>
    <t>Other_Acre_A3</t>
  </si>
  <si>
    <t>total_acre_A3</t>
  </si>
  <si>
    <t>USFS_Acre_A4</t>
  </si>
  <si>
    <t>Other_Acre_A4</t>
  </si>
  <si>
    <t>total_acre_A4</t>
  </si>
  <si>
    <t>USFS_Acre_A5</t>
  </si>
  <si>
    <t>Other_Acre_A5</t>
  </si>
  <si>
    <t>total_acre_A5</t>
  </si>
  <si>
    <t>USFS_Acre_A6</t>
  </si>
  <si>
    <t>Other_Acre_A6</t>
  </si>
  <si>
    <t>total_acre_A6</t>
  </si>
  <si>
    <t>USFS_BDT_A1</t>
  </si>
  <si>
    <t>Other_BDT_A1</t>
  </si>
  <si>
    <t>Total_BDT_A1</t>
  </si>
  <si>
    <t>USFS_BDT_A2</t>
  </si>
  <si>
    <t>Other_BDT_A2</t>
  </si>
  <si>
    <t>Total_BDT_A2</t>
  </si>
  <si>
    <t>USFS_BDT_A3</t>
  </si>
  <si>
    <t>Other_BDT_A3</t>
  </si>
  <si>
    <t>Total_BDT_A3</t>
  </si>
  <si>
    <t>USFS_BDT_A4</t>
  </si>
  <si>
    <t>Other_BDT_A4</t>
  </si>
  <si>
    <t>Total_BDT_A4</t>
  </si>
  <si>
    <t>USFS_BDT_A5</t>
  </si>
  <si>
    <t>Other_BDT_A5</t>
  </si>
  <si>
    <t>Total_BDT_A5</t>
  </si>
  <si>
    <t>USFS_BDT_A6</t>
  </si>
  <si>
    <t>Other_BDT_A6</t>
  </si>
  <si>
    <t>Total_BDT_A6</t>
  </si>
  <si>
    <t>Total_BDT</t>
  </si>
  <si>
    <t>USFS_co2i_A1</t>
  </si>
  <si>
    <t>Other_co2i_A1</t>
  </si>
  <si>
    <t>Total_co2i_A1</t>
  </si>
  <si>
    <t>USFS_co2i_A2</t>
  </si>
  <si>
    <t>Other_co2i_A2</t>
  </si>
  <si>
    <t>Total_co2i_A2</t>
  </si>
  <si>
    <t>USFS_co2i_A3</t>
  </si>
  <si>
    <t>Other_co2i_A3</t>
  </si>
  <si>
    <t>Total_co2i_A3</t>
  </si>
  <si>
    <t>USFS_co2i_A4</t>
  </si>
  <si>
    <t>Other_co2i_A4</t>
  </si>
  <si>
    <t>Total_co2i_A4</t>
  </si>
  <si>
    <t>USFS_co2i_A5</t>
  </si>
  <si>
    <t>Other_co2i_A5</t>
  </si>
  <si>
    <t>Total_co2i_A5</t>
  </si>
  <si>
    <t>USFS_co2i_A6</t>
  </si>
  <si>
    <t>Other_co2i_A6</t>
  </si>
  <si>
    <t>Total_co2i_A6</t>
  </si>
  <si>
    <t>Total_co2i</t>
  </si>
  <si>
    <t>USFS_co2s_A1</t>
  </si>
  <si>
    <t>Other_co2s_A1</t>
  </si>
  <si>
    <t>Total_co2s_A1</t>
  </si>
  <si>
    <t>USFS_co2s_A2</t>
  </si>
  <si>
    <t>Other_co2s_A2</t>
  </si>
  <si>
    <t>Total_co2s_A2</t>
  </si>
  <si>
    <t>USFS_co2s_A3</t>
  </si>
  <si>
    <t>Other_co2s_A3</t>
  </si>
  <si>
    <t>Total_co2s_A3</t>
  </si>
  <si>
    <t>USFS_co2s_A4</t>
  </si>
  <si>
    <t>Other_co2s_A4</t>
  </si>
  <si>
    <t>Total_co2s_A4</t>
  </si>
  <si>
    <t>USFS_co2s_A5</t>
  </si>
  <si>
    <t>Other_co2s_A5</t>
  </si>
  <si>
    <t>Total_co2s_A5</t>
  </si>
  <si>
    <t>USFS_co2s_A6</t>
  </si>
  <si>
    <t>Other_co2s_A6</t>
  </si>
  <si>
    <t>Total_co2s_A6</t>
  </si>
  <si>
    <t>ni_bur_A1/MTCO2e</t>
  </si>
  <si>
    <t>USFS_ni_A1</t>
  </si>
  <si>
    <t>Other_ni_A1</t>
  </si>
  <si>
    <t>Total_ni_A1</t>
  </si>
  <si>
    <t>ni_bur_A2/MTCO2e</t>
  </si>
  <si>
    <t>USFS_ni_A2</t>
  </si>
  <si>
    <t>Other_ni_A2</t>
  </si>
  <si>
    <t>Total_ni_A2</t>
  </si>
  <si>
    <t>ni_bur_A3/MTCO2e</t>
  </si>
  <si>
    <t>USFS_ni_A3</t>
  </si>
  <si>
    <t>Other_ni_A3</t>
  </si>
  <si>
    <t>Total_ni_A3</t>
  </si>
  <si>
    <t>ni_bur_A4/MTCO2e</t>
  </si>
  <si>
    <t>USFS_ni_A4</t>
  </si>
  <si>
    <t>Other_ni_A4</t>
  </si>
  <si>
    <t>Total_ni_A4</t>
  </si>
  <si>
    <t>ni_bur_A5/MTCO2e</t>
  </si>
  <si>
    <t>USFS_ni_A5</t>
  </si>
  <si>
    <t>Other_ni_A5</t>
  </si>
  <si>
    <t>Total_ni_A5</t>
  </si>
  <si>
    <t>ni_bur_A6/MTCO2e</t>
  </si>
  <si>
    <t>USFS_ni_A6</t>
  </si>
  <si>
    <t>Other_ni_A6</t>
  </si>
  <si>
    <t>Total_ni_A6</t>
  </si>
  <si>
    <t>Total_ni_burial</t>
  </si>
  <si>
    <t>pile_burn_breakeven_rho_b</t>
  </si>
  <si>
    <t>pile_burn_breakeven_rho_l</t>
  </si>
  <si>
    <t>pile_burn_breakeven_rho_h</t>
  </si>
  <si>
    <t>ni_pb_A1/MTCO2e</t>
  </si>
  <si>
    <t>ni_pb_A2/MTCO2e</t>
  </si>
  <si>
    <t>ni_pb_A3/MTCO2e</t>
  </si>
  <si>
    <t>ni_pb_A4/MTCO2e</t>
  </si>
  <si>
    <t>ni_pb_A5/MTCO2e</t>
  </si>
  <si>
    <t>ni_pb_A6/MTCO2e</t>
  </si>
  <si>
    <t>Total_ni_pile_burn</t>
  </si>
  <si>
    <t>ni_f_A1/MTCO2e</t>
  </si>
  <si>
    <t>ni_f_A2/MTCO2e</t>
  </si>
  <si>
    <t>ni_f_A3/MTCO2e</t>
  </si>
  <si>
    <t>ni_f_A4/MTCO2e</t>
  </si>
  <si>
    <t>ni_f_A5/MTCO2e</t>
  </si>
  <si>
    <t>ni_f_A6/MTCO2e</t>
  </si>
  <si>
    <t>Total_ni_forestry_only</t>
  </si>
  <si>
    <t>ni_bec_A1/MTCO2e</t>
  </si>
  <si>
    <t>ni_bec_A2/MTCO2e</t>
  </si>
  <si>
    <t>ni_bec_A3/MTCO2e</t>
  </si>
  <si>
    <t>ni_bec_A4/MTCO2e</t>
  </si>
  <si>
    <t>ni_bec_A5/MTCO2e</t>
  </si>
  <si>
    <t>ni_bec_A6/MTCO2e</t>
  </si>
  <si>
    <t>Total_ni_beccs</t>
  </si>
  <si>
    <t>ni_char_A1/MTCO2e</t>
  </si>
  <si>
    <t>ni_char_A2/MTCO2e</t>
  </si>
  <si>
    <t>ni_char_A3/MTCO2e</t>
  </si>
  <si>
    <t>ni_char_A4/MTCO2e</t>
  </si>
  <si>
    <t>ni_char_A5/MTCO2e</t>
  </si>
  <si>
    <t>ni_char_A6/MTCO2e</t>
  </si>
  <si>
    <t>Nevada</t>
  </si>
  <si>
    <t>Elko</t>
  </si>
  <si>
    <t>California</t>
  </si>
  <si>
    <t>Mariposa</t>
  </si>
  <si>
    <t>Calaveras</t>
  </si>
  <si>
    <t>Tuolumne</t>
  </si>
  <si>
    <t>New Mexico</t>
  </si>
  <si>
    <t>Lincoln</t>
  </si>
  <si>
    <t>Amador</t>
  </si>
  <si>
    <t>Sierra</t>
  </si>
  <si>
    <t>Utah</t>
  </si>
  <si>
    <t>Juab</t>
  </si>
  <si>
    <t>Summit</t>
  </si>
  <si>
    <t>Plumas</t>
  </si>
  <si>
    <t>Trinity</t>
  </si>
  <si>
    <t>Arizona</t>
  </si>
  <si>
    <t>Gila</t>
  </si>
  <si>
    <t>Idaho</t>
  </si>
  <si>
    <t>Adams</t>
  </si>
  <si>
    <t>Catron</t>
  </si>
  <si>
    <t>Siskiyou</t>
  </si>
  <si>
    <t>El Dorado</t>
  </si>
  <si>
    <t>Eureka</t>
  </si>
  <si>
    <t>Lassen</t>
  </si>
  <si>
    <t>Washington</t>
  </si>
  <si>
    <t>Colorado</t>
  </si>
  <si>
    <t>Teller</t>
  </si>
  <si>
    <t>Madera</t>
  </si>
  <si>
    <t>Boise</t>
  </si>
  <si>
    <t>Elmore</t>
  </si>
  <si>
    <t>Butte</t>
  </si>
  <si>
    <t>Lake</t>
  </si>
  <si>
    <t>Iron</t>
  </si>
  <si>
    <t>Coconino</t>
  </si>
  <si>
    <t>Park</t>
  </si>
  <si>
    <t>San Diego</t>
  </si>
  <si>
    <t>San Bernardino</t>
  </si>
  <si>
    <t>Grant</t>
  </si>
  <si>
    <t>Modoc</t>
  </si>
  <si>
    <t>Shasta</t>
  </si>
  <si>
    <t>Clearwater</t>
  </si>
  <si>
    <t>Placer</t>
  </si>
  <si>
    <t>Oregon</t>
  </si>
  <si>
    <t>Josephine</t>
  </si>
  <si>
    <t>Colfax</t>
  </si>
  <si>
    <t>Alpine</t>
  </si>
  <si>
    <t>La Plata</t>
  </si>
  <si>
    <t>Beaver</t>
  </si>
  <si>
    <t>Wasatch</t>
  </si>
  <si>
    <t>Ferry</t>
  </si>
  <si>
    <t>Wasco</t>
  </si>
  <si>
    <t>Jefferson</t>
  </si>
  <si>
    <t>Mono</t>
  </si>
  <si>
    <t>Valley</t>
  </si>
  <si>
    <t>Archuleta</t>
  </si>
  <si>
    <t>Yavapai</t>
  </si>
  <si>
    <t>Bannock</t>
  </si>
  <si>
    <t>Sandoval</t>
  </si>
  <si>
    <t>Montana</t>
  </si>
  <si>
    <t>Ravalli</t>
  </si>
  <si>
    <t>Klickitat</t>
  </si>
  <si>
    <t>Tehama</t>
  </si>
  <si>
    <t>Navajo</t>
  </si>
  <si>
    <t>Yuba</t>
  </si>
  <si>
    <t>Mineral</t>
  </si>
  <si>
    <t>Gilpin</t>
  </si>
  <si>
    <t>Wheeler</t>
  </si>
  <si>
    <t>Otero</t>
  </si>
  <si>
    <t>Sevier</t>
  </si>
  <si>
    <t>Sanpete</t>
  </si>
  <si>
    <t>Santa Fe</t>
  </si>
  <si>
    <t>Kern</t>
  </si>
  <si>
    <t>Custer</t>
  </si>
  <si>
    <t>Pima</t>
  </si>
  <si>
    <t>Okanogan</t>
  </si>
  <si>
    <t>Fresno</t>
  </si>
  <si>
    <t>Chelan</t>
  </si>
  <si>
    <t>Mendocino</t>
  </si>
  <si>
    <t>Taos</t>
  </si>
  <si>
    <t>Cassia</t>
  </si>
  <si>
    <t>Montezuma</t>
  </si>
  <si>
    <t>Douglas</t>
  </si>
  <si>
    <t>Kittitas</t>
  </si>
  <si>
    <t>San Luis Obispo</t>
  </si>
  <si>
    <t>Huerfano</t>
  </si>
  <si>
    <t>Deschutes</t>
  </si>
  <si>
    <t>Rio Arriba</t>
  </si>
  <si>
    <t>Stevens</t>
  </si>
  <si>
    <t>Rio Blanco</t>
  </si>
  <si>
    <t>Del Norte</t>
  </si>
  <si>
    <t>Humboldt</t>
  </si>
  <si>
    <t>Klamath</t>
  </si>
  <si>
    <t>Jackson</t>
  </si>
  <si>
    <t>Boulder</t>
  </si>
  <si>
    <t>Lemhi</t>
  </si>
  <si>
    <t>Tulare</t>
  </si>
  <si>
    <t>Ouray</t>
  </si>
  <si>
    <t>Missoula</t>
  </si>
  <si>
    <t>Hood River</t>
  </si>
  <si>
    <t>White Pine</t>
  </si>
  <si>
    <t>El Paso</t>
  </si>
  <si>
    <t>Sanders</t>
  </si>
  <si>
    <t>Union</t>
  </si>
  <si>
    <t>San Miguel</t>
  </si>
  <si>
    <t>Dolores</t>
  </si>
  <si>
    <t>Garfield</t>
  </si>
  <si>
    <t>Apache</t>
  </si>
  <si>
    <t>Flathead</t>
  </si>
  <si>
    <t>Wallowa</t>
  </si>
  <si>
    <t>Boundary</t>
  </si>
  <si>
    <t>Mesa</t>
  </si>
  <si>
    <t>Graham</t>
  </si>
  <si>
    <t>Weber</t>
  </si>
  <si>
    <t>Monterey</t>
  </si>
  <si>
    <t>Granite</t>
  </si>
  <si>
    <t>Santa Cruz</t>
  </si>
  <si>
    <t>Pend Oreille</t>
  </si>
  <si>
    <t>Harney</t>
  </si>
  <si>
    <t>Cochise</t>
  </si>
  <si>
    <t>Shoshone</t>
  </si>
  <si>
    <t>Crook</t>
  </si>
  <si>
    <t>Bonner</t>
  </si>
  <si>
    <t>Wyoming</t>
  </si>
  <si>
    <t>Weston</t>
  </si>
  <si>
    <t>Las Animas</t>
  </si>
  <si>
    <t>Kootenai</t>
  </si>
  <si>
    <t>Skamania</t>
  </si>
  <si>
    <t>Larimer</t>
  </si>
  <si>
    <t>Hinsdale</t>
  </si>
  <si>
    <t>Lewis and Clark</t>
  </si>
  <si>
    <t>Baker</t>
  </si>
  <si>
    <t>Fremont</t>
  </si>
  <si>
    <t>Yakima</t>
  </si>
  <si>
    <t>Teton</t>
  </si>
  <si>
    <t>Benewah</t>
  </si>
  <si>
    <t>Cibola</t>
  </si>
  <si>
    <t>Mason</t>
  </si>
  <si>
    <t>Delta</t>
  </si>
  <si>
    <t>Morrow</t>
  </si>
  <si>
    <t>San Juan</t>
  </si>
  <si>
    <t>Eagle</t>
  </si>
  <si>
    <t>Lane</t>
  </si>
  <si>
    <t>McKinley</t>
  </si>
  <si>
    <t>Bernalillo</t>
  </si>
  <si>
    <t>Carbon</t>
  </si>
  <si>
    <t>Torrance</t>
  </si>
  <si>
    <t>Pueblo</t>
  </si>
  <si>
    <t>Socorro</t>
  </si>
  <si>
    <t>Harding</t>
  </si>
  <si>
    <t>Cowlitz</t>
  </si>
  <si>
    <t>Latah</t>
  </si>
  <si>
    <t>Grand</t>
  </si>
  <si>
    <t>Sublette</t>
  </si>
  <si>
    <t>Montrose</t>
  </si>
  <si>
    <t>Powell</t>
  </si>
  <si>
    <t>Umatilla</t>
  </si>
  <si>
    <t>Routt</t>
  </si>
  <si>
    <t>Curry</t>
  </si>
  <si>
    <t>Coos</t>
  </si>
  <si>
    <t>Duchesne</t>
  </si>
  <si>
    <t>Nye</t>
  </si>
  <si>
    <t>Greenlee</t>
  </si>
  <si>
    <t>Lewis</t>
  </si>
  <si>
    <t>Clark</t>
  </si>
  <si>
    <t>Multnomah</t>
  </si>
  <si>
    <t>Chaffee</t>
  </si>
  <si>
    <t>wildfire_hazard_potential</t>
  </si>
  <si>
    <t>Total_ni_char</t>
  </si>
  <si>
    <t>3.5 million acre scenario: highest wildfire hazard potential, most accessible (A1) biomass</t>
  </si>
  <si>
    <t>Accessibility classifications key</t>
  </si>
  <si>
    <t>A1: 0-500 ft from road, &lt;20% slope</t>
  </si>
  <si>
    <t>A2: 500-1,000 ft from road, &lt;20% slope</t>
  </si>
  <si>
    <t>A3: 1,000 ft - 0.5 mi from road, &lt;20% slope</t>
  </si>
  <si>
    <t>A4: 0-500 ft from road, 20-40% slope</t>
  </si>
  <si>
    <t>A5: 500-1,000 ft from road, 20-40% slope</t>
  </si>
  <si>
    <t>A6: 1,000 ft - 0.5 mi from road, 20-40% slope</t>
  </si>
  <si>
    <t>Counties: A2:A57, fraction of A58</t>
  </si>
  <si>
    <t>Fraction of A58 (Tehama County, CA)</t>
  </si>
  <si>
    <t>Total ac w/o A58:</t>
  </si>
  <si>
    <t>Total ac w/ A58:</t>
  </si>
  <si>
    <t>Ac over 3.5 mil:</t>
  </si>
  <si>
    <t>Total A58:</t>
  </si>
  <si>
    <t>Amount from A58:</t>
  </si>
  <si>
    <t>Fraction of A58:</t>
  </si>
  <si>
    <t>Results</t>
  </si>
  <si>
    <t>total BDMT</t>
  </si>
  <si>
    <t>burial net income</t>
  </si>
  <si>
    <t>burial MTCO2e stored</t>
  </si>
  <si>
    <t>pile burn net income</t>
  </si>
  <si>
    <t>forestry net income</t>
  </si>
  <si>
    <t>total initial MTCO2e</t>
  </si>
  <si>
    <t>beccs net income</t>
  </si>
  <si>
    <t>burial mean eta</t>
  </si>
  <si>
    <t>beccs mean eta</t>
  </si>
  <si>
    <t>beccs MTCO2e stored</t>
  </si>
  <si>
    <t>Total_co2s_burial</t>
  </si>
  <si>
    <t>Total_co2s_beccs</t>
  </si>
  <si>
    <t>biochar 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</si>
</sst>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name val="Aptos Narrow"/>
      <scheme val="minor"/>
    </font>
    <font>
      <b/>
      <sz val="12"/>
      <name val="Aptos Narrow"/>
      <scheme val="minor"/>
    </font>
    <font>
      <sz val="12"/>
      <color theme="1"/>
      <name val="Aptos Narrow"/>
      <scheme val="minor"/>
    </font>
    <font>
      <sz val="12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6">
    <border>
      <left/>
      <right/>
      <top/>
      <bottom/>
      <diagonal/>
    </border>
    <border>
      <left style="double">
        <color indexed="64"/>
      </left>
      <right/>
      <top style="thin">
        <color auto="1"/>
      </top>
      <bottom style="thin">
        <color auto="1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8">
    <xf numFmtId="0" fontId="0" fillId="0" borderId="0" xfId="0"/>
    <xf numFmtId="0" fontId="2" fillId="2" borderId="0" xfId="0" applyFont="1" applyFill="1" applyAlignment="1">
      <alignment horizontal="left"/>
    </xf>
    <xf numFmtId="0" fontId="3" fillId="2" borderId="1" xfId="0" applyFont="1" applyFill="1" applyBorder="1" applyAlignment="1">
      <alignment vertical="top"/>
    </xf>
    <xf numFmtId="0" fontId="3" fillId="2" borderId="0" xfId="0" applyFont="1" applyFill="1" applyAlignment="1">
      <alignment vertical="top"/>
    </xf>
    <xf numFmtId="0" fontId="3" fillId="2" borderId="2" xfId="0" applyFont="1" applyFill="1" applyBorder="1" applyAlignment="1">
      <alignment vertical="top"/>
    </xf>
    <xf numFmtId="0" fontId="4" fillId="2" borderId="2" xfId="0" applyFont="1" applyFill="1" applyBorder="1" applyAlignment="1">
      <alignment horizontal="left" vertical="top"/>
    </xf>
    <xf numFmtId="0" fontId="2" fillId="2" borderId="0" xfId="0" applyFont="1" applyFill="1"/>
    <xf numFmtId="0" fontId="2" fillId="3" borderId="2" xfId="0" applyFont="1" applyFill="1" applyBorder="1" applyAlignment="1">
      <alignment horizontal="left"/>
    </xf>
    <xf numFmtId="0" fontId="3" fillId="3" borderId="0" xfId="0" applyFont="1" applyFill="1" applyAlignment="1">
      <alignment vertical="top"/>
    </xf>
    <xf numFmtId="0" fontId="3" fillId="3" borderId="0" xfId="1" applyNumberFormat="1" applyFont="1" applyFill="1" applyAlignment="1">
      <alignment vertical="top"/>
    </xf>
    <xf numFmtId="0" fontId="2" fillId="4" borderId="2" xfId="0" applyFont="1" applyFill="1" applyBorder="1" applyAlignment="1">
      <alignment horizontal="left"/>
    </xf>
    <xf numFmtId="0" fontId="3" fillId="4" borderId="0" xfId="0" applyFont="1" applyFill="1" applyAlignment="1">
      <alignment vertical="top"/>
    </xf>
    <xf numFmtId="0" fontId="3" fillId="4" borderId="0" xfId="1" applyNumberFormat="1" applyFont="1" applyFill="1" applyAlignment="1">
      <alignment vertical="top"/>
    </xf>
    <xf numFmtId="0" fontId="2" fillId="5" borderId="2" xfId="0" applyFont="1" applyFill="1" applyBorder="1" applyAlignment="1">
      <alignment horizontal="left"/>
    </xf>
    <xf numFmtId="0" fontId="3" fillId="5" borderId="0" xfId="0" applyFont="1" applyFill="1" applyAlignment="1">
      <alignment vertical="top"/>
    </xf>
    <xf numFmtId="0" fontId="3" fillId="5" borderId="0" xfId="1" applyNumberFormat="1" applyFont="1" applyFill="1" applyAlignment="1">
      <alignment vertical="top"/>
    </xf>
    <xf numFmtId="0" fontId="2" fillId="6" borderId="2" xfId="0" applyFont="1" applyFill="1" applyBorder="1" applyAlignment="1">
      <alignment horizontal="left"/>
    </xf>
    <xf numFmtId="0" fontId="3" fillId="6" borderId="0" xfId="0" applyFont="1" applyFill="1" applyAlignment="1">
      <alignment vertical="top"/>
    </xf>
    <xf numFmtId="0" fontId="3" fillId="6" borderId="0" xfId="1" applyNumberFormat="1" applyFont="1" applyFill="1" applyAlignment="1">
      <alignment vertical="top"/>
    </xf>
    <xf numFmtId="0" fontId="2" fillId="7" borderId="2" xfId="0" applyFont="1" applyFill="1" applyBorder="1" applyAlignment="1">
      <alignment horizontal="left"/>
    </xf>
    <xf numFmtId="0" fontId="3" fillId="7" borderId="0" xfId="0" applyFont="1" applyFill="1" applyAlignment="1">
      <alignment vertical="top"/>
    </xf>
    <xf numFmtId="0" fontId="3" fillId="7" borderId="0" xfId="1" applyNumberFormat="1" applyFont="1" applyFill="1" applyBorder="1" applyAlignment="1">
      <alignment vertical="top"/>
    </xf>
    <xf numFmtId="0" fontId="0" fillId="0" borderId="2" xfId="0" applyBorder="1"/>
    <xf numFmtId="0" fontId="0" fillId="6" borderId="0" xfId="0" applyFill="1"/>
    <xf numFmtId="0" fontId="0" fillId="5" borderId="0" xfId="0" applyFill="1"/>
    <xf numFmtId="0" fontId="0" fillId="3" borderId="0" xfId="0" applyFill="1"/>
    <xf numFmtId="43" fontId="0" fillId="0" borderId="0" xfId="1" applyFont="1"/>
    <xf numFmtId="0" fontId="0" fillId="4" borderId="0" xfId="0" applyFill="1"/>
    <xf numFmtId="0" fontId="0" fillId="0" borderId="0" xfId="1" applyNumberFormat="1" applyFont="1"/>
    <xf numFmtId="0" fontId="0" fillId="7" borderId="0" xfId="0" applyFill="1"/>
    <xf numFmtId="0" fontId="0" fillId="0" borderId="0" xfId="1" applyNumberFormat="1" applyFont="1" applyBorder="1"/>
    <xf numFmtId="0" fontId="2" fillId="0" borderId="0" xfId="0" applyFont="1"/>
    <xf numFmtId="0" fontId="2" fillId="0" borderId="2" xfId="0" applyFont="1" applyBorder="1"/>
    <xf numFmtId="0" fontId="2" fillId="5" borderId="0" xfId="0" applyFont="1" applyFill="1"/>
    <xf numFmtId="0" fontId="2" fillId="3" borderId="0" xfId="0" applyFont="1" applyFill="1"/>
    <xf numFmtId="43" fontId="2" fillId="0" borderId="0" xfId="1" applyFont="1"/>
    <xf numFmtId="0" fontId="2" fillId="4" borderId="0" xfId="0" applyFont="1" applyFill="1"/>
    <xf numFmtId="0" fontId="2" fillId="0" borderId="0" xfId="1" applyNumberFormat="1" applyFont="1"/>
    <xf numFmtId="0" fontId="2" fillId="6" borderId="0" xfId="0" applyFont="1" applyFill="1"/>
    <xf numFmtId="0" fontId="2" fillId="7" borderId="0" xfId="0" applyFont="1" applyFill="1"/>
    <xf numFmtId="43" fontId="2" fillId="0" borderId="0" xfId="1" applyFont="1" applyBorder="1"/>
    <xf numFmtId="0" fontId="0" fillId="2" borderId="0" xfId="0" applyFill="1"/>
    <xf numFmtId="0" fontId="6" fillId="0" borderId="2" xfId="0" applyFont="1" applyFill="1" applyBorder="1"/>
    <xf numFmtId="0" fontId="6" fillId="0" borderId="0" xfId="0" applyFont="1" applyFill="1"/>
    <xf numFmtId="0" fontId="4" fillId="0" borderId="2" xfId="0" applyFont="1" applyFill="1" applyBorder="1"/>
    <xf numFmtId="0" fontId="4" fillId="0" borderId="0" xfId="0" applyFont="1" applyFill="1"/>
    <xf numFmtId="43" fontId="4" fillId="0" borderId="0" xfId="1" applyFont="1" applyFill="1"/>
    <xf numFmtId="0" fontId="2" fillId="0" borderId="0" xfId="0" applyFont="1" applyFill="1"/>
    <xf numFmtId="0" fontId="5" fillId="0" borderId="0" xfId="0" applyFont="1" applyFill="1"/>
    <xf numFmtId="0" fontId="0" fillId="0" borderId="0" xfId="0" applyFill="1"/>
    <xf numFmtId="0" fontId="5" fillId="0" borderId="2" xfId="0" applyFont="1" applyFill="1" applyBorder="1"/>
    <xf numFmtId="0" fontId="2" fillId="0" borderId="2" xfId="0" applyFont="1" applyFill="1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" fillId="7" borderId="3" xfId="0" applyFont="1" applyFill="1" applyBorder="1"/>
    <xf numFmtId="0" fontId="0" fillId="7" borderId="4" xfId="0" applyFill="1" applyBorder="1"/>
    <xf numFmtId="0" fontId="0" fillId="7" borderId="5" xfId="0" applyFill="1" applyBorder="1"/>
    <xf numFmtId="0" fontId="7" fillId="0" borderId="2" xfId="0" applyFont="1" applyFill="1" applyBorder="1"/>
    <xf numFmtId="0" fontId="7" fillId="0" borderId="0" xfId="0" applyFont="1" applyFill="1"/>
    <xf numFmtId="0" fontId="8" fillId="0" borderId="2" xfId="0" applyFont="1" applyFill="1" applyBorder="1"/>
    <xf numFmtId="0" fontId="8" fillId="0" borderId="0" xfId="0" applyFont="1" applyFill="1"/>
    <xf numFmtId="0" fontId="3" fillId="3" borderId="2" xfId="0" applyFont="1" applyFill="1" applyBorder="1" applyAlignment="1">
      <alignment vertical="top"/>
    </xf>
    <xf numFmtId="0" fontId="7" fillId="3" borderId="0" xfId="0" applyFont="1" applyFill="1"/>
    <xf numFmtId="0" fontId="8" fillId="3" borderId="0" xfId="0" applyFont="1" applyFill="1"/>
    <xf numFmtId="0" fontId="2" fillId="6" borderId="2" xfId="0" applyFont="1" applyFill="1" applyBorder="1"/>
    <xf numFmtId="0" fontId="2" fillId="0" borderId="11" xfId="0" applyFont="1" applyBorder="1"/>
    <xf numFmtId="0" fontId="0" fillId="0" borderId="12" xfId="0" applyBorder="1"/>
    <xf numFmtId="0" fontId="0" fillId="0" borderId="13" xfId="0" applyBorder="1"/>
    <xf numFmtId="0" fontId="0" fillId="5" borderId="2" xfId="0" applyFill="1" applyBorder="1"/>
    <xf numFmtId="0" fontId="0" fillId="4" borderId="2" xfId="0" applyFill="1" applyBorder="1"/>
    <xf numFmtId="0" fontId="0" fillId="3" borderId="2" xfId="0" applyFill="1" applyBorder="1"/>
    <xf numFmtId="0" fontId="0" fillId="6" borderId="2" xfId="0" applyFill="1" applyBorder="1"/>
    <xf numFmtId="0" fontId="0" fillId="7" borderId="14" xfId="0" applyFill="1" applyBorder="1"/>
    <xf numFmtId="0" fontId="0" fillId="0" borderId="15" xfId="0" applyBorder="1"/>
  </cellXfs>
  <cellStyles count="2">
    <cellStyle name="Comma" xfId="1" builtinId="3"/>
    <cellStyle name="Normal" xfId="0" builtinId="0"/>
  </cellStyles>
  <dxfs count="1"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F1F50-5CFF-AF42-BA3A-E01CE063C771}">
  <dimension ref="A1:N23"/>
  <sheetViews>
    <sheetView tabSelected="1" workbookViewId="0">
      <selection activeCell="F28" sqref="F28"/>
    </sheetView>
  </sheetViews>
  <sheetFormatPr baseColWidth="10" defaultRowHeight="16"/>
  <cols>
    <col min="1" max="1" width="20.1640625" customWidth="1"/>
    <col min="2" max="2" width="12.83203125" customWidth="1"/>
  </cols>
  <sheetData>
    <row r="1" spans="1:14">
      <c r="A1" s="6" t="s">
        <v>304</v>
      </c>
      <c r="B1" s="41"/>
      <c r="C1" s="41"/>
      <c r="D1" s="41"/>
      <c r="E1" s="41"/>
      <c r="F1" s="41"/>
      <c r="K1" s="58" t="s">
        <v>305</v>
      </c>
      <c r="L1" s="59"/>
      <c r="M1" s="59"/>
      <c r="N1" s="60"/>
    </row>
    <row r="2" spans="1:14">
      <c r="A2" t="s">
        <v>312</v>
      </c>
      <c r="K2" s="52" t="s">
        <v>306</v>
      </c>
      <c r="L2" s="53"/>
      <c r="M2" s="53"/>
      <c r="N2" s="54"/>
    </row>
    <row r="3" spans="1:14">
      <c r="A3" s="31" t="s">
        <v>313</v>
      </c>
      <c r="K3" s="52" t="s">
        <v>307</v>
      </c>
      <c r="L3" s="53"/>
      <c r="M3" s="53"/>
      <c r="N3" s="54"/>
    </row>
    <row r="4" spans="1:14">
      <c r="A4" t="s">
        <v>314</v>
      </c>
      <c r="B4">
        <f>SUM(all_data!K2:'all_data'!K57)</f>
        <v>3397546.8000000003</v>
      </c>
      <c r="K4" s="52" t="s">
        <v>308</v>
      </c>
      <c r="L4" s="53"/>
      <c r="M4" s="53"/>
      <c r="N4" s="54"/>
    </row>
    <row r="5" spans="1:14">
      <c r="A5" t="s">
        <v>315</v>
      </c>
      <c r="B5">
        <f>SUM(all_data!K2:'all_data'!K58)</f>
        <v>3950945.2</v>
      </c>
      <c r="K5" s="52" t="s">
        <v>309</v>
      </c>
      <c r="L5" s="53"/>
      <c r="M5" s="53"/>
      <c r="N5" s="54"/>
    </row>
    <row r="6" spans="1:14">
      <c r="A6" t="s">
        <v>316</v>
      </c>
      <c r="B6">
        <f>B5-3500000</f>
        <v>450945.20000000019</v>
      </c>
      <c r="K6" s="52" t="s">
        <v>310</v>
      </c>
      <c r="L6" s="53"/>
      <c r="M6" s="53"/>
      <c r="N6" s="54"/>
    </row>
    <row r="7" spans="1:14">
      <c r="A7" t="s">
        <v>317</v>
      </c>
      <c r="B7">
        <f>all_data!K58</f>
        <v>553398.4</v>
      </c>
      <c r="K7" s="55" t="s">
        <v>311</v>
      </c>
      <c r="L7" s="56"/>
      <c r="M7" s="56"/>
      <c r="N7" s="57"/>
    </row>
    <row r="8" spans="1:14">
      <c r="A8" t="s">
        <v>318</v>
      </c>
      <c r="B8">
        <f>B7-B6</f>
        <v>102453.19999999984</v>
      </c>
    </row>
    <row r="9" spans="1:14">
      <c r="A9" t="s">
        <v>319</v>
      </c>
      <c r="B9">
        <f>B8/B7</f>
        <v>0.18513461549581609</v>
      </c>
    </row>
    <row r="10" spans="1:14" ht="17" thickBot="1"/>
    <row r="11" spans="1:14" ht="17" thickTop="1">
      <c r="A11" s="69" t="s">
        <v>320</v>
      </c>
      <c r="B11" s="70"/>
    </row>
    <row r="12" spans="1:14">
      <c r="A12" s="22" t="s">
        <v>321</v>
      </c>
      <c r="B12" s="71">
        <f>SUM(all_data!AC2:'all_data'!AC57, all_data!AC58*'3.5mil_ac'!B9)*0.907185</f>
        <v>42603356.650751233</v>
      </c>
    </row>
    <row r="13" spans="1:14">
      <c r="A13" s="22" t="s">
        <v>326</v>
      </c>
      <c r="B13" s="71">
        <f>B12*0.5*3.67</f>
        <v>78177159.454128504</v>
      </c>
    </row>
    <row r="14" spans="1:14">
      <c r="A14" s="72" t="s">
        <v>325</v>
      </c>
      <c r="B14" s="71">
        <f>SUM(all_data!DQ2:'all_data'!DQ57, all_data!DQ58*'3.5mil_ac'!B9)</f>
        <v>-1342301827.8273859</v>
      </c>
    </row>
    <row r="15" spans="1:14">
      <c r="A15" s="73" t="s">
        <v>324</v>
      </c>
      <c r="B15" s="71">
        <f>SUM(all_data!CR2:'all_data'!CR57, all_data!CR58*'3.5mil_ac'!B9)</f>
        <v>-3133340550.9214697</v>
      </c>
    </row>
    <row r="16" spans="1:14">
      <c r="A16" s="74" t="s">
        <v>322</v>
      </c>
      <c r="B16" s="71">
        <f>SUM(all_data!BP2:'all_data'!BP57, all_data!BP58*'3.5mil_ac'!B9)</f>
        <v>2003125806.6493053</v>
      </c>
    </row>
    <row r="17" spans="1:2">
      <c r="A17" s="74" t="s">
        <v>328</v>
      </c>
      <c r="B17" s="71">
        <f>AVERAGE(all_data!F2:'all_data'!F57, all_data!F58*'3.5mil_ac'!B9)</f>
        <v>0.77183891295166296</v>
      </c>
    </row>
    <row r="18" spans="1:2">
      <c r="A18" s="74" t="s">
        <v>323</v>
      </c>
      <c r="B18" s="71">
        <f>SUM(c_stored!K2:'c_stored'!K57, c_stored!K58*'3.5mil_ac'!B9)</f>
        <v>60723475.240046501</v>
      </c>
    </row>
    <row r="19" spans="1:2">
      <c r="A19" s="75" t="s">
        <v>327</v>
      </c>
      <c r="B19" s="71">
        <f>SUM(all_data!EP2:'all_data'!EP57, all_data!EP58*'3.5mil_ac'!B9)</f>
        <v>2072427644.2731035</v>
      </c>
    </row>
    <row r="20" spans="1:2">
      <c r="A20" s="75" t="s">
        <v>329</v>
      </c>
      <c r="B20" s="71">
        <f>AVERAGE(all_data!H2:'all_data'!H57, all_data!H58*'3.5mil_ac'!B9)</f>
        <v>0.80149886336860099</v>
      </c>
    </row>
    <row r="21" spans="1:2">
      <c r="A21" s="75" t="s">
        <v>330</v>
      </c>
      <c r="B21" s="71">
        <f>SUM(c_stored!AD2:'c_stored'!AD57, c_stored!AD58*'3.5mil_ac'!B9)</f>
        <v>63582685.279952258</v>
      </c>
    </row>
    <row r="22" spans="1:2" ht="17" thickBot="1">
      <c r="A22" s="76" t="s">
        <v>333</v>
      </c>
      <c r="B22" s="77">
        <f>SUM(all_data!FO2:'all_data'!FO57, all_data!FO58*'3.5mil_ac'!B9)</f>
        <v>782731610.05938244</v>
      </c>
    </row>
    <row r="23" spans="1:2" ht="17" thickTop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EA2C3-34E0-3B48-AFEB-FA1E743214ED}">
  <dimension ref="A1:GJ175"/>
  <sheetViews>
    <sheetView topLeftCell="FI1" workbookViewId="0">
      <pane ySplit="1" topLeftCell="A2" activePane="bottomLeft" state="frozen"/>
      <selection pane="bottomLeft" sqref="A1:H1048576"/>
    </sheetView>
  </sheetViews>
  <sheetFormatPr baseColWidth="10" defaultRowHeight="16"/>
  <cols>
    <col min="1" max="3" width="10.83203125" style="49"/>
    <col min="4" max="4" width="10.83203125" style="50"/>
    <col min="5" max="8" width="10.83203125" style="49"/>
    <col min="9" max="9" width="10.83203125" style="42" customWidth="1"/>
    <col min="10" max="10" width="10.83203125" style="43" customWidth="1"/>
    <col min="11" max="11" width="14" style="43" bestFit="1" customWidth="1"/>
    <col min="12" max="13" width="10.83203125" style="43" customWidth="1"/>
    <col min="14" max="14" width="10.83203125" style="43"/>
    <col min="15" max="16" width="10.83203125" style="43" customWidth="1"/>
    <col min="17" max="17" width="10.83203125" style="43"/>
    <col min="18" max="19" width="10.83203125" style="43" customWidth="1"/>
    <col min="20" max="20" width="10.83203125" style="43"/>
    <col min="21" max="22" width="10.83203125" style="43" customWidth="1"/>
    <col min="23" max="23" width="10.83203125" style="43"/>
    <col min="24" max="25" width="10.83203125" style="43" customWidth="1"/>
    <col min="26" max="26" width="10.83203125" style="43"/>
    <col min="27" max="27" width="10.83203125" style="22"/>
    <col min="45" max="45" width="12" bestFit="1" customWidth="1"/>
    <col min="46" max="46" width="10.83203125" style="22"/>
    <col min="65" max="65" width="10.83203125" style="22"/>
    <col min="68" max="68" width="10.83203125" style="25"/>
    <col min="72" max="72" width="10.83203125" style="25"/>
    <col min="76" max="76" width="10.83203125" style="25"/>
    <col min="80" max="80" width="10.83203125" style="25"/>
    <col min="84" max="84" width="10.83203125" style="25"/>
    <col min="88" max="88" width="10.83203125" style="25"/>
    <col min="89" max="89" width="18.5" style="26" bestFit="1" customWidth="1"/>
    <col min="90" max="92" width="0" hidden="1" customWidth="1"/>
    <col min="93" max="93" width="10.83203125" style="22"/>
    <col min="96" max="96" width="10.83203125" style="27"/>
    <col min="100" max="100" width="10.83203125" style="27"/>
    <col min="104" max="104" width="10.83203125" style="27"/>
    <col min="108" max="108" width="10.83203125" style="27"/>
    <col min="112" max="112" width="10.83203125" style="27"/>
    <col min="116" max="116" width="10.83203125" style="27"/>
    <col min="117" max="117" width="18.5" style="28" bestFit="1" customWidth="1"/>
    <col min="118" max="118" width="10.83203125" style="22"/>
    <col min="121" max="121" width="10.83203125" style="24"/>
    <col min="125" max="125" width="10.83203125" style="24"/>
    <col min="129" max="129" width="10.83203125" style="24"/>
    <col min="133" max="133" width="10.83203125" style="24"/>
    <col min="137" max="137" width="10.83203125" style="24"/>
    <col min="141" max="141" width="10.83203125" style="24"/>
    <col min="142" max="142" width="18.5" style="28" bestFit="1" customWidth="1"/>
    <col min="143" max="143" width="10.83203125" style="22"/>
    <col min="146" max="146" width="10.83203125" style="23"/>
    <col min="150" max="150" width="10.83203125" style="23"/>
    <col min="154" max="154" width="10.83203125" style="23"/>
    <col min="158" max="158" width="10.83203125" style="23"/>
    <col min="162" max="162" width="10.83203125" style="23"/>
    <col min="166" max="166" width="10.83203125" style="23"/>
    <col min="167" max="167" width="18.5" style="28" bestFit="1" customWidth="1"/>
    <col min="168" max="168" width="10.83203125" style="22"/>
    <col min="171" max="171" width="10.83203125" style="29"/>
    <col min="175" max="175" width="10.83203125" style="29"/>
    <col min="179" max="179" width="10.83203125" style="29"/>
    <col min="183" max="183" width="10.83203125" style="29"/>
    <col min="187" max="187" width="10.83203125" style="29"/>
    <col min="191" max="191" width="10.83203125" style="29"/>
    <col min="192" max="192" width="18.5" style="30" bestFit="1" customWidth="1"/>
  </cols>
  <sheetData>
    <row r="1" spans="1:192" s="6" customFormat="1">
      <c r="A1" s="1" t="s">
        <v>0</v>
      </c>
      <c r="B1" s="1" t="s">
        <v>1</v>
      </c>
      <c r="C1" s="1" t="s">
        <v>2</v>
      </c>
      <c r="D1" s="5" t="s">
        <v>302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4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4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7" t="s">
        <v>81</v>
      </c>
      <c r="BN1" s="8" t="s">
        <v>82</v>
      </c>
      <c r="BO1" s="8" t="s">
        <v>83</v>
      </c>
      <c r="BP1" s="8" t="s">
        <v>84</v>
      </c>
      <c r="BQ1" s="8" t="s">
        <v>85</v>
      </c>
      <c r="BR1" s="8" t="s">
        <v>86</v>
      </c>
      <c r="BS1" s="8" t="s">
        <v>87</v>
      </c>
      <c r="BT1" s="8" t="s">
        <v>88</v>
      </c>
      <c r="BU1" s="8" t="s">
        <v>89</v>
      </c>
      <c r="BV1" s="8" t="s">
        <v>90</v>
      </c>
      <c r="BW1" s="8" t="s">
        <v>91</v>
      </c>
      <c r="BX1" s="8" t="s">
        <v>92</v>
      </c>
      <c r="BY1" s="8" t="s">
        <v>93</v>
      </c>
      <c r="BZ1" s="8" t="s">
        <v>94</v>
      </c>
      <c r="CA1" s="8" t="s">
        <v>95</v>
      </c>
      <c r="CB1" s="8" t="s">
        <v>96</v>
      </c>
      <c r="CC1" s="8" t="s">
        <v>97</v>
      </c>
      <c r="CD1" s="8" t="s">
        <v>98</v>
      </c>
      <c r="CE1" s="8" t="s">
        <v>99</v>
      </c>
      <c r="CF1" s="8" t="s">
        <v>100</v>
      </c>
      <c r="CG1" s="8" t="s">
        <v>101</v>
      </c>
      <c r="CH1" s="8" t="s">
        <v>102</v>
      </c>
      <c r="CI1" s="8" t="s">
        <v>103</v>
      </c>
      <c r="CJ1" s="8" t="s">
        <v>104</v>
      </c>
      <c r="CK1" s="9" t="s">
        <v>105</v>
      </c>
      <c r="CL1" s="6" t="s">
        <v>106</v>
      </c>
      <c r="CM1" s="6" t="s">
        <v>107</v>
      </c>
      <c r="CN1" s="6" t="s">
        <v>108</v>
      </c>
      <c r="CO1" s="10" t="s">
        <v>109</v>
      </c>
      <c r="CP1" s="11" t="s">
        <v>82</v>
      </c>
      <c r="CQ1" s="11" t="s">
        <v>83</v>
      </c>
      <c r="CR1" s="11" t="s">
        <v>84</v>
      </c>
      <c r="CS1" s="11" t="s">
        <v>110</v>
      </c>
      <c r="CT1" s="11" t="s">
        <v>86</v>
      </c>
      <c r="CU1" s="11" t="s">
        <v>87</v>
      </c>
      <c r="CV1" s="11" t="s">
        <v>88</v>
      </c>
      <c r="CW1" s="11" t="s">
        <v>111</v>
      </c>
      <c r="CX1" s="11" t="s">
        <v>90</v>
      </c>
      <c r="CY1" s="11" t="s">
        <v>91</v>
      </c>
      <c r="CZ1" s="11" t="s">
        <v>92</v>
      </c>
      <c r="DA1" s="11" t="s">
        <v>112</v>
      </c>
      <c r="DB1" s="11" t="s">
        <v>94</v>
      </c>
      <c r="DC1" s="11" t="s">
        <v>95</v>
      </c>
      <c r="DD1" s="11" t="s">
        <v>96</v>
      </c>
      <c r="DE1" s="11" t="s">
        <v>113</v>
      </c>
      <c r="DF1" s="11" t="s">
        <v>98</v>
      </c>
      <c r="DG1" s="11" t="s">
        <v>99</v>
      </c>
      <c r="DH1" s="11" t="s">
        <v>100</v>
      </c>
      <c r="DI1" s="11" t="s">
        <v>114</v>
      </c>
      <c r="DJ1" s="11" t="s">
        <v>102</v>
      </c>
      <c r="DK1" s="11" t="s">
        <v>103</v>
      </c>
      <c r="DL1" s="11" t="s">
        <v>104</v>
      </c>
      <c r="DM1" s="12" t="s">
        <v>115</v>
      </c>
      <c r="DN1" s="13" t="s">
        <v>116</v>
      </c>
      <c r="DO1" s="14" t="s">
        <v>82</v>
      </c>
      <c r="DP1" s="14" t="s">
        <v>83</v>
      </c>
      <c r="DQ1" s="14" t="s">
        <v>84</v>
      </c>
      <c r="DR1" s="14" t="s">
        <v>117</v>
      </c>
      <c r="DS1" s="14" t="s">
        <v>86</v>
      </c>
      <c r="DT1" s="14" t="s">
        <v>87</v>
      </c>
      <c r="DU1" s="14" t="s">
        <v>88</v>
      </c>
      <c r="DV1" s="14" t="s">
        <v>118</v>
      </c>
      <c r="DW1" s="14" t="s">
        <v>90</v>
      </c>
      <c r="DX1" s="14" t="s">
        <v>91</v>
      </c>
      <c r="DY1" s="14" t="s">
        <v>92</v>
      </c>
      <c r="DZ1" s="14" t="s">
        <v>119</v>
      </c>
      <c r="EA1" s="14" t="s">
        <v>94</v>
      </c>
      <c r="EB1" s="14" t="s">
        <v>95</v>
      </c>
      <c r="EC1" s="14" t="s">
        <v>96</v>
      </c>
      <c r="ED1" s="14" t="s">
        <v>120</v>
      </c>
      <c r="EE1" s="14" t="s">
        <v>98</v>
      </c>
      <c r="EF1" s="14" t="s">
        <v>99</v>
      </c>
      <c r="EG1" s="14" t="s">
        <v>100</v>
      </c>
      <c r="EH1" s="14" t="s">
        <v>121</v>
      </c>
      <c r="EI1" s="14" t="s">
        <v>102</v>
      </c>
      <c r="EJ1" s="14" t="s">
        <v>103</v>
      </c>
      <c r="EK1" s="14" t="s">
        <v>104</v>
      </c>
      <c r="EL1" s="15" t="s">
        <v>122</v>
      </c>
      <c r="EM1" s="16" t="s">
        <v>123</v>
      </c>
      <c r="EN1" s="17" t="s">
        <v>82</v>
      </c>
      <c r="EO1" s="17" t="s">
        <v>83</v>
      </c>
      <c r="EP1" s="17" t="s">
        <v>84</v>
      </c>
      <c r="EQ1" s="17" t="s">
        <v>124</v>
      </c>
      <c r="ER1" s="17" t="s">
        <v>86</v>
      </c>
      <c r="ES1" s="17" t="s">
        <v>87</v>
      </c>
      <c r="ET1" s="17" t="s">
        <v>88</v>
      </c>
      <c r="EU1" s="17" t="s">
        <v>125</v>
      </c>
      <c r="EV1" s="17" t="s">
        <v>90</v>
      </c>
      <c r="EW1" s="17" t="s">
        <v>91</v>
      </c>
      <c r="EX1" s="17" t="s">
        <v>92</v>
      </c>
      <c r="EY1" s="17" t="s">
        <v>126</v>
      </c>
      <c r="EZ1" s="17" t="s">
        <v>94</v>
      </c>
      <c r="FA1" s="17" t="s">
        <v>95</v>
      </c>
      <c r="FB1" s="17" t="s">
        <v>96</v>
      </c>
      <c r="FC1" s="17" t="s">
        <v>127</v>
      </c>
      <c r="FD1" s="17" t="s">
        <v>98</v>
      </c>
      <c r="FE1" s="17" t="s">
        <v>99</v>
      </c>
      <c r="FF1" s="17" t="s">
        <v>100</v>
      </c>
      <c r="FG1" s="17" t="s">
        <v>128</v>
      </c>
      <c r="FH1" s="17" t="s">
        <v>102</v>
      </c>
      <c r="FI1" s="17" t="s">
        <v>103</v>
      </c>
      <c r="FJ1" s="17" t="s">
        <v>104</v>
      </c>
      <c r="FK1" s="18" t="s">
        <v>129</v>
      </c>
      <c r="FL1" s="19" t="s">
        <v>130</v>
      </c>
      <c r="FM1" s="20" t="s">
        <v>82</v>
      </c>
      <c r="FN1" s="20" t="s">
        <v>83</v>
      </c>
      <c r="FO1" s="20" t="s">
        <v>84</v>
      </c>
      <c r="FP1" s="20" t="s">
        <v>131</v>
      </c>
      <c r="FQ1" s="20" t="s">
        <v>86</v>
      </c>
      <c r="FR1" s="20" t="s">
        <v>87</v>
      </c>
      <c r="FS1" s="20" t="s">
        <v>88</v>
      </c>
      <c r="FT1" s="20" t="s">
        <v>132</v>
      </c>
      <c r="FU1" s="20" t="s">
        <v>90</v>
      </c>
      <c r="FV1" s="20" t="s">
        <v>91</v>
      </c>
      <c r="FW1" s="20" t="s">
        <v>92</v>
      </c>
      <c r="FX1" s="20" t="s">
        <v>133</v>
      </c>
      <c r="FY1" s="20" t="s">
        <v>94</v>
      </c>
      <c r="FZ1" s="20" t="s">
        <v>95</v>
      </c>
      <c r="GA1" s="20" t="s">
        <v>96</v>
      </c>
      <c r="GB1" s="20" t="s">
        <v>134</v>
      </c>
      <c r="GC1" s="20" t="s">
        <v>98</v>
      </c>
      <c r="GD1" s="20" t="s">
        <v>99</v>
      </c>
      <c r="GE1" s="20" t="s">
        <v>100</v>
      </c>
      <c r="GF1" s="20" t="s">
        <v>135</v>
      </c>
      <c r="GG1" s="20" t="s">
        <v>102</v>
      </c>
      <c r="GH1" s="20" t="s">
        <v>103</v>
      </c>
      <c r="GI1" s="20" t="s">
        <v>104</v>
      </c>
      <c r="GJ1" s="21" t="s">
        <v>303</v>
      </c>
    </row>
    <row r="2" spans="1:192">
      <c r="A2" s="48" t="s">
        <v>136</v>
      </c>
      <c r="B2" s="48" t="s">
        <v>137</v>
      </c>
      <c r="C2" s="49">
        <v>51</v>
      </c>
      <c r="D2" s="50">
        <v>1</v>
      </c>
      <c r="E2" s="49">
        <v>168.917298493381</v>
      </c>
      <c r="F2" s="49">
        <v>0.78545937881514205</v>
      </c>
      <c r="G2" s="49">
        <v>303.45157008702</v>
      </c>
      <c r="H2" s="49">
        <v>0.80084971102139701</v>
      </c>
      <c r="I2" s="42">
        <v>11927.8</v>
      </c>
      <c r="J2" s="43">
        <v>14391.7</v>
      </c>
      <c r="K2" s="43">
        <f t="shared" ref="K2:K65" si="0">IF(J2&lt;&gt;-999, I2+J2, I2)</f>
        <v>26319.5</v>
      </c>
      <c r="L2" s="43">
        <v>1335.9</v>
      </c>
      <c r="M2" s="43">
        <v>1611.9</v>
      </c>
      <c r="N2" s="43">
        <f t="shared" ref="N2:N65" si="1">IF(M2&lt;&gt;-999, L2+M2, L2)</f>
        <v>2947.8</v>
      </c>
      <c r="O2" s="43">
        <v>11529.3</v>
      </c>
      <c r="P2" s="43">
        <v>13910.9</v>
      </c>
      <c r="Q2" s="43">
        <f t="shared" ref="Q2:Q65" si="2">IF(P2&lt;&gt;-999, O2+P2, O2)</f>
        <v>25440.199999999997</v>
      </c>
      <c r="R2" s="43">
        <v>20648.099999999999</v>
      </c>
      <c r="S2" s="43">
        <v>24913.4</v>
      </c>
      <c r="T2" s="43">
        <f t="shared" ref="T2:T65" si="3">IF(S2&lt;&gt;-999, R2+S2, R2)</f>
        <v>45561.5</v>
      </c>
      <c r="U2" s="43">
        <v>2312.6</v>
      </c>
      <c r="V2" s="43">
        <v>2790.4</v>
      </c>
      <c r="W2" s="43">
        <f t="shared" ref="W2:W65" si="4">IF(V2&lt;&gt;-999, U2+V2, U2)</f>
        <v>5103</v>
      </c>
      <c r="X2" s="43">
        <v>19958.400000000001</v>
      </c>
      <c r="Y2" s="43">
        <v>24081.200000000001</v>
      </c>
      <c r="Z2" s="43">
        <f t="shared" ref="Z2:Z65" si="5">IF(Y2&lt;&gt;-999, X2+Y2, X2)</f>
        <v>44039.600000000006</v>
      </c>
      <c r="AA2" s="22">
        <v>91898.7</v>
      </c>
      <c r="AB2">
        <v>71834.399999999994</v>
      </c>
      <c r="AC2">
        <v>163733.20000000001</v>
      </c>
      <c r="AD2">
        <v>10292.9</v>
      </c>
      <c r="AE2">
        <v>8045.6</v>
      </c>
      <c r="AF2">
        <v>18338.5</v>
      </c>
      <c r="AG2">
        <v>88828.800000000003</v>
      </c>
      <c r="AH2">
        <v>69434.8</v>
      </c>
      <c r="AI2">
        <v>158263.6</v>
      </c>
      <c r="AJ2">
        <v>159085.9</v>
      </c>
      <c r="AK2">
        <v>124352.5</v>
      </c>
      <c r="AL2">
        <v>283438.40000000002</v>
      </c>
      <c r="AM2">
        <v>17818</v>
      </c>
      <c r="AN2">
        <v>13927.8</v>
      </c>
      <c r="AO2">
        <v>31745.8</v>
      </c>
      <c r="AP2">
        <v>153771.6</v>
      </c>
      <c r="AQ2">
        <v>120198.5</v>
      </c>
      <c r="AR2">
        <v>273970.09999999998</v>
      </c>
      <c r="AS2">
        <v>929489.67</v>
      </c>
      <c r="AT2" s="22">
        <f t="shared" ref="AT2:BI17" si="6">IF(AA2&lt;&gt;-999,AA2*0.5*3.67*0.907185, -999)</f>
        <v>152982.3391626825</v>
      </c>
      <c r="AU2">
        <f t="shared" si="6"/>
        <v>119581.61045093999</v>
      </c>
      <c r="AV2">
        <f t="shared" si="6"/>
        <v>272564.11608207005</v>
      </c>
      <c r="AW2">
        <f t="shared" si="6"/>
        <v>17134.430832727499</v>
      </c>
      <c r="AX2">
        <f t="shared" si="6"/>
        <v>13393.385412059999</v>
      </c>
      <c r="AY2">
        <f t="shared" si="6"/>
        <v>30527.8162447875</v>
      </c>
      <c r="AZ2">
        <f t="shared" si="6"/>
        <v>147871.92429287999</v>
      </c>
      <c r="BA2">
        <f t="shared" si="6"/>
        <v>115587.03358473002</v>
      </c>
      <c r="BB2">
        <f t="shared" si="6"/>
        <v>263458.95787761</v>
      </c>
      <c r="BC2">
        <f t="shared" si="6"/>
        <v>264827.82792140247</v>
      </c>
      <c r="BD2">
        <f t="shared" si="6"/>
        <v>207007.6761774375</v>
      </c>
      <c r="BE2">
        <f t="shared" si="6"/>
        <v>471835.50409884006</v>
      </c>
      <c r="BF2">
        <f t="shared" si="6"/>
        <v>29661.347975550001</v>
      </c>
      <c r="BG2">
        <f t="shared" si="6"/>
        <v>23185.392430904998</v>
      </c>
      <c r="BH2">
        <f t="shared" si="6"/>
        <v>52846.740406454999</v>
      </c>
      <c r="BI2">
        <f t="shared" si="6"/>
        <v>255981.19521591</v>
      </c>
      <c r="BJ2">
        <f t="shared" ref="BJ2:BL33" si="7">IF(AQ2&lt;&gt;-999,AQ2*0.5*3.67*0.907185, -999)</f>
        <v>200092.57686828749</v>
      </c>
      <c r="BK2">
        <f t="shared" si="7"/>
        <v>456073.77208419744</v>
      </c>
      <c r="BL2">
        <f t="shared" si="7"/>
        <v>1547307.0233218733</v>
      </c>
      <c r="BM2" s="22">
        <f>-17.17-(0.1023*E2)+F2*(100-8.576-13.681)</f>
        <v>26.613728851352718</v>
      </c>
      <c r="BN2">
        <f>IF(AT2&lt;&gt;-999,AT2*$BM2, -999)</f>
        <v>4071430.4935213104</v>
      </c>
      <c r="BO2">
        <f>IF(AU2&lt;&gt;-999,AU2*$BM2, -999)</f>
        <v>3182512.5561494031</v>
      </c>
      <c r="BP2" s="25">
        <f>IF(AV2&lt;&gt;-999,AV2*$BM2, -999)</f>
        <v>7253947.4800168388</v>
      </c>
      <c r="BQ2">
        <f>-19.943-(0.1023*E2)+F2*(100-8.576-13.681)</f>
        <v>23.840728851352715</v>
      </c>
      <c r="BR2">
        <f>IF(AW2&lt;&gt;-999,AW2*$BQ2, -999)</f>
        <v>408497.31950531399</v>
      </c>
      <c r="BS2">
        <f>IF(AX2&lt;&gt;-999,AX2*$BQ2, -999)</f>
        <v>319308.07001058536</v>
      </c>
      <c r="BT2" s="25">
        <f>IF(AY2&lt;&gt;-999,AY2*$BQ2, -999)</f>
        <v>727805.38951589947</v>
      </c>
      <c r="BU2">
        <f>-25.871-(0.1023*E2)+F2*(100-8.576-13.681)</f>
        <v>17.912728851352718</v>
      </c>
      <c r="BV2">
        <f>IF(AZ2&lt;&gt;-999,AZ2*$BU2, -999)</f>
        <v>2648789.6845861161</v>
      </c>
      <c r="BW2">
        <f>IF(BA2&lt;&gt;-999,BA2*$BU2, -999)</f>
        <v>2070479.1913354688</v>
      </c>
      <c r="BX2" s="25">
        <f>IF(BB2&lt;&gt;-999,BB2*$BU2, -999)</f>
        <v>4719268.8759215847</v>
      </c>
      <c r="BY2">
        <f>-25.245-(0.1023*E2)+F2*(100-8.576-13.681)</f>
        <v>18.538728851352715</v>
      </c>
      <c r="BZ2">
        <f>IF(BC2&lt;&gt;-999,BC2*$BY2, -999)</f>
        <v>4909571.2941275761</v>
      </c>
      <c r="CA2">
        <f>IF(BD2&lt;&gt;-999,BD2*$BY2, -999)</f>
        <v>3837659.178802141</v>
      </c>
      <c r="CB2" s="25">
        <f>IF(BE2&lt;&gt;-999,BE2*$BY2, -999)</f>
        <v>8747230.472929718</v>
      </c>
      <c r="CC2">
        <f>-29.317-(0.1023*E2)+F2*(100-8.576-13.681)</f>
        <v>14.466728851352713</v>
      </c>
      <c r="CD2">
        <f>IF(BF2&lt;&gt;-999,BF2*$CC2, -999)</f>
        <v>429102.67852790159</v>
      </c>
      <c r="CE2">
        <f>IF(BG2&lt;&gt;-999,BG2*$CC2, -999)</f>
        <v>335416.78561010811</v>
      </c>
      <c r="CF2" s="25">
        <f>IF(BH2&lt;&gt;-999,BH2*$CC2, -999)</f>
        <v>764519.4641380097</v>
      </c>
      <c r="CG2">
        <f>-38.03-(0.1023*E2)+F2*(100-8.576-13.681)</f>
        <v>5.7537288513527187</v>
      </c>
      <c r="CH2">
        <f>IF(BI2&lt;&gt;-999,BI2*$CG2, -999)</f>
        <v>1472846.388317534</v>
      </c>
      <c r="CI2">
        <f>IF(BJ2&lt;&gt;-999,BJ2*$CG2, -999)</f>
        <v>1151278.4324685773</v>
      </c>
      <c r="CJ2" s="25">
        <f>IF(BK2&lt;&gt;-999,BK2*$CG2, -999)</f>
        <v>2624124.8207861111</v>
      </c>
      <c r="CK2" s="26">
        <f t="shared" ref="CK2:CK65" si="8">BP2+BT2+BX2+CB2+CF2+CJ2</f>
        <v>24836896.503308162</v>
      </c>
      <c r="CL2">
        <f t="shared" ref="CL2:CL65" si="9">((-55.825+0.1023*$E2)/$F2)+8.576+13.681</f>
        <v>-26.815888304257733</v>
      </c>
      <c r="CM2">
        <f t="shared" ref="CM2:CM65" si="10">((-10.38+0.1023*$E2)/$F2)+8.576+13.681</f>
        <v>31.041973255118322</v>
      </c>
      <c r="CN2">
        <f t="shared" ref="CN2:CN65" si="11">((-100.485+0.1023*$E2)/$F2)+8.576+13.681</f>
        <v>-83.674334717322623</v>
      </c>
      <c r="CO2" s="22">
        <f t="shared" ref="CO2:CO65" si="12">-17.17-22.91</f>
        <v>-40.08</v>
      </c>
      <c r="CP2">
        <f>IF(AT2&lt;&gt;-999,AT2*$CO2, -999)</f>
        <v>-6131532.153640314</v>
      </c>
      <c r="CQ2">
        <f>IF(AU2&lt;&gt;-999,AU2*$CO2, -999)</f>
        <v>-4792830.9468736742</v>
      </c>
      <c r="CR2" s="27">
        <f>IF(AV2&lt;&gt;-999,AV2*$CO2, -999)</f>
        <v>-10924369.772569368</v>
      </c>
      <c r="CS2">
        <f t="shared" ref="CS2:CS65" si="13">-19.943-22.91</f>
        <v>-42.853000000000002</v>
      </c>
      <c r="CT2">
        <f>IF(AW2&lt;&gt;-999,AW2*$CS2, -999)</f>
        <v>-734261.76447487157</v>
      </c>
      <c r="CU2">
        <f>IF(AX2&lt;&gt;-999,AX2*$CS2, -999)</f>
        <v>-573946.74506300711</v>
      </c>
      <c r="CV2" s="27">
        <f>IF(AY2&lt;&gt;-999,AY2*$CS2, -999)</f>
        <v>-1308208.5095378787</v>
      </c>
      <c r="CW2">
        <f t="shared" ref="CW2:CW65" si="14">-25.871-22.91</f>
        <v>-48.780999999999999</v>
      </c>
      <c r="CX2">
        <f>IF(AZ2&lt;&gt;-999,AZ2*$CO2, -999)</f>
        <v>-5926706.72565863</v>
      </c>
      <c r="CY2">
        <f>IF(BA2&lt;&gt;-999,BA2*$CO2, -999)</f>
        <v>-4632728.306075979</v>
      </c>
      <c r="CZ2" s="27">
        <f>IF(BB2&lt;&gt;-999,BB2*$CO2, -999)</f>
        <v>-10559435.031734608</v>
      </c>
      <c r="DA2">
        <f t="shared" ref="DA2:DA65" si="15">-25.245-22.91</f>
        <v>-48.155000000000001</v>
      </c>
      <c r="DB2">
        <f>IF(BC2&lt;&gt;-999,BC2*$DA2, -999)</f>
        <v>-12752784.053555137</v>
      </c>
      <c r="DC2">
        <f>IF(BD2&lt;&gt;-999,BD2*$DA2, -999)</f>
        <v>-9968454.6463245042</v>
      </c>
      <c r="DD2" s="27">
        <f>IF(BE2&lt;&gt;-999,BE2*$DA2, -999)</f>
        <v>-22721238.699879643</v>
      </c>
      <c r="DE2">
        <f t="shared" ref="DE2:DE65" si="16">-29.317-22.91</f>
        <v>-52.227000000000004</v>
      </c>
      <c r="DF2">
        <f>IF(BF2&lt;&gt;-999,BF2*$DE2, -999)</f>
        <v>-1549123.2207190499</v>
      </c>
      <c r="DG2">
        <f>IF(BG2&lt;&gt;-999,BG2*$DE2, -999)</f>
        <v>-1210903.4904888754</v>
      </c>
      <c r="DH2" s="27">
        <f>IF(BH2&lt;&gt;-999,BH2*$DE2, -999)</f>
        <v>-2760026.7112079253</v>
      </c>
      <c r="DI2">
        <f t="shared" ref="DI2:DI65" si="17">-38.03-22.91</f>
        <v>-60.94</v>
      </c>
      <c r="DJ2">
        <f>IF(BI2&lt;&gt;-999,BI2*$DI2, -999)</f>
        <v>-15599494.036457555</v>
      </c>
      <c r="DK2">
        <f>IF(BJ2&lt;&gt;-999,BJ2*$DI2, -999)</f>
        <v>-12193641.634353438</v>
      </c>
      <c r="DL2" s="27">
        <f>IF(BK2&lt;&gt;-999,BK2*$DI2, -999)</f>
        <v>-27793135.67081099</v>
      </c>
      <c r="DM2" s="28">
        <f t="shared" ref="DM2:DM65" si="18">CR2+CV2+CZ2+DD2+DH2+DL2</f>
        <v>-76066414.39574042</v>
      </c>
      <c r="DN2" s="22">
        <f t="shared" ref="DN2:DN65" si="19">-17.17</f>
        <v>-17.170000000000002</v>
      </c>
      <c r="DO2">
        <f>IF(AT2&lt;&gt;-999,AT2*$DN2, -999)</f>
        <v>-2626706.7634232589</v>
      </c>
      <c r="DP2">
        <f>IF(AU2&lt;&gt;-999,AU2*$DN2, -999)</f>
        <v>-2053216.2514426399</v>
      </c>
      <c r="DQ2" s="24">
        <f>IF(AV2&lt;&gt;-999,AV2*$DN2, -999)</f>
        <v>-4679925.8731291434</v>
      </c>
      <c r="DR2">
        <f t="shared" ref="DR2:DR65" si="20">-19.943</f>
        <v>-19.943000000000001</v>
      </c>
      <c r="DS2">
        <f>IF(AW2&lt;&gt;-999,AW2*$DR2, -999)</f>
        <v>-341711.95409708453</v>
      </c>
      <c r="DT2">
        <f>IF(AX2&lt;&gt;-999,AX2*$DR2, -999)</f>
        <v>-267104.28527271259</v>
      </c>
      <c r="DU2" s="24">
        <f>IF(AY2&lt;&gt;-999,AY2*$DR2, -999)</f>
        <v>-608816.23936979717</v>
      </c>
      <c r="DV2">
        <f t="shared" ref="DV2:DV65" si="21">-25.871</f>
        <v>-25.870999999999999</v>
      </c>
      <c r="DW2">
        <f>IF(AZ2&lt;&gt;-999,AZ2*$DV2, -999)</f>
        <v>-3825594.553381098</v>
      </c>
      <c r="DX2">
        <f>IF(BA2&lt;&gt;-999,BA2*$DV2, -999)</f>
        <v>-2990352.1458705501</v>
      </c>
      <c r="DY2" s="24">
        <f>IF(BB2&lt;&gt;-999,BB2*$DV2, -999)</f>
        <v>-6815946.699251648</v>
      </c>
      <c r="DZ2">
        <f t="shared" ref="DZ2:DZ65" si="22">-25.245</f>
        <v>-25.245000000000001</v>
      </c>
      <c r="EA2">
        <f>IF(BC2&lt;&gt;-999, BC2*$DZ2, -999)</f>
        <v>-6685578.5158758052</v>
      </c>
      <c r="EB2">
        <f>IF(BD2&lt;&gt;-999, BD2*$DZ2, -999)</f>
        <v>-5225908.7850994105</v>
      </c>
      <c r="EC2" s="24">
        <f>IF(BE2&lt;&gt;-999, BE2*$DZ2, -999)</f>
        <v>-11911487.300975218</v>
      </c>
      <c r="ED2">
        <f t="shared" ref="ED2:ED65" si="23">-29.317</f>
        <v>-29.317</v>
      </c>
      <c r="EE2">
        <f>IF(BF2&lt;&gt;-999,BF2*$ED2, -999)</f>
        <v>-869581.73859919934</v>
      </c>
      <c r="EF2">
        <f>IF(BG2&lt;&gt;-999,BG2*$ED2, -999)</f>
        <v>-679726.14989684185</v>
      </c>
      <c r="EG2" s="24">
        <f>IF(BH2&lt;&gt;-999,BH2*$ED2, -999)</f>
        <v>-1549307.8884960413</v>
      </c>
      <c r="EH2">
        <f t="shared" ref="EH2:EH65" si="24">-38.03</f>
        <v>-38.03</v>
      </c>
      <c r="EI2">
        <f>IF(BI2&lt;&gt;-999,BI2*$EH2, -999)</f>
        <v>-9734964.8540610578</v>
      </c>
      <c r="EJ2">
        <f>IF(BJ2&lt;&gt;-999,BJ2*$EH2, -999)</f>
        <v>-7609520.6983009735</v>
      </c>
      <c r="EK2" s="24">
        <f>IF(BK2&lt;&gt;-999,BK2*$EH2, -999)</f>
        <v>-17344485.552362029</v>
      </c>
      <c r="EL2" s="28">
        <f t="shared" ref="EL2:EL65" si="25">DQ2+DU2+DY2+EC2+EG2+EK2</f>
        <v>-42909969.553583875</v>
      </c>
      <c r="EM2" s="22">
        <f>-17.17-(0.1023*G2)+H2*(100+102.093-66.644-64.243)</f>
        <v>8.8122089030874591</v>
      </c>
      <c r="EN2">
        <f>IF(AT2&lt;&gt;-999,AT2*$EM2, -999)</f>
        <v>1348112.331184536</v>
      </c>
      <c r="EO2">
        <f>IF(AU2&lt;&gt;-999,AU2*$EM2, -999)</f>
        <v>1053778.1322613098</v>
      </c>
      <c r="EP2" s="23">
        <f>IF(AV2&lt;&gt;-999,AV2*$EM2, -999)</f>
        <v>2401891.9304005816</v>
      </c>
      <c r="EQ2">
        <f>-19.943-(0.1023*G2)+H2*(100+102.093-66.644-64.243)</f>
        <v>6.0392089030874629</v>
      </c>
      <c r="ER2">
        <f>IF(AW2&lt;&gt;-999,AW2*$EQ2, -999)</f>
        <v>103478.40723434424</v>
      </c>
      <c r="ES2">
        <f>IF(AX2&lt;&gt;-999,AX2*$EQ2, -999)</f>
        <v>80885.452422994495</v>
      </c>
      <c r="ET2" s="23">
        <f>IF(AY2&lt;&gt;-999,AY2*$EQ2, -999)</f>
        <v>184363.85965733876</v>
      </c>
      <c r="EU2">
        <f>-25.871-(0.1023*G2)+H2*(100+102.093-66.644-64.243)</f>
        <v>0.11120890308746567</v>
      </c>
      <c r="EV2">
        <f>IF(AZ2&lt;&gt;-999,AZ2*$EU2, -999)</f>
        <v>16444.674498043951</v>
      </c>
      <c r="EW2">
        <f>IF(BA2&lt;&gt;-999,BA2*$EU2, -999)</f>
        <v>12854.30721609188</v>
      </c>
      <c r="EX2" s="23">
        <f>IF(BB2&lt;&gt;-999,BB2*$EU2, -999)</f>
        <v>29298.981714135829</v>
      </c>
      <c r="EY2">
        <f>-25.245-(0.1023*G2)+H2*(100+102.093-66.644-64.243)</f>
        <v>0.73720890308745624</v>
      </c>
      <c r="EZ2">
        <f>IF(BC2&lt;&gt;-999, BC2*$EY2, -999)</f>
        <v>195233.43252897073</v>
      </c>
      <c r="FA2">
        <f>IF(BD2&lt;&gt;-999, BD2*$EY2, -999)</f>
        <v>152607.90188545204</v>
      </c>
      <c r="FB2" s="23">
        <f>IF(BE2&lt;&gt;-999, BE2*$EY2, -999)</f>
        <v>347841.33441442286</v>
      </c>
      <c r="FC2">
        <f>-29.317-(0.1023*G2)+H2*(100+102.093-66.644-64.243)</f>
        <v>-3.3347910969125394</v>
      </c>
      <c r="FD2">
        <f>IF(BF2&lt;&gt;-999,BF2*$FC2, -999)</f>
        <v>-98914.399151288919</v>
      </c>
      <c r="FE2">
        <f>IF(BG2&lt;&gt;-999,BG2*$FC2, -999)</f>
        <v>-77318.440257005364</v>
      </c>
      <c r="FF2" s="23">
        <f>IF(BH2&lt;&gt;-999,BH2*$FC2, -999)</f>
        <v>-176232.8394082943</v>
      </c>
      <c r="FG2">
        <f>-38.03-(0.1023*G2)+H2*(100+102.093-66.644-64.243)</f>
        <v>-12.04779109691254</v>
      </c>
      <c r="FH2">
        <f>IF(BI2&lt;&gt;-999,BI2*$FG2, -999)</f>
        <v>-3084007.9646992716</v>
      </c>
      <c r="FI2">
        <f>IF(BJ2&lt;&gt;-999,BJ2*$FG2, -999)</f>
        <v>-2410673.5661520422</v>
      </c>
      <c r="FJ2" s="23">
        <f>IF(BK2&lt;&gt;-999,BK2*$FG2, -999)</f>
        <v>-5494681.5308513129</v>
      </c>
      <c r="FK2" s="28">
        <f t="shared" ref="FK2:FK65" si="26">EP2+ET2+EX2+FB2+FF2+FJ2</f>
        <v>-2707518.2640731279</v>
      </c>
      <c r="FL2" s="22">
        <f>-17.17+0.435*(100+83.36-27.092-93.78)</f>
        <v>10.012280000000011</v>
      </c>
      <c r="FM2">
        <f>IF(AT2&lt;&gt;-999,AT2*$FL2, -999)</f>
        <v>1531702.0147517445</v>
      </c>
      <c r="FN2">
        <f>IF(AU2&lt;&gt;-999,AU2*$FL2, -999)</f>
        <v>1197284.5666857387</v>
      </c>
      <c r="FO2" s="29">
        <f>IF(AV2&lt;&gt;-999,AV2*$FL2, -999)</f>
        <v>2728988.2481661914</v>
      </c>
      <c r="FP2">
        <f>-19.943+0.435*(100+83.36-27.092-93.78)</f>
        <v>7.2392800000000115</v>
      </c>
      <c r="FQ2">
        <f>IF(AW2&lt;&gt;-999,AW2*$FP2, -999)</f>
        <v>124040.94243874773</v>
      </c>
      <c r="FR2">
        <f>IF(AX2&lt;&gt;-999,AX2*$FP2, -999)</f>
        <v>96958.467145817864</v>
      </c>
      <c r="FS2" s="29">
        <f>IF(AY2&lt;&gt;-999,AY2*$FP2, -999)</f>
        <v>220999.40958456561</v>
      </c>
      <c r="FT2">
        <f>-25.871+0.435*(100+83.36-27.092-93.78)</f>
        <v>1.3112800000000142</v>
      </c>
      <c r="FU2">
        <f>IF(AZ2&lt;&gt;-999,AZ2*$FT2, -999)</f>
        <v>193901.49688676978</v>
      </c>
      <c r="FV2">
        <f>IF(BA2&lt;&gt;-999,BA2*$FT2, -999)</f>
        <v>151566.96539898642</v>
      </c>
      <c r="FW2" s="29">
        <f>IF(BB2&lt;&gt;-999,BB2*$FT2, -999)</f>
        <v>345468.46228575619</v>
      </c>
      <c r="FX2">
        <f>-25.245+0.435*(100+83.36-27.092-93.78)</f>
        <v>1.9372800000000119</v>
      </c>
      <c r="FY2">
        <f>IF(BC2&lt;&gt;-999, BC2*$FX2, -999)</f>
        <v>513045.6544755777</v>
      </c>
      <c r="FZ2">
        <f>IF(BD2&lt;&gt;-999, BD2*$FX2, -999)</f>
        <v>401031.83090502856</v>
      </c>
      <c r="GA2" s="29">
        <f>IF(BE2&lt;&gt;-999, BE2*$FX2, -999)</f>
        <v>914077.48538060649</v>
      </c>
      <c r="GB2">
        <f>-29.317+0.435*(100+83.36-27.092-93.78)</f>
        <v>-2.1347199999999873</v>
      </c>
      <c r="GC2">
        <f>IF(BF2&lt;&gt;-999,BF2*$GB2, -999)</f>
        <v>-63318.672750365724</v>
      </c>
      <c r="GD2">
        <f>IF(BG2&lt;&gt;-999,BG2*$GB2, -999)</f>
        <v>-49494.320930101225</v>
      </c>
      <c r="GE2" s="29">
        <f>IF(BH2&lt;&gt;-999,BH2*$GB2, -999)</f>
        <v>-112812.99368046694</v>
      </c>
      <c r="GF2">
        <f>-38.03+0.435*(100+83.36-27.092-93.78)</f>
        <v>-10.847719999999988</v>
      </c>
      <c r="GG2">
        <f>IF(BI2&lt;&gt;-999,BI2*$GF2, -999)</f>
        <v>-2776812.3309675283</v>
      </c>
      <c r="GH2">
        <f>IF(BJ2&lt;&gt;-999,BJ2*$GF2, -999)</f>
        <v>-2170548.2479456575</v>
      </c>
      <c r="GI2" s="29">
        <f>IF(BK2&lt;&gt;-999,BK2*$GF2, -999)</f>
        <v>-4947360.5789131848</v>
      </c>
      <c r="GJ2" s="30">
        <f t="shared" ref="GJ2:GJ65" si="27">FO2+FS2+FW2+GA2+GE2+GI2</f>
        <v>-850639.96717653237</v>
      </c>
    </row>
    <row r="3" spans="1:192">
      <c r="A3" s="48" t="s">
        <v>138</v>
      </c>
      <c r="B3" s="48" t="s">
        <v>139</v>
      </c>
      <c r="C3" s="49">
        <v>125</v>
      </c>
      <c r="D3" s="50">
        <v>0.996</v>
      </c>
      <c r="E3" s="49">
        <v>268.86478976825299</v>
      </c>
      <c r="F3" s="49">
        <v>0.77833747071663495</v>
      </c>
      <c r="G3" s="49">
        <v>69.855029339671503</v>
      </c>
      <c r="H3" s="49">
        <v>0.81849499006538595</v>
      </c>
      <c r="I3" s="42">
        <v>205307.2</v>
      </c>
      <c r="J3" s="43">
        <v>50284.800000000003</v>
      </c>
      <c r="K3" s="43">
        <f t="shared" si="0"/>
        <v>255592</v>
      </c>
      <c r="L3" s="43">
        <v>102281</v>
      </c>
      <c r="M3" s="43">
        <v>25051.200000000001</v>
      </c>
      <c r="N3" s="43">
        <f t="shared" si="1"/>
        <v>127332.2</v>
      </c>
      <c r="O3" s="43">
        <v>177452.4</v>
      </c>
      <c r="P3" s="43">
        <v>43462.5</v>
      </c>
      <c r="Q3" s="43">
        <f t="shared" si="2"/>
        <v>220914.9</v>
      </c>
      <c r="R3" s="43">
        <v>216090.2</v>
      </c>
      <c r="S3" s="43">
        <v>52925.9</v>
      </c>
      <c r="T3" s="43">
        <f t="shared" si="3"/>
        <v>269016.10000000003</v>
      </c>
      <c r="U3" s="43">
        <v>107652.9</v>
      </c>
      <c r="V3" s="43">
        <v>26366.9</v>
      </c>
      <c r="W3" s="43">
        <f t="shared" si="4"/>
        <v>134019.79999999999</v>
      </c>
      <c r="X3" s="43">
        <v>186772.4</v>
      </c>
      <c r="Y3" s="43">
        <v>45745.2</v>
      </c>
      <c r="Z3" s="43">
        <f t="shared" si="5"/>
        <v>232517.59999999998</v>
      </c>
      <c r="AA3" s="22">
        <v>2786631.7</v>
      </c>
      <c r="AB3">
        <v>409620.4</v>
      </c>
      <c r="AC3">
        <v>3196252.1</v>
      </c>
      <c r="AD3">
        <v>1388258.5</v>
      </c>
      <c r="AE3">
        <v>204066.8</v>
      </c>
      <c r="AF3">
        <v>1592325.3</v>
      </c>
      <c r="AG3">
        <v>2408558.9</v>
      </c>
      <c r="AH3">
        <v>354045.7</v>
      </c>
      <c r="AI3">
        <v>2762604.6</v>
      </c>
      <c r="AJ3">
        <v>2932989.4</v>
      </c>
      <c r="AK3">
        <v>431134.3</v>
      </c>
      <c r="AL3">
        <v>3364123.6</v>
      </c>
      <c r="AM3">
        <v>1461171.7</v>
      </c>
      <c r="AN3">
        <v>214784.7</v>
      </c>
      <c r="AO3">
        <v>1675956.4</v>
      </c>
      <c r="AP3">
        <v>2535059.7000000002</v>
      </c>
      <c r="AQ3">
        <v>372640.7</v>
      </c>
      <c r="AR3">
        <v>2907700.4</v>
      </c>
      <c r="AS3">
        <v>15498962.41</v>
      </c>
      <c r="AT3" s="22">
        <f t="shared" si="6"/>
        <v>4638862.5285328571</v>
      </c>
      <c r="AU3">
        <f t="shared" si="6"/>
        <v>681888.72052328999</v>
      </c>
      <c r="AV3">
        <f t="shared" si="6"/>
        <v>5320751.2490561474</v>
      </c>
      <c r="AW3">
        <f t="shared" si="6"/>
        <v>2311012.3722367878</v>
      </c>
      <c r="AX3">
        <f t="shared" si="6"/>
        <v>339706.83382293</v>
      </c>
      <c r="AY3">
        <f t="shared" si="6"/>
        <v>2650719.2060597176</v>
      </c>
      <c r="AZ3">
        <f t="shared" si="6"/>
        <v>4009490.6079530772</v>
      </c>
      <c r="BA3">
        <f t="shared" si="6"/>
        <v>589374.38023050758</v>
      </c>
      <c r="BB3">
        <f t="shared" si="6"/>
        <v>4598864.988183585</v>
      </c>
      <c r="BC3">
        <f t="shared" si="6"/>
        <v>4882501.9195195651</v>
      </c>
      <c r="BD3">
        <f t="shared" si="6"/>
        <v>717702.57584999246</v>
      </c>
      <c r="BE3">
        <f t="shared" si="6"/>
        <v>5600204.3289011102</v>
      </c>
      <c r="BF3">
        <f t="shared" si="6"/>
        <v>2432389.8442993574</v>
      </c>
      <c r="BG3">
        <f t="shared" si="6"/>
        <v>357548.75555753254</v>
      </c>
      <c r="BH3">
        <f t="shared" si="6"/>
        <v>2789938.5998568898</v>
      </c>
      <c r="BI3">
        <f t="shared" si="6"/>
        <v>4220074.5257881582</v>
      </c>
      <c r="BJ3">
        <f t="shared" si="7"/>
        <v>620329.18804313254</v>
      </c>
      <c r="BK3">
        <f t="shared" si="7"/>
        <v>4840403.7138312906</v>
      </c>
      <c r="BL3">
        <f t="shared" si="7"/>
        <v>25800882.102535583</v>
      </c>
      <c r="BM3" s="22">
        <f>-17.17-(0.1023*E3)+F3*(100-8.576-13.681)</f>
        <v>15.835421992631076</v>
      </c>
      <c r="BN3">
        <f>IF(AT3&lt;&gt;-999,AT3*$BM3, -999)</f>
        <v>73458345.705121413</v>
      </c>
      <c r="BO3">
        <f>IF(AU3&lt;&gt;-999,AU3*$BM3, -999)</f>
        <v>10797995.641501572</v>
      </c>
      <c r="BP3" s="25">
        <f>IF(AV3&lt;&gt;-999,AV3*$BM3, -999)</f>
        <v>84256341.346622989</v>
      </c>
      <c r="BQ3">
        <f>-19.943-(0.1023*E3)+F3*(100-8.576-13.681)</f>
        <v>13.062421992631073</v>
      </c>
      <c r="BR3">
        <f>IF(AW3&lt;&gt;-999,AW3*$BQ3, -999)</f>
        <v>30187418.836348325</v>
      </c>
      <c r="BS3">
        <f>IF(AX3&lt;&gt;-999,AX3*$BQ3, -999)</f>
        <v>4437394.0171757098</v>
      </c>
      <c r="BT3" s="25">
        <f>IF(AY3&lt;&gt;-999,AY3*$BQ3, -999)</f>
        <v>34624812.853524029</v>
      </c>
      <c r="BU3">
        <f>-25.871-(0.1023*E3)+F3*(100-8.576-13.681)</f>
        <v>7.1344219926310757</v>
      </c>
      <c r="BV3">
        <f>IF(AZ3&lt;&gt;-999,AZ3*$BU3, -999)</f>
        <v>28605397.972628176</v>
      </c>
      <c r="BW3">
        <f>IF(BA3&lt;&gt;-999,BA3*$BU3, -999)</f>
        <v>4204845.5402098428</v>
      </c>
      <c r="BX3" s="25">
        <f>IF(BB3&lt;&gt;-999,BB3*$BU3, -999)</f>
        <v>32810243.512838021</v>
      </c>
      <c r="BY3">
        <f>-25.245-(0.1023*E3)+F3*(100-8.576-13.681)</f>
        <v>7.7604219926310734</v>
      </c>
      <c r="BZ3">
        <f>IF(BC3&lt;&gt;-999,BC3*$BY3, -999)</f>
        <v>37890275.275303066</v>
      </c>
      <c r="CA3">
        <f>IF(BD3&lt;&gt;-999,BD3*$BY3, -999)</f>
        <v>5569674.8537942525</v>
      </c>
      <c r="CB3" s="25">
        <f>IF(BE3&lt;&gt;-999,BE3*$BY3, -999)</f>
        <v>43459948.837231919</v>
      </c>
      <c r="CC3">
        <f>-29.317-(0.1023*E3)+F3*(100-8.576-13.681)</f>
        <v>3.6884219926310706</v>
      </c>
      <c r="CD3">
        <f>IF(BF3&lt;&gt;-999,BF3*$CC3, -999)</f>
        <v>8971680.1963662151</v>
      </c>
      <c r="CE3">
        <f>IF(BG3&lt;&gt;-999,BG3*$CC3, -999)</f>
        <v>1318790.6934362738</v>
      </c>
      <c r="CF3" s="25">
        <f>IF(BH3&lt;&gt;-999,BH3*$CC3, -999)</f>
        <v>10290470.889802489</v>
      </c>
      <c r="CG3">
        <f>-38.03-(0.1023*E3)+F3*(100-8.576-13.681)</f>
        <v>-5.0245780073689232</v>
      </c>
      <c r="CH3">
        <f>IF(BI3&lt;&gt;-999,BI3*$CG3, -999)</f>
        <v>-21204093.651733018</v>
      </c>
      <c r="CI3">
        <f>IF(BJ3&lt;&gt;-999,BJ3*$CG3, -999)</f>
        <v>-3116892.395570545</v>
      </c>
      <c r="CJ3" s="25">
        <f>IF(BK3&lt;&gt;-999,BK3*$CG3, -999)</f>
        <v>-24320986.047303561</v>
      </c>
      <c r="CK3" s="26">
        <f t="shared" si="8"/>
        <v>181120831.3927159</v>
      </c>
      <c r="CL3">
        <f t="shared" si="9"/>
        <v>-14.128415160126698</v>
      </c>
      <c r="CM3">
        <f t="shared" si="10"/>
        <v>44.25885477068833</v>
      </c>
      <c r="CN3">
        <f t="shared" si="11"/>
        <v>-71.507125141647194</v>
      </c>
      <c r="CO3" s="22">
        <f t="shared" si="12"/>
        <v>-40.08</v>
      </c>
      <c r="CP3">
        <f>IF(AT3&lt;&gt;-999,AT3*$CO3, -999)</f>
        <v>-185925610.14359692</v>
      </c>
      <c r="CQ3">
        <f>IF(AU3&lt;&gt;-999,AU3*$CO3, -999)</f>
        <v>-27330099.918573461</v>
      </c>
      <c r="CR3" s="27">
        <f>IF(AV3&lt;&gt;-999,AV3*$CO3, -999)</f>
        <v>-213255710.06217039</v>
      </c>
      <c r="CS3">
        <f t="shared" si="13"/>
        <v>-42.853000000000002</v>
      </c>
      <c r="CT3">
        <f>IF(AW3&lt;&gt;-999,AW3*$CS3, -999)</f>
        <v>-99033813.187463075</v>
      </c>
      <c r="CU3">
        <f>IF(AX3&lt;&gt;-999,AX3*$CS3, -999)</f>
        <v>-14557456.94981402</v>
      </c>
      <c r="CV3" s="27">
        <f>IF(AY3&lt;&gt;-999,AY3*$CS3, -999)</f>
        <v>-113591270.13727708</v>
      </c>
      <c r="CW3">
        <f t="shared" si="14"/>
        <v>-48.780999999999999</v>
      </c>
      <c r="CX3">
        <f>IF(AZ3&lt;&gt;-999,AZ3*$CO3, -999)</f>
        <v>-160700383.56675932</v>
      </c>
      <c r="CY3">
        <f>IF(BA3&lt;&gt;-999,BA3*$CO3, -999)</f>
        <v>-23622125.159638744</v>
      </c>
      <c r="CZ3" s="27">
        <f>IF(BB3&lt;&gt;-999,BB3*$CO3, -999)</f>
        <v>-184322508.72639808</v>
      </c>
      <c r="DA3">
        <f t="shared" si="15"/>
        <v>-48.155000000000001</v>
      </c>
      <c r="DB3">
        <f>IF(BC3&lt;&gt;-999,BC3*$DA3, -999)</f>
        <v>-235116879.93446466</v>
      </c>
      <c r="DC3">
        <f>IF(BD3&lt;&gt;-999,BD3*$DA3, -999)</f>
        <v>-34560967.540056385</v>
      </c>
      <c r="DD3" s="27">
        <f>IF(BE3&lt;&gt;-999,BE3*$DA3, -999)</f>
        <v>-269677839.45823294</v>
      </c>
      <c r="DE3">
        <f t="shared" si="16"/>
        <v>-52.227000000000004</v>
      </c>
      <c r="DF3">
        <f>IF(BF3&lt;&gt;-999,BF3*$DE3, -999)</f>
        <v>-127036424.39822255</v>
      </c>
      <c r="DG3">
        <f>IF(BG3&lt;&gt;-999,BG3*$DE3, -999)</f>
        <v>-18673698.856503252</v>
      </c>
      <c r="DH3" s="27">
        <f>IF(BH3&lt;&gt;-999,BH3*$DE3, -999)</f>
        <v>-145710123.25472578</v>
      </c>
      <c r="DI3">
        <f t="shared" si="17"/>
        <v>-60.94</v>
      </c>
      <c r="DJ3">
        <f>IF(BI3&lt;&gt;-999,BI3*$DI3, -999)</f>
        <v>-257171341.60153034</v>
      </c>
      <c r="DK3">
        <f>IF(BJ3&lt;&gt;-999,BJ3*$DI3, -999)</f>
        <v>-37802860.719348498</v>
      </c>
      <c r="DL3" s="27">
        <f>IF(BK3&lt;&gt;-999,BK3*$DI3, -999)</f>
        <v>-294974202.32087886</v>
      </c>
      <c r="DM3" s="28">
        <f t="shared" si="18"/>
        <v>-1221531653.9596832</v>
      </c>
      <c r="DN3" s="22">
        <f t="shared" si="19"/>
        <v>-17.170000000000002</v>
      </c>
      <c r="DO3">
        <f>IF(AT3&lt;&gt;-999,AT3*$DN3, -999)</f>
        <v>-79649269.614909157</v>
      </c>
      <c r="DP3">
        <f>IF(AU3&lt;&gt;-999,AU3*$DN3, -999)</f>
        <v>-11708029.33138489</v>
      </c>
      <c r="DQ3" s="24">
        <f>IF(AV3&lt;&gt;-999,AV3*$DN3, -999)</f>
        <v>-91357298.946294054</v>
      </c>
      <c r="DR3">
        <f t="shared" si="20"/>
        <v>-19.943000000000001</v>
      </c>
      <c r="DS3">
        <f>IF(AW3&lt;&gt;-999,AW3*$DR3, -999)</f>
        <v>-46088519.739518262</v>
      </c>
      <c r="DT3">
        <f>IF(AX3&lt;&gt;-999,AX3*$DR3, -999)</f>
        <v>-6774773.3869306939</v>
      </c>
      <c r="DU3" s="24">
        <f>IF(AY3&lt;&gt;-999,AY3*$DR3, -999)</f>
        <v>-52863293.126448952</v>
      </c>
      <c r="DV3">
        <f t="shared" si="21"/>
        <v>-25.870999999999999</v>
      </c>
      <c r="DW3">
        <f>IF(AZ3&lt;&gt;-999,AZ3*$DV3, -999)</f>
        <v>-103729531.51835406</v>
      </c>
      <c r="DX3">
        <f>IF(BA3&lt;&gt;-999,BA3*$DV3, -999)</f>
        <v>-15247704.590943461</v>
      </c>
      <c r="DY3" s="24">
        <f>IF(BB3&lt;&gt;-999,BB3*$DV3, -999)</f>
        <v>-118977236.10929751</v>
      </c>
      <c r="DZ3">
        <f t="shared" si="22"/>
        <v>-25.245000000000001</v>
      </c>
      <c r="EA3">
        <f>IF(BC3&lt;&gt;-999, BC3*$DZ3, -999)</f>
        <v>-123258760.95827143</v>
      </c>
      <c r="EB3">
        <f>IF(BD3&lt;&gt;-999, BD3*$DZ3, -999)</f>
        <v>-18118401.527333058</v>
      </c>
      <c r="EC3" s="24">
        <f>IF(BE3&lt;&gt;-999, BE3*$DZ3, -999)</f>
        <v>-141377158.28310853</v>
      </c>
      <c r="ED3">
        <f t="shared" si="23"/>
        <v>-29.317</v>
      </c>
      <c r="EE3">
        <f>IF(BF3&lt;&gt;-999,BF3*$ED3, -999)</f>
        <v>-71310373.065324262</v>
      </c>
      <c r="EF3">
        <f>IF(BG3&lt;&gt;-999,BG3*$ED3, -999)</f>
        <v>-10482256.866680181</v>
      </c>
      <c r="EG3" s="24">
        <f>IF(BH3&lt;&gt;-999,BH3*$ED3, -999)</f>
        <v>-81792629.932004437</v>
      </c>
      <c r="EH3">
        <f t="shared" si="24"/>
        <v>-38.03</v>
      </c>
      <c r="EI3">
        <f>IF(BI3&lt;&gt;-999,BI3*$EH3, -999)</f>
        <v>-160489434.21572366</v>
      </c>
      <c r="EJ3">
        <f>IF(BJ3&lt;&gt;-999,BJ3*$EH3, -999)</f>
        <v>-23591119.02128033</v>
      </c>
      <c r="EK3" s="24">
        <f>IF(BK3&lt;&gt;-999,BK3*$EH3, -999)</f>
        <v>-184080553.23700398</v>
      </c>
      <c r="EL3" s="28">
        <f t="shared" si="25"/>
        <v>-670448169.63415742</v>
      </c>
      <c r="EM3" s="22">
        <f>-17.17-(0.1023*G3)+H3*(100+102.093-66.644-64.243)</f>
        <v>33.965584761147497</v>
      </c>
      <c r="EN3">
        <f>IF(AT3&lt;&gt;-999,AT3*$EM3, -999)</f>
        <v>157561678.40819377</v>
      </c>
      <c r="EO3">
        <f>IF(AU3&lt;&gt;-999,AU3*$EM3, -999)</f>
        <v>23160749.134604223</v>
      </c>
      <c r="EP3" s="23">
        <f>IF(AV3&lt;&gt;-999,AV3*$EM3, -999)</f>
        <v>180722427.54279798</v>
      </c>
      <c r="EQ3">
        <f>-19.943-(0.1023*G3)+H3*(100+102.093-66.644-64.243)</f>
        <v>31.192584761147494</v>
      </c>
      <c r="ER3">
        <f>IF(AW3&lt;&gt;-999,AW3*$EQ3, -999)</f>
        <v>72086449.305056542</v>
      </c>
      <c r="ES3">
        <f>IF(AX3&lt;&gt;-999,AX3*$EQ3, -999)</f>
        <v>10596334.207962791</v>
      </c>
      <c r="ET3" s="23">
        <f>IF(AY3&lt;&gt;-999,AY3*$EQ3, -999)</f>
        <v>82682783.513019323</v>
      </c>
      <c r="EU3">
        <f>-25.871-(0.1023*G3)+H3*(100+102.093-66.644-64.243)</f>
        <v>25.264584761147496</v>
      </c>
      <c r="EV3">
        <f>IF(AZ3&lt;&gt;-999,AZ3*$EU3, -999)</f>
        <v>101298115.31365532</v>
      </c>
      <c r="EW3">
        <f>IF(BA3&lt;&gt;-999,BA3*$EU3, -999)</f>
        <v>14890298.985382432</v>
      </c>
      <c r="EX3" s="23">
        <f>IF(BB3&lt;&gt;-999,BB3*$EU3, -999)</f>
        <v>116188414.29903777</v>
      </c>
      <c r="EY3">
        <f>-25.245-(0.1023*G3)+H3*(100+102.093-66.644-64.243)</f>
        <v>25.890584761147494</v>
      </c>
      <c r="EZ3">
        <f>IF(BC3&lt;&gt;-999, BC3*$EY3, -999)</f>
        <v>126410829.79378664</v>
      </c>
      <c r="FA3">
        <f>IF(BD3&lt;&gt;-999, BD3*$EY3, -999)</f>
        <v>18581739.373338118</v>
      </c>
      <c r="FB3" s="23">
        <f>IF(BE3&lt;&gt;-999, BE3*$EY3, -999)</f>
        <v>144992564.85715932</v>
      </c>
      <c r="FC3">
        <f>-29.317-(0.1023*G3)+H3*(100+102.093-66.644-64.243)</f>
        <v>21.818584761147491</v>
      </c>
      <c r="FD3">
        <f>IF(BF3&lt;&gt;-999,BF3*$FC3, -999)</f>
        <v>53071303.989999875</v>
      </c>
      <c r="FE3">
        <f>IF(BG3&lt;&gt;-999,BG3*$FC3, -999)</f>
        <v>7801207.8293748284</v>
      </c>
      <c r="FF3" s="23">
        <f>IF(BH3&lt;&gt;-999,BH3*$FC3, -999)</f>
        <v>60872511.819374703</v>
      </c>
      <c r="FG3">
        <f>-38.03-(0.1023*G3)+H3*(100+102.093-66.644-64.243)</f>
        <v>13.10558476114749</v>
      </c>
      <c r="FH3">
        <f>IF(BI3&lt;&gt;-999,BI3*$FG3, -999)</f>
        <v>55306544.396076009</v>
      </c>
      <c r="FI3">
        <f>IF(BJ3&lt;&gt;-999,BJ3*$FG3, -999)</f>
        <v>8129776.7537130741</v>
      </c>
      <c r="FJ3" s="23">
        <f>IF(BK3&lt;&gt;-999,BK3*$FG3, -999)</f>
        <v>63436321.14978908</v>
      </c>
      <c r="FK3" s="28">
        <f t="shared" si="26"/>
        <v>648895023.18117821</v>
      </c>
      <c r="FL3" s="22">
        <f t="shared" ref="FL3:FL66" si="28">-17.17+0.435*(100+83.36-27.092-93.78)</f>
        <v>10.012280000000011</v>
      </c>
      <c r="FM3">
        <f>IF(AT3&lt;&gt;-999,AT3*$FL3, -999)</f>
        <v>46445590.517179005</v>
      </c>
      <c r="FN3">
        <f>IF(AU3&lt;&gt;-999,AU3*$FL3, -999)</f>
        <v>6827260.7987209335</v>
      </c>
      <c r="FO3" s="29">
        <f>IF(AV3&lt;&gt;-999,AV3*$FL3, -999)</f>
        <v>53272851.315899946</v>
      </c>
      <c r="FP3">
        <f t="shared" ref="FP3:FP66" si="29">-19.943+0.435*(100+83.36-27.092-93.78)</f>
        <v>7.2392800000000115</v>
      </c>
      <c r="FQ3">
        <f>IF(AW3&lt;&gt;-999,AW3*$FP3, -999)</f>
        <v>16730065.646086359</v>
      </c>
      <c r="FR3">
        <f>IF(AX3&lt;&gt;-999,AX3*$FP3, -999)</f>
        <v>2459232.8879576647</v>
      </c>
      <c r="FS3" s="29">
        <f>IF(AY3&lt;&gt;-999,AY3*$FP3, -999)</f>
        <v>19189298.534044024</v>
      </c>
      <c r="FT3">
        <f t="shared" ref="FT3:FT66" si="30">-25.871+0.435*(100+83.36-27.092-93.78)</f>
        <v>1.3112800000000142</v>
      </c>
      <c r="FU3">
        <f>IF(AZ3&lt;&gt;-999,AZ3*$FT3, -999)</f>
        <v>5257564.8443967681</v>
      </c>
      <c r="FV3">
        <f>IF(BA3&lt;&gt;-999,BA3*$FT3, -999)</f>
        <v>772834.8373086683</v>
      </c>
      <c r="FW3" s="29">
        <f>IF(BB3&lt;&gt;-999,BB3*$FT3, -999)</f>
        <v>6030399.6817054367</v>
      </c>
      <c r="FX3">
        <f t="shared" ref="FX3:FX66" si="31">-25.245+0.435*(100+83.36-27.092-93.78)</f>
        <v>1.9372800000000119</v>
      </c>
      <c r="FY3">
        <f>IF(BC3&lt;&gt;-999, BC3*$FX3, -999)</f>
        <v>9458773.3186469208</v>
      </c>
      <c r="FZ3">
        <f>IF(BD3&lt;&gt;-999, BD3*$FX3, -999)</f>
        <v>1390390.846142682</v>
      </c>
      <c r="GA3" s="29">
        <f>IF(BE3&lt;&gt;-999, BE3*$FX3, -999)</f>
        <v>10849163.842293609</v>
      </c>
      <c r="GB3">
        <f t="shared" ref="GB3:GB66" si="32">-29.317+0.435*(100+83.36-27.092-93.78)</f>
        <v>-2.1347199999999873</v>
      </c>
      <c r="GC3">
        <f>IF(BF3&lt;&gt;-999,BF3*$GB3, -999)</f>
        <v>-5192471.2484226935</v>
      </c>
      <c r="GD3">
        <f>IF(BG3&lt;&gt;-999,BG3*$GB3, -999)</f>
        <v>-763266.47946377133</v>
      </c>
      <c r="GE3" s="29">
        <f>IF(BH3&lt;&gt;-999,BH3*$GB3, -999)</f>
        <v>-5955737.7278864644</v>
      </c>
      <c r="GF3">
        <f t="shared" ref="GF3:GF66" si="33">-38.03+0.435*(100+83.36-27.092-93.78)</f>
        <v>-10.847719999999988</v>
      </c>
      <c r="GG3">
        <f>IF(BI3&lt;&gt;-999,BI3*$GF3, -999)</f>
        <v>-45778186.834882669</v>
      </c>
      <c r="GH3">
        <f>IF(BJ3&lt;&gt;-999,BJ3*$GF3, -999)</f>
        <v>-6729157.3397192424</v>
      </c>
      <c r="GI3" s="29">
        <f>IF(BK3&lt;&gt;-999,BK3*$GF3, -999)</f>
        <v>-52507344.174601912</v>
      </c>
      <c r="GJ3" s="30">
        <f t="shared" si="27"/>
        <v>30878631.47145462</v>
      </c>
    </row>
    <row r="4" spans="1:192">
      <c r="A4" s="48" t="s">
        <v>138</v>
      </c>
      <c r="B4" s="48" t="s">
        <v>140</v>
      </c>
      <c r="C4" s="49">
        <v>130</v>
      </c>
      <c r="D4" s="50">
        <v>0.995</v>
      </c>
      <c r="E4" s="49">
        <v>212.827863308497</v>
      </c>
      <c r="F4" s="49">
        <v>0.78156642748877103</v>
      </c>
      <c r="G4" s="49">
        <v>55.152122161857903</v>
      </c>
      <c r="H4" s="49">
        <v>0.81927916900289899</v>
      </c>
      <c r="I4" s="42">
        <v>23812.7</v>
      </c>
      <c r="J4" s="43">
        <v>11102.2</v>
      </c>
      <c r="K4" s="43">
        <f t="shared" si="0"/>
        <v>34914.9</v>
      </c>
      <c r="L4" s="43">
        <v>4390.8999999999996</v>
      </c>
      <c r="M4" s="43">
        <v>2047.2</v>
      </c>
      <c r="N4" s="43">
        <f t="shared" si="1"/>
        <v>6438.0999999999995</v>
      </c>
      <c r="O4" s="43">
        <v>44836.6</v>
      </c>
      <c r="P4" s="43">
        <v>20904.099999999999</v>
      </c>
      <c r="Q4" s="43">
        <f t="shared" si="2"/>
        <v>65740.7</v>
      </c>
      <c r="R4" s="43">
        <v>13012.3</v>
      </c>
      <c r="S4" s="43">
        <v>6066.7</v>
      </c>
      <c r="T4" s="43">
        <f t="shared" si="3"/>
        <v>19079</v>
      </c>
      <c r="U4" s="43">
        <v>2399.4</v>
      </c>
      <c r="V4" s="43">
        <v>1118.7</v>
      </c>
      <c r="W4" s="43">
        <f t="shared" si="4"/>
        <v>3518.1000000000004</v>
      </c>
      <c r="X4" s="43">
        <v>24500.6</v>
      </c>
      <c r="Y4" s="43">
        <v>11422.9</v>
      </c>
      <c r="Z4" s="43">
        <f t="shared" si="5"/>
        <v>35923.5</v>
      </c>
      <c r="AA4" s="22">
        <v>190204.5</v>
      </c>
      <c r="AB4">
        <v>59673.4</v>
      </c>
      <c r="AC4">
        <v>249878</v>
      </c>
      <c r="AD4">
        <v>35072.5</v>
      </c>
      <c r="AE4">
        <v>11003.4</v>
      </c>
      <c r="AF4">
        <v>46075.9</v>
      </c>
      <c r="AG4">
        <v>358133.5</v>
      </c>
      <c r="AH4">
        <v>112358.3</v>
      </c>
      <c r="AI4">
        <v>470491.9</v>
      </c>
      <c r="AJ4">
        <v>103935.9</v>
      </c>
      <c r="AK4">
        <v>32608.1</v>
      </c>
      <c r="AL4">
        <v>136544</v>
      </c>
      <c r="AM4">
        <v>19165.099999999999</v>
      </c>
      <c r="AN4">
        <v>6012.7</v>
      </c>
      <c r="AO4">
        <v>25177.8</v>
      </c>
      <c r="AP4">
        <v>195699.4</v>
      </c>
      <c r="AQ4">
        <v>61397.4</v>
      </c>
      <c r="AR4">
        <v>257096.8</v>
      </c>
      <c r="AS4">
        <v>1185264.3500000001</v>
      </c>
      <c r="AT4" s="22">
        <f t="shared" si="6"/>
        <v>316630.47822513751</v>
      </c>
      <c r="AU4">
        <f t="shared" si="6"/>
        <v>99337.382550465001</v>
      </c>
      <c r="AV4">
        <f t="shared" si="6"/>
        <v>415968.02724405</v>
      </c>
      <c r="AW4">
        <f t="shared" si="6"/>
        <v>58384.646249437501</v>
      </c>
      <c r="AX4">
        <f t="shared" si="6"/>
        <v>18317.189152215</v>
      </c>
      <c r="AY4">
        <f t="shared" si="6"/>
        <v>76701.835401652512</v>
      </c>
      <c r="AZ4">
        <f t="shared" si="6"/>
        <v>596179.27742741257</v>
      </c>
      <c r="BA4">
        <f t="shared" si="6"/>
        <v>187041.1176473925</v>
      </c>
      <c r="BB4">
        <f t="shared" si="6"/>
        <v>783220.56154325255</v>
      </c>
      <c r="BC4">
        <f t="shared" si="6"/>
        <v>173020.47912515249</v>
      </c>
      <c r="BD4">
        <f t="shared" si="6"/>
        <v>54282.197829247503</v>
      </c>
      <c r="BE4">
        <f t="shared" si="6"/>
        <v>227302.6769544</v>
      </c>
      <c r="BF4">
        <f t="shared" si="6"/>
        <v>31903.844431822494</v>
      </c>
      <c r="BG4">
        <f t="shared" si="6"/>
        <v>10009.248342832499</v>
      </c>
      <c r="BH4">
        <f t="shared" si="6"/>
        <v>41913.092774655001</v>
      </c>
      <c r="BI4">
        <f t="shared" si="6"/>
        <v>325777.75294681499</v>
      </c>
      <c r="BJ4">
        <f t="shared" si="7"/>
        <v>102207.298585365</v>
      </c>
      <c r="BK4">
        <f t="shared" si="7"/>
        <v>427985.05153217999</v>
      </c>
      <c r="BL4">
        <f t="shared" si="7"/>
        <v>1973091.1622159663</v>
      </c>
      <c r="BM4" s="22">
        <f>-17.17-(0.1023*E4)+F4*(100-8.576-13.681)</f>
        <v>21.819028355800292</v>
      </c>
      <c r="BN4">
        <f>IF(AT4&lt;&gt;-999,AT4*$BM4, -999)</f>
        <v>6908569.382704882</v>
      </c>
      <c r="BO4">
        <f>IF(AU4&lt;&gt;-999,AU4*$BM4, -999)</f>
        <v>2167445.1666595768</v>
      </c>
      <c r="BP4" s="25">
        <f>IF(AV4&lt;&gt;-999,AV4*$BM4, -999)</f>
        <v>9076018.181544235</v>
      </c>
      <c r="BQ4">
        <f>-19.943-(0.1023*E4)+F4*(100-8.576-13.681)</f>
        <v>19.046028355800296</v>
      </c>
      <c r="BR4">
        <f>IF(AW4&lt;&gt;-999,AW4*$BQ4, -999)</f>
        <v>1111995.6280101561</v>
      </c>
      <c r="BS4">
        <f>IF(AX4&lt;&gt;-999,AX4*$BQ4, -999)</f>
        <v>348869.70399164449</v>
      </c>
      <c r="BT4" s="25">
        <f>IF(AY4&lt;&gt;-999,AY4*$BQ4, -999)</f>
        <v>1460865.3320018006</v>
      </c>
      <c r="BU4">
        <f>-25.871-(0.1023*E4)+F4*(100-8.576-13.681)</f>
        <v>13.118028355800298</v>
      </c>
      <c r="BV4">
        <f>IF(AZ4&lt;&gt;-999,AZ4*$BU4, -999)</f>
        <v>7820696.6664333306</v>
      </c>
      <c r="BW4">
        <f>IF(BA4&lt;&gt;-999,BA4*$BU4, -999)</f>
        <v>2453610.6849990743</v>
      </c>
      <c r="BX4" s="25">
        <f>IF(BB4&lt;&gt;-999,BB4*$BU4, -999)</f>
        <v>10274309.53517022</v>
      </c>
      <c r="BY4">
        <f>-25.245-(0.1023*E4)+F4*(100-8.576-13.681)</f>
        <v>13.744028355800289</v>
      </c>
      <c r="BZ4">
        <f>IF(BC4&lt;&gt;-999,BC4*$BY4, -999)</f>
        <v>2377998.3712302479</v>
      </c>
      <c r="CA4">
        <f>IF(BD4&lt;&gt;-999,BD4*$BY4, -999)</f>
        <v>746056.06618033862</v>
      </c>
      <c r="CB4" s="25">
        <f>IF(BE4&lt;&gt;-999,BE4*$BY4, -999)</f>
        <v>3124054.4374105865</v>
      </c>
      <c r="CC4">
        <f>-29.317-(0.1023*E4)+F4*(100-8.576-13.681)</f>
        <v>9.6720283558002933</v>
      </c>
      <c r="CD4">
        <f>IF(BF4&lt;&gt;-999,BF4*$CC4, -999)</f>
        <v>308574.88800362847</v>
      </c>
      <c r="CE4">
        <f>IF(BG4&lt;&gt;-999,BG4*$CC4, -999)</f>
        <v>96809.733792123036</v>
      </c>
      <c r="CF4" s="25">
        <f>IF(BH4&lt;&gt;-999,BH4*$CC4, -999)</f>
        <v>405384.62179575156</v>
      </c>
      <c r="CG4">
        <f>-38.03-(0.1023*E4)+F4*(100-8.576-13.681)</f>
        <v>0.95902835580029233</v>
      </c>
      <c r="CH4">
        <f>IF(BI4&lt;&gt;-999,BI4*$CG4, -999)</f>
        <v>312430.10276489781</v>
      </c>
      <c r="CI4">
        <f>IF(BJ4&lt;&gt;-999,BJ4*$CG4, -999)</f>
        <v>98019.697513112143</v>
      </c>
      <c r="CJ4" s="25">
        <f>IF(BK4&lt;&gt;-999,BK4*$CG4, -999)</f>
        <v>410449.80027800996</v>
      </c>
      <c r="CK4" s="26">
        <f t="shared" si="8"/>
        <v>24751081.908200603</v>
      </c>
      <c r="CL4">
        <f t="shared" si="9"/>
        <v>-21.312821304830813</v>
      </c>
      <c r="CM4">
        <f t="shared" si="10"/>
        <v>36.833227964478318</v>
      </c>
      <c r="CN4">
        <f t="shared" si="11"/>
        <v>-78.454477380688346</v>
      </c>
      <c r="CO4" s="22">
        <f t="shared" si="12"/>
        <v>-40.08</v>
      </c>
      <c r="CP4">
        <f>IF(AT4&lt;&gt;-999,AT4*$CO4, -999)</f>
        <v>-12690549.567263512</v>
      </c>
      <c r="CQ4">
        <f>IF(AU4&lt;&gt;-999,AU4*$CO4, -999)</f>
        <v>-3981442.292622637</v>
      </c>
      <c r="CR4" s="27">
        <f>IF(AV4&lt;&gt;-999,AV4*$CO4, -999)</f>
        <v>-16671998.531941524</v>
      </c>
      <c r="CS4">
        <f t="shared" si="13"/>
        <v>-42.853000000000002</v>
      </c>
      <c r="CT4">
        <f>IF(AW4&lt;&gt;-999,AW4*$CS4, -999)</f>
        <v>-2501957.2457271451</v>
      </c>
      <c r="CU4">
        <f>IF(AX4&lt;&gt;-999,AX4*$CS4, -999)</f>
        <v>-784946.50673986936</v>
      </c>
      <c r="CV4" s="27">
        <f>IF(AY4&lt;&gt;-999,AY4*$CS4, -999)</f>
        <v>-3286903.7524670153</v>
      </c>
      <c r="CW4">
        <f t="shared" si="14"/>
        <v>-48.780999999999999</v>
      </c>
      <c r="CX4">
        <f>IF(AZ4&lt;&gt;-999,AZ4*$CO4, -999)</f>
        <v>-23894865.439290695</v>
      </c>
      <c r="CY4">
        <f>IF(BA4&lt;&gt;-999,BA4*$CO4, -999)</f>
        <v>-7496607.9953074912</v>
      </c>
      <c r="CZ4" s="27">
        <f>IF(BB4&lt;&gt;-999,BB4*$CO4, -999)</f>
        <v>-31391480.10665356</v>
      </c>
      <c r="DA4">
        <f t="shared" si="15"/>
        <v>-48.155000000000001</v>
      </c>
      <c r="DB4">
        <f>IF(BC4&lt;&gt;-999,BC4*$DA4, -999)</f>
        <v>-8331801.1722717183</v>
      </c>
      <c r="DC4">
        <f>IF(BD4&lt;&gt;-999,BD4*$DA4, -999)</f>
        <v>-2613959.2364674136</v>
      </c>
      <c r="DD4" s="27">
        <f>IF(BE4&lt;&gt;-999,BE4*$DA4, -999)</f>
        <v>-10945760.408739133</v>
      </c>
      <c r="DE4">
        <f t="shared" si="16"/>
        <v>-52.227000000000004</v>
      </c>
      <c r="DF4">
        <f>IF(BF4&lt;&gt;-999,BF4*$DE4, -999)</f>
        <v>-1666242.0831407935</v>
      </c>
      <c r="DG4">
        <f>IF(BG4&lt;&gt;-999,BG4*$DE4, -999)</f>
        <v>-522753.01320111298</v>
      </c>
      <c r="DH4" s="27">
        <f>IF(BH4&lt;&gt;-999,BH4*$DE4, -999)</f>
        <v>-2188995.096341907</v>
      </c>
      <c r="DI4">
        <f t="shared" si="17"/>
        <v>-60.94</v>
      </c>
      <c r="DJ4">
        <f>IF(BI4&lt;&gt;-999,BI4*$DI4, -999)</f>
        <v>-19852896.264578905</v>
      </c>
      <c r="DK4">
        <f>IF(BJ4&lt;&gt;-999,BJ4*$DI4, -999)</f>
        <v>-6228512.7757921433</v>
      </c>
      <c r="DL4" s="27">
        <f>IF(BK4&lt;&gt;-999,BK4*$DI4, -999)</f>
        <v>-26081409.040371049</v>
      </c>
      <c r="DM4" s="28">
        <f t="shared" si="18"/>
        <v>-90566546.936514184</v>
      </c>
      <c r="DN4" s="22">
        <f t="shared" si="19"/>
        <v>-17.170000000000002</v>
      </c>
      <c r="DO4">
        <f>IF(AT4&lt;&gt;-999,AT4*$DN4, -999)</f>
        <v>-5436545.3111256119</v>
      </c>
      <c r="DP4">
        <f>IF(AU4&lt;&gt;-999,AU4*$DN4, -999)</f>
        <v>-1705622.8583914842</v>
      </c>
      <c r="DQ4" s="24">
        <f>IF(AV4&lt;&gt;-999,AV4*$DN4, -999)</f>
        <v>-7142171.0277803391</v>
      </c>
      <c r="DR4">
        <f t="shared" si="20"/>
        <v>-19.943000000000001</v>
      </c>
      <c r="DS4">
        <f>IF(AW4&lt;&gt;-999,AW4*$DR4, -999)</f>
        <v>-1164365.0001525322</v>
      </c>
      <c r="DT4">
        <f>IF(AX4&lt;&gt;-999,AX4*$DR4, -999)</f>
        <v>-365299.70326262375</v>
      </c>
      <c r="DU4" s="24">
        <f>IF(AY4&lt;&gt;-999,AY4*$DR4, -999)</f>
        <v>-1529664.7034151561</v>
      </c>
      <c r="DV4">
        <f t="shared" si="21"/>
        <v>-25.870999999999999</v>
      </c>
      <c r="DW4">
        <f>IF(AZ4&lt;&gt;-999,AZ4*$DV4, -999)</f>
        <v>-15423754.086324589</v>
      </c>
      <c r="DX4">
        <f>IF(BA4&lt;&gt;-999,BA4*$DV4, -999)</f>
        <v>-4838940.7546556909</v>
      </c>
      <c r="DY4" s="24">
        <f>IF(BB4&lt;&gt;-999,BB4*$DV4, -999)</f>
        <v>-20262699.147685487</v>
      </c>
      <c r="DZ4">
        <f t="shared" si="22"/>
        <v>-25.245000000000001</v>
      </c>
      <c r="EA4">
        <f>IF(BC4&lt;&gt;-999, BC4*$DZ4, -999)</f>
        <v>-4367901.9955144748</v>
      </c>
      <c r="EB4">
        <f>IF(BD4&lt;&gt;-999, BD4*$DZ4, -999)</f>
        <v>-1370354.0841993534</v>
      </c>
      <c r="EC4" s="24">
        <f>IF(BE4&lt;&gt;-999, BE4*$DZ4, -999)</f>
        <v>-5738256.0797138279</v>
      </c>
      <c r="ED4">
        <f t="shared" si="23"/>
        <v>-29.317</v>
      </c>
      <c r="EE4">
        <f>IF(BF4&lt;&gt;-999,BF4*$ED4, -999)</f>
        <v>-935325.0072077401</v>
      </c>
      <c r="EF4">
        <f>IF(BG4&lt;&gt;-999,BG4*$ED4, -999)</f>
        <v>-293441.13366682042</v>
      </c>
      <c r="EG4" s="24">
        <f>IF(BH4&lt;&gt;-999,BH4*$ED4, -999)</f>
        <v>-1228766.1408745607</v>
      </c>
      <c r="EH4">
        <f t="shared" si="24"/>
        <v>-38.03</v>
      </c>
      <c r="EI4">
        <f>IF(BI4&lt;&gt;-999,BI4*$EH4, -999)</f>
        <v>-12389327.944567375</v>
      </c>
      <c r="EJ4">
        <f>IF(BJ4&lt;&gt;-999,BJ4*$EH4, -999)</f>
        <v>-3886943.565201431</v>
      </c>
      <c r="EK4" s="24">
        <f>IF(BK4&lt;&gt;-999,BK4*$EH4, -999)</f>
        <v>-16276271.509768806</v>
      </c>
      <c r="EL4" s="28">
        <f t="shared" si="25"/>
        <v>-52177828.60923817</v>
      </c>
      <c r="EM4" s="22">
        <f>-17.17-(0.1023*G4)+H4*(100+102.093-66.644-64.243)</f>
        <v>35.525530410862373</v>
      </c>
      <c r="EN4">
        <f>IF(AT4&lt;&gt;-999,AT4*$EM4, -999)</f>
        <v>11248465.683193019</v>
      </c>
      <c r="EO4">
        <f>IF(AU4&lt;&gt;-999,AU4*$EM4, -999)</f>
        <v>3529013.2047320139</v>
      </c>
      <c r="EP4" s="23">
        <f>IF(AV4&lt;&gt;-999,AV4*$EM4, -999)</f>
        <v>14777484.801804926</v>
      </c>
      <c r="EQ4">
        <f>-19.943-(0.1023*G4)+H4*(100+102.093-66.644-64.243)</f>
        <v>32.752530410862377</v>
      </c>
      <c r="ER4">
        <f>IF(AW4&lt;&gt;-999,AW4*$EQ4, -999)</f>
        <v>1912244.9018121439</v>
      </c>
      <c r="ES4">
        <f>IF(AX4&lt;&gt;-999,AX4*$EQ4, -999)</f>
        <v>599934.29474944028</v>
      </c>
      <c r="ET4" s="23">
        <f>IF(AY4&lt;&gt;-999,AY4*$EQ4, -999)</f>
        <v>2512179.1965615842</v>
      </c>
      <c r="EU4">
        <f>-25.871-(0.1023*G4)+H4*(100+102.093-66.644-64.243)</f>
        <v>26.82453041086238</v>
      </c>
      <c r="EV4">
        <f>IF(AZ4&lt;&gt;-999,AZ4*$EU4, -999)</f>
        <v>15992229.157677589</v>
      </c>
      <c r="EW4">
        <f>IF(BA4&lt;&gt;-999,BA4*$EU4, -999)</f>
        <v>5017290.1484141685</v>
      </c>
      <c r="EX4" s="23">
        <f>IF(BB4&lt;&gt;-999,BB4*$EU4, -999)</f>
        <v>21009523.771529689</v>
      </c>
      <c r="EY4">
        <f>-25.245-(0.1023*G4)+H4*(100+102.093-66.644-64.243)</f>
        <v>27.450530410862378</v>
      </c>
      <c r="EZ4">
        <f>IF(BC4&lt;&gt;-999, BC4*$EY4, -999)</f>
        <v>4749503.9239269774</v>
      </c>
      <c r="FA4">
        <f>IF(BD4&lt;&gt;-999, BD4*$EY4, -999)</f>
        <v>1490075.1222802063</v>
      </c>
      <c r="FB4" s="23">
        <f>IF(BE4&lt;&gt;-999, BE4*$EY4, -999)</f>
        <v>6239579.046207184</v>
      </c>
      <c r="FC4">
        <f>-29.317-(0.1023*G4)+H4*(100+102.093-66.644-64.243)</f>
        <v>23.378530410862375</v>
      </c>
      <c r="FD4">
        <f>IF(BF4&lt;&gt;-999,BF4*$FC4, -999)</f>
        <v>745864.99727278447</v>
      </c>
      <c r="FE4">
        <f>IF(BG4&lt;&gt;-999,BG4*$FC4, -999)</f>
        <v>234001.51677278342</v>
      </c>
      <c r="FF4" s="23">
        <f>IF(BH4&lt;&gt;-999,BH4*$FC4, -999)</f>
        <v>979866.51404556795</v>
      </c>
      <c r="FG4">
        <f>-38.03-(0.1023*G4)+H4*(100+102.093-66.644-64.243)</f>
        <v>14.665530410862381</v>
      </c>
      <c r="FH4">
        <f>IF(BI4&lt;&gt;-999,BI4*$FG4, -999)</f>
        <v>4777703.5430239271</v>
      </c>
      <c r="FI4">
        <f>IF(BJ4&lt;&gt;-999,BJ4*$FG4, -999)</f>
        <v>1498924.245615762</v>
      </c>
      <c r="FJ4" s="23">
        <f>IF(BK4&lt;&gt;-999,BK4*$FG4, -999)</f>
        <v>6276627.7886396889</v>
      </c>
      <c r="FK4" s="28">
        <f t="shared" si="26"/>
        <v>51795261.118788637</v>
      </c>
      <c r="FL4" s="22">
        <f t="shared" si="28"/>
        <v>10.012280000000011</v>
      </c>
      <c r="FM4">
        <f>IF(AT4&lt;&gt;-999,AT4*$FL4, -999)</f>
        <v>3170193.0045239832</v>
      </c>
      <c r="FN4">
        <f>IF(AU4&lt;&gt;-999,AU4*$FL4, -999)</f>
        <v>994593.68856237084</v>
      </c>
      <c r="FO4" s="29">
        <f>IF(AV4&lt;&gt;-999,AV4*$FL4, -999)</f>
        <v>4164788.3598150616</v>
      </c>
      <c r="FP4">
        <f t="shared" si="29"/>
        <v>7.2392800000000115</v>
      </c>
      <c r="FQ4">
        <f>IF(AW4&lt;&gt;-999,AW4*$FP4, -999)</f>
        <v>422662.8019006286</v>
      </c>
      <c r="FR4">
        <f>IF(AX4&lt;&gt;-999,AX4*$FP4, -999)</f>
        <v>132603.26108584722</v>
      </c>
      <c r="FS4" s="29">
        <f>IF(AY4&lt;&gt;-999,AY4*$FP4, -999)</f>
        <v>555266.06298647588</v>
      </c>
      <c r="FT4">
        <f t="shared" si="30"/>
        <v>1.3112800000000142</v>
      </c>
      <c r="FU4">
        <f>IF(AZ4&lt;&gt;-999,AZ4*$FT4, -999)</f>
        <v>781757.96290502604</v>
      </c>
      <c r="FV4">
        <f>IF(BA4&lt;&gt;-999,BA4*$FT4, -999)</f>
        <v>245263.2767486755</v>
      </c>
      <c r="FW4" s="29">
        <f>IF(BB4&lt;&gt;-999,BB4*$FT4, -999)</f>
        <v>1027021.4579404474</v>
      </c>
      <c r="FX4">
        <f t="shared" si="31"/>
        <v>1.9372800000000119</v>
      </c>
      <c r="FY4">
        <f>IF(BC4&lt;&gt;-999, BC4*$FX4, -999)</f>
        <v>335189.11379957746</v>
      </c>
      <c r="FZ4">
        <f>IF(BD4&lt;&gt;-999, BD4*$FX4, -999)</f>
        <v>105159.81621064525</v>
      </c>
      <c r="GA4" s="29">
        <f>IF(BE4&lt;&gt;-999, BE4*$FX4, -999)</f>
        <v>440348.93001022271</v>
      </c>
      <c r="GB4">
        <f t="shared" si="32"/>
        <v>-2.1347199999999873</v>
      </c>
      <c r="GC4">
        <f>IF(BF4&lt;&gt;-999,BF4*$GB4, -999)</f>
        <v>-68105.774785499714</v>
      </c>
      <c r="GD4">
        <f>IF(BG4&lt;&gt;-999,BG4*$GB4, -999)</f>
        <v>-21366.942622411265</v>
      </c>
      <c r="GE4" s="29">
        <f>IF(BH4&lt;&gt;-999,BH4*$GB4, -999)</f>
        <v>-89472.717407910997</v>
      </c>
      <c r="GF4">
        <f t="shared" si="33"/>
        <v>-10.847719999999988</v>
      </c>
      <c r="GG4">
        <f>IF(BI4&lt;&gt;-999,BI4*$GF4, -999)</f>
        <v>-3533945.8461962203</v>
      </c>
      <c r="GH4">
        <f>IF(BJ4&lt;&gt;-999,BJ4*$GF4, -999)</f>
        <v>-1108716.1570104344</v>
      </c>
      <c r="GI4" s="29">
        <f>IF(BK4&lt;&gt;-999,BK4*$GF4, -999)</f>
        <v>-4642662.0032066545</v>
      </c>
      <c r="GJ4" s="30">
        <f t="shared" si="27"/>
        <v>1455290.0901376419</v>
      </c>
    </row>
    <row r="5" spans="1:192">
      <c r="A5" s="48" t="s">
        <v>138</v>
      </c>
      <c r="B5" s="48" t="s">
        <v>141</v>
      </c>
      <c r="C5" s="49">
        <v>146</v>
      </c>
      <c r="D5" s="50">
        <v>0.995</v>
      </c>
      <c r="E5" s="49">
        <v>242.067256158775</v>
      </c>
      <c r="F5" s="49">
        <v>0.78017396088743596</v>
      </c>
      <c r="G5" s="49">
        <v>117.42988330155001</v>
      </c>
      <c r="H5" s="49">
        <v>0.81487386964989805</v>
      </c>
      <c r="I5" s="42">
        <v>12286.6</v>
      </c>
      <c r="J5" s="43">
        <v>24478.799999999999</v>
      </c>
      <c r="K5" s="43">
        <f t="shared" si="0"/>
        <v>36765.4</v>
      </c>
      <c r="L5" s="43">
        <v>3698.3</v>
      </c>
      <c r="M5" s="43">
        <v>7368.1</v>
      </c>
      <c r="N5" s="43">
        <f t="shared" si="1"/>
        <v>11066.400000000001</v>
      </c>
      <c r="O5" s="43">
        <v>14329.8</v>
      </c>
      <c r="P5" s="43">
        <v>28549.5</v>
      </c>
      <c r="Q5" s="43">
        <f t="shared" si="2"/>
        <v>42879.3</v>
      </c>
      <c r="R5" s="43">
        <v>24730.1</v>
      </c>
      <c r="S5" s="43">
        <v>49270.1</v>
      </c>
      <c r="T5" s="43">
        <f t="shared" si="3"/>
        <v>74000.2</v>
      </c>
      <c r="U5" s="43">
        <v>7443.8</v>
      </c>
      <c r="V5" s="43">
        <v>14830.3</v>
      </c>
      <c r="W5" s="43">
        <f t="shared" si="4"/>
        <v>22274.1</v>
      </c>
      <c r="X5" s="43">
        <v>28842.6</v>
      </c>
      <c r="Y5" s="43">
        <v>57463.6</v>
      </c>
      <c r="Z5" s="43">
        <f t="shared" si="5"/>
        <v>86306.2</v>
      </c>
      <c r="AA5" s="22">
        <v>117322.2</v>
      </c>
      <c r="AB5">
        <v>52698</v>
      </c>
      <c r="AC5">
        <v>170020.2</v>
      </c>
      <c r="AD5">
        <v>35314</v>
      </c>
      <c r="AE5">
        <v>15862.1</v>
      </c>
      <c r="AF5">
        <v>51176.1</v>
      </c>
      <c r="AG5">
        <v>136832.5</v>
      </c>
      <c r="AH5">
        <v>61461.5</v>
      </c>
      <c r="AI5">
        <v>198293.9</v>
      </c>
      <c r="AJ5">
        <v>236142.6</v>
      </c>
      <c r="AK5">
        <v>106068.9</v>
      </c>
      <c r="AL5">
        <v>342211.5</v>
      </c>
      <c r="AM5">
        <v>71079</v>
      </c>
      <c r="AN5">
        <v>31926.799999999999</v>
      </c>
      <c r="AO5">
        <v>103005.8</v>
      </c>
      <c r="AP5">
        <v>275412.3</v>
      </c>
      <c r="AQ5">
        <v>123707.8</v>
      </c>
      <c r="AR5">
        <v>399120.1</v>
      </c>
      <c r="AS5">
        <v>1263827.5900000001</v>
      </c>
      <c r="AT5" s="22">
        <f t="shared" si="6"/>
        <v>195304.44491284501</v>
      </c>
      <c r="AU5">
        <f t="shared" si="6"/>
        <v>87725.542463550009</v>
      </c>
      <c r="AV5">
        <f t="shared" si="6"/>
        <v>283029.98737639503</v>
      </c>
      <c r="AW5">
        <f t="shared" si="6"/>
        <v>58786.667550150007</v>
      </c>
      <c r="AX5">
        <f t="shared" si="6"/>
        <v>26405.391610897499</v>
      </c>
      <c r="AY5">
        <f t="shared" si="6"/>
        <v>85192.059161047495</v>
      </c>
      <c r="AZ5">
        <f t="shared" si="6"/>
        <v>227782.93842543749</v>
      </c>
      <c r="BA5">
        <f t="shared" si="6"/>
        <v>102314.0048602125</v>
      </c>
      <c r="BB5">
        <f t="shared" si="6"/>
        <v>330096.77681720251</v>
      </c>
      <c r="BC5">
        <f t="shared" si="6"/>
        <v>393102.92010613502</v>
      </c>
      <c r="BD5">
        <f t="shared" si="6"/>
        <v>176571.25111032749</v>
      </c>
      <c r="BE5">
        <f t="shared" si="6"/>
        <v>569674.17121646251</v>
      </c>
      <c r="BF5">
        <f t="shared" si="6"/>
        <v>118324.107798525</v>
      </c>
      <c r="BG5">
        <f t="shared" si="6"/>
        <v>53148.048296430003</v>
      </c>
      <c r="BH5">
        <f t="shared" si="6"/>
        <v>171472.15609495502</v>
      </c>
      <c r="BI5">
        <f t="shared" si="6"/>
        <v>458474.58003404248</v>
      </c>
      <c r="BJ5">
        <f t="shared" si="7"/>
        <v>205934.45409640501</v>
      </c>
      <c r="BK5">
        <f t="shared" si="7"/>
        <v>664409.03413044754</v>
      </c>
      <c r="BL5">
        <f t="shared" si="7"/>
        <v>2103874.1681496655</v>
      </c>
      <c r="BM5" s="22">
        <f>-17.17-(0.1023*E5)+F5*(100-8.576-13.681)</f>
        <v>18.719583936229256</v>
      </c>
      <c r="BN5">
        <f>IF(AT5&lt;&gt;-999,AT5*$BM5, -999)</f>
        <v>3656017.9496646649</v>
      </c>
      <c r="BO5">
        <f>IF(AU5&lt;&gt;-999,AU5*$BM5, -999)</f>
        <v>1642185.6554976683</v>
      </c>
      <c r="BP5" s="25">
        <f>IF(AV5&lt;&gt;-999,AV5*$BM5, -999)</f>
        <v>5298203.6051623337</v>
      </c>
      <c r="BQ5">
        <f>-19.943-(0.1023*E5)+F5*(100-8.576-13.681)</f>
        <v>15.946583936229253</v>
      </c>
      <c r="BR5">
        <f>IF(AW5&lt;&gt;-999,AW5*$BQ5, -999)</f>
        <v>937446.52841967158</v>
      </c>
      <c r="BS5">
        <f>IF(AX5&lt;&gt;-999,AX5*$BQ5, -999)</f>
        <v>421075.79369218071</v>
      </c>
      <c r="BT5" s="25">
        <f>IF(AY5&lt;&gt;-999,AY5*$BQ5, -999)</f>
        <v>1358522.3221118522</v>
      </c>
      <c r="BU5">
        <f>-25.871-(0.1023*E5)+F5*(100-8.576-13.681)</f>
        <v>10.018583936229255</v>
      </c>
      <c r="BV5">
        <f>IF(AZ5&lt;&gt;-999,AZ5*$BU5, -999)</f>
        <v>2282062.4878561855</v>
      </c>
      <c r="BW5">
        <f>IF(BA5&lt;&gt;-999,BA5*$BU5, -999)</f>
        <v>1025041.445543807</v>
      </c>
      <c r="BX5" s="25">
        <f>IF(BB5&lt;&gt;-999,BB5*$BU5, -999)</f>
        <v>3307102.2656218787</v>
      </c>
      <c r="BY5">
        <f>-25.245-(0.1023*E5)+F5*(100-8.576-13.681)</f>
        <v>10.64458393622926</v>
      </c>
      <c r="BZ5">
        <f>IF(BC5&lt;&gt;-999,BC5*$BY5, -999)</f>
        <v>4184417.028646579</v>
      </c>
      <c r="CA5">
        <f>IF(BD5&lt;&gt;-999,BD5*$BY5, -999)</f>
        <v>1879527.5031688949</v>
      </c>
      <c r="CB5" s="25">
        <f>IF(BE5&lt;&gt;-999,BE5*$BY5, -999)</f>
        <v>6063944.5318154739</v>
      </c>
      <c r="CC5">
        <f>-29.317-(0.1023*E5)+F5*(100-8.576-13.681)</f>
        <v>6.5725839362292575</v>
      </c>
      <c r="CD5">
        <f>IF(BF5&lt;&gt;-999,BF5*$CC5, -999)</f>
        <v>777695.13018524449</v>
      </c>
      <c r="CE5">
        <f>IF(BG5&lt;&gt;-999,BG5*$CC5, -999)</f>
        <v>349320.0084750526</v>
      </c>
      <c r="CF5" s="25">
        <f>IF(BH5&lt;&gt;-999,BH5*$CC5, -999)</f>
        <v>1127015.138660297</v>
      </c>
      <c r="CG5">
        <f>-38.03-(0.1023*E5)+F5*(100-8.576-13.681)</f>
        <v>-2.1404160637707434</v>
      </c>
      <c r="CH5">
        <f>IF(BI5&lt;&gt;-999,BI5*$CG5, -999)</f>
        <v>-981326.3559354099</v>
      </c>
      <c r="CI5">
        <f>IF(BJ5&lt;&gt;-999,BJ5*$CG5, -999)</f>
        <v>-440785.41363180405</v>
      </c>
      <c r="CJ5" s="25">
        <f>IF(BK5&lt;&gt;-999,BK5*$CG5, -999)</f>
        <v>-1422111.7695672142</v>
      </c>
      <c r="CK5" s="26">
        <f t="shared" si="8"/>
        <v>15732676.09380462</v>
      </c>
      <c r="CL5">
        <f t="shared" si="9"/>
        <v>-17.556581652514161</v>
      </c>
      <c r="CM5">
        <f t="shared" si="10"/>
        <v>40.693247588527171</v>
      </c>
      <c r="CN5">
        <f t="shared" si="11"/>
        <v>-74.800225043534212</v>
      </c>
      <c r="CO5" s="22">
        <f t="shared" si="12"/>
        <v>-40.08</v>
      </c>
      <c r="CP5">
        <f>IF(AT5&lt;&gt;-999,AT5*$CO5, -999)</f>
        <v>-7827802.1521068271</v>
      </c>
      <c r="CQ5">
        <f>IF(AU5&lt;&gt;-999,AU5*$CO5, -999)</f>
        <v>-3516039.7419390841</v>
      </c>
      <c r="CR5" s="27">
        <f>IF(AV5&lt;&gt;-999,AV5*$CO5, -999)</f>
        <v>-11343841.894045912</v>
      </c>
      <c r="CS5">
        <f t="shared" si="13"/>
        <v>-42.853000000000002</v>
      </c>
      <c r="CT5">
        <f>IF(AW5&lt;&gt;-999,AW5*$CS5, -999)</f>
        <v>-2519185.0645265784</v>
      </c>
      <c r="CU5">
        <f>IF(AX5&lt;&gt;-999,AX5*$CS5, -999)</f>
        <v>-1131550.2467017905</v>
      </c>
      <c r="CV5" s="27">
        <f>IF(AY5&lt;&gt;-999,AY5*$CS5, -999)</f>
        <v>-3650735.3112283684</v>
      </c>
      <c r="CW5">
        <f t="shared" si="14"/>
        <v>-48.780999999999999</v>
      </c>
      <c r="CX5">
        <f>IF(AZ5&lt;&gt;-999,AZ5*$CO5, -999)</f>
        <v>-9129540.1720915344</v>
      </c>
      <c r="CY5">
        <f>IF(BA5&lt;&gt;-999,BA5*$CO5, -999)</f>
        <v>-4100745.3147973171</v>
      </c>
      <c r="CZ5" s="27">
        <f>IF(BB5&lt;&gt;-999,BB5*$CO5, -999)</f>
        <v>-13230278.814833475</v>
      </c>
      <c r="DA5">
        <f t="shared" si="15"/>
        <v>-48.155000000000001</v>
      </c>
      <c r="DB5">
        <f>IF(BC5&lt;&gt;-999,BC5*$DA5, -999)</f>
        <v>-18929871.117710933</v>
      </c>
      <c r="DC5">
        <f>IF(BD5&lt;&gt;-999,BD5*$DA5, -999)</f>
        <v>-8502788.5972178206</v>
      </c>
      <c r="DD5" s="27">
        <f>IF(BE5&lt;&gt;-999,BE5*$DA5, -999)</f>
        <v>-27432659.714928754</v>
      </c>
      <c r="DE5">
        <f t="shared" si="16"/>
        <v>-52.227000000000004</v>
      </c>
      <c r="DF5">
        <f>IF(BF5&lt;&gt;-999,BF5*$DE5, -999)</f>
        <v>-6179713.1779935658</v>
      </c>
      <c r="DG5">
        <f>IF(BG5&lt;&gt;-999,BG5*$DE5, -999)</f>
        <v>-2775763.1183776502</v>
      </c>
      <c r="DH5" s="27">
        <f>IF(BH5&lt;&gt;-999,BH5*$DE5, -999)</f>
        <v>-8955476.296371216</v>
      </c>
      <c r="DI5">
        <f t="shared" si="17"/>
        <v>-60.94</v>
      </c>
      <c r="DJ5">
        <f>IF(BI5&lt;&gt;-999,BI5*$DI5, -999)</f>
        <v>-27939440.907274548</v>
      </c>
      <c r="DK5">
        <f>IF(BJ5&lt;&gt;-999,BJ5*$DI5, -999)</f>
        <v>-12549645.632634921</v>
      </c>
      <c r="DL5" s="27">
        <f>IF(BK5&lt;&gt;-999,BK5*$DI5, -999)</f>
        <v>-40489086.539909475</v>
      </c>
      <c r="DM5" s="28">
        <f t="shared" si="18"/>
        <v>-105102078.5713172</v>
      </c>
      <c r="DN5" s="22">
        <f t="shared" si="19"/>
        <v>-17.170000000000002</v>
      </c>
      <c r="DO5">
        <f>IF(AT5&lt;&gt;-999,AT5*$DN5, -999)</f>
        <v>-3353377.3191535491</v>
      </c>
      <c r="DP5">
        <f>IF(AU5&lt;&gt;-999,AU5*$DN5, -999)</f>
        <v>-1506247.5640991537</v>
      </c>
      <c r="DQ5" s="24">
        <f>IF(AV5&lt;&gt;-999,AV5*$DN5, -999)</f>
        <v>-4859624.8832527036</v>
      </c>
      <c r="DR5">
        <f t="shared" si="20"/>
        <v>-19.943000000000001</v>
      </c>
      <c r="DS5">
        <f>IF(AW5&lt;&gt;-999,AW5*$DR5, -999)</f>
        <v>-1172382.5109526417</v>
      </c>
      <c r="DT5">
        <f>IF(AX5&lt;&gt;-999,AX5*$DR5, -999)</f>
        <v>-526602.72489612887</v>
      </c>
      <c r="DU5" s="24">
        <f>IF(AY5&lt;&gt;-999,AY5*$DR5, -999)</f>
        <v>-1698985.2358487702</v>
      </c>
      <c r="DV5">
        <f t="shared" si="21"/>
        <v>-25.870999999999999</v>
      </c>
      <c r="DW5">
        <f>IF(AZ5&lt;&gt;-999,AZ5*$DV5, -999)</f>
        <v>-5892972.4000044931</v>
      </c>
      <c r="DX5">
        <f>IF(BA5&lt;&gt;-999,BA5*$DV5, -999)</f>
        <v>-2646965.6197385574</v>
      </c>
      <c r="DY5" s="24">
        <f>IF(BB5&lt;&gt;-999,BB5*$DV5, -999)</f>
        <v>-8539933.7130378466</v>
      </c>
      <c r="DZ5">
        <f t="shared" si="22"/>
        <v>-25.245000000000001</v>
      </c>
      <c r="EA5">
        <f>IF(BC5&lt;&gt;-999, BC5*$DZ5, -999)</f>
        <v>-9923883.2180793788</v>
      </c>
      <c r="EB5">
        <f>IF(BD5&lt;&gt;-999, BD5*$DZ5, -999)</f>
        <v>-4457541.2342802174</v>
      </c>
      <c r="EC5" s="24">
        <f>IF(BE5&lt;&gt;-999, BE5*$DZ5, -999)</f>
        <v>-14381424.452359596</v>
      </c>
      <c r="ED5">
        <f t="shared" si="23"/>
        <v>-29.317</v>
      </c>
      <c r="EE5">
        <f>IF(BF5&lt;&gt;-999,BF5*$ED5, -999)</f>
        <v>-3468907.8683293574</v>
      </c>
      <c r="EF5">
        <f>IF(BG5&lt;&gt;-999,BG5*$ED5, -999)</f>
        <v>-1558141.3319064383</v>
      </c>
      <c r="EG5" s="24">
        <f>IF(BH5&lt;&gt;-999,BH5*$ED5, -999)</f>
        <v>-5027049.2002357962</v>
      </c>
      <c r="EH5">
        <f t="shared" si="24"/>
        <v>-38.03</v>
      </c>
      <c r="EI5">
        <f>IF(BI5&lt;&gt;-999,BI5*$EH5, -999)</f>
        <v>-17435788.278694637</v>
      </c>
      <c r="EJ5">
        <f>IF(BJ5&lt;&gt;-999,BJ5*$EH5, -999)</f>
        <v>-7831687.2892862828</v>
      </c>
      <c r="EK5" s="24">
        <f>IF(BK5&lt;&gt;-999,BK5*$EH5, -999)</f>
        <v>-25267475.567980919</v>
      </c>
      <c r="EL5" s="28">
        <f t="shared" si="25"/>
        <v>-59774493.052715629</v>
      </c>
      <c r="EM5" s="22">
        <f>-17.17-(0.1023*G5)+H5*(100+102.093-66.644-64.243)</f>
        <v>28.840831700542083</v>
      </c>
      <c r="EN5">
        <f>IF(AT5&lt;&gt;-999,AT5*$EM5, -999)</f>
        <v>5632742.6260991553</v>
      </c>
      <c r="EO5">
        <f>IF(AU5&lt;&gt;-999,AU5*$EM5, -999)</f>
        <v>2530077.6060300036</v>
      </c>
      <c r="EP5" s="23">
        <f>IF(AV5&lt;&gt;-999,AV5*$EM5, -999)</f>
        <v>8162820.2321291594</v>
      </c>
      <c r="EQ5">
        <f>-19.943-(0.1023*G5)+H5*(100+102.093-66.644-64.243)</f>
        <v>26.067831700542087</v>
      </c>
      <c r="ER5">
        <f>IF(AW5&lt;&gt;-999,AW5*$EQ5, -999)</f>
        <v>1532440.9559330291</v>
      </c>
      <c r="ES5">
        <f>IF(AX5&lt;&gt;-999,AX5*$EQ5, -999)</f>
        <v>688331.30449978192</v>
      </c>
      <c r="ET5" s="23">
        <f>IF(AY5&lt;&gt;-999,AY5*$EQ5, -999)</f>
        <v>2220772.260432811</v>
      </c>
      <c r="EU5">
        <f>-25.871-(0.1023*G5)+H5*(100+102.093-66.644-64.243)</f>
        <v>20.139831700542089</v>
      </c>
      <c r="EV5">
        <f>IF(AZ5&lt;&gt;-999,AZ5*$EU5, -999)</f>
        <v>4587510.044143253</v>
      </c>
      <c r="EW5">
        <f>IF(BA5&lt;&gt;-999,BA5*$EU5, -999)</f>
        <v>2060586.838493125</v>
      </c>
      <c r="EX5" s="23">
        <f>IF(BB5&lt;&gt;-999,BB5*$EU5, -999)</f>
        <v>6648093.5299898619</v>
      </c>
      <c r="EY5">
        <f>-25.245-(0.1023*G5)+H5*(100+102.093-66.644-64.243)</f>
        <v>20.765831700542087</v>
      </c>
      <c r="EZ5">
        <f>IF(BC5&lt;&gt;-999, BC5*$EY5, -999)</f>
        <v>8163109.0799156418</v>
      </c>
      <c r="FA5">
        <f>IF(BD5&lt;&gt;-999, BD5*$EY5, -999)</f>
        <v>3666648.8837112156</v>
      </c>
      <c r="FB5" s="23">
        <f>IF(BE5&lt;&gt;-999, BE5*$EY5, -999)</f>
        <v>11829757.963626858</v>
      </c>
      <c r="FC5">
        <f>-29.317-(0.1023*G5)+H5*(100+102.093-66.644-64.243)</f>
        <v>16.693831700542084</v>
      </c>
      <c r="FD5">
        <f>IF(BF5&lt;&gt;-999,BF5*$FC5, -999)</f>
        <v>1975282.7417053755</v>
      </c>
      <c r="FE5">
        <f>IF(BG5&lt;&gt;-999,BG5*$FC5, -999)</f>
        <v>887244.57347288495</v>
      </c>
      <c r="FF5" s="23">
        <f>IF(BH5&lt;&gt;-999,BH5*$FC5, -999)</f>
        <v>2862527.3151782607</v>
      </c>
      <c r="FG5">
        <f>-38.03-(0.1023*G5)+H5*(100+102.093-66.644-64.243)</f>
        <v>7.9808317005420832</v>
      </c>
      <c r="FH5">
        <f>IF(BI5&lt;&gt;-999,BI5*$FG5, -999)</f>
        <v>3659008.4622284048</v>
      </c>
      <c r="FI5">
        <f>IF(BJ5&lt;&gt;-999,BJ5*$FG5, -999)</f>
        <v>1643528.2194864175</v>
      </c>
      <c r="FJ5" s="23">
        <f>IF(BK5&lt;&gt;-999,BK5*$FG5, -999)</f>
        <v>5302536.6817148225</v>
      </c>
      <c r="FK5" s="28">
        <f t="shared" si="26"/>
        <v>37026507.983071774</v>
      </c>
      <c r="FL5" s="22">
        <f t="shared" si="28"/>
        <v>10.012280000000011</v>
      </c>
      <c r="FM5">
        <f>IF(AT5&lt;&gt;-999,AT5*$FL5, -999)</f>
        <v>1955442.7877119819</v>
      </c>
      <c r="FN5">
        <f>IF(AU5&lt;&gt;-999,AU5*$FL5, -999)</f>
        <v>878332.6942969535</v>
      </c>
      <c r="FO5" s="29">
        <f>IF(AV5&lt;&gt;-999,AV5*$FL5, -999)</f>
        <v>2833775.4820089354</v>
      </c>
      <c r="FP5">
        <f t="shared" si="29"/>
        <v>7.2392800000000115</v>
      </c>
      <c r="FQ5">
        <f>IF(AW5&lt;&gt;-999,AW5*$FP5, -999)</f>
        <v>425573.14666245063</v>
      </c>
      <c r="FR5">
        <f>IF(AX5&lt;&gt;-999,AX5*$FP5, -999)</f>
        <v>191156.02338093836</v>
      </c>
      <c r="FS5" s="29">
        <f>IF(AY5&lt;&gt;-999,AY5*$FP5, -999)</f>
        <v>616729.17004338885</v>
      </c>
      <c r="FT5">
        <f t="shared" si="30"/>
        <v>1.3112800000000142</v>
      </c>
      <c r="FU5">
        <f>IF(AZ5&lt;&gt;-999,AZ5*$FT5, -999)</f>
        <v>298687.21149851091</v>
      </c>
      <c r="FV5">
        <f>IF(BA5&lt;&gt;-999,BA5*$FT5, -999)</f>
        <v>134162.30829310091</v>
      </c>
      <c r="FW5" s="29">
        <f>IF(BB5&lt;&gt;-999,BB5*$FT5, -999)</f>
        <v>432849.30150486599</v>
      </c>
      <c r="FX5">
        <f t="shared" si="31"/>
        <v>1.9372800000000119</v>
      </c>
      <c r="FY5">
        <f>IF(BC5&lt;&gt;-999, BC5*$FX5, -999)</f>
        <v>761550.42506321787</v>
      </c>
      <c r="FZ5">
        <f>IF(BD5&lt;&gt;-999, BD5*$FX5, -999)</f>
        <v>342067.95335101732</v>
      </c>
      <c r="GA5" s="29">
        <f>IF(BE5&lt;&gt;-999, BE5*$FX5, -999)</f>
        <v>1103618.3784142353</v>
      </c>
      <c r="GB5">
        <f t="shared" si="32"/>
        <v>-2.1347199999999873</v>
      </c>
      <c r="GC5">
        <f>IF(BF5&lt;&gt;-999,BF5*$GB5, -999)</f>
        <v>-252588.8393996658</v>
      </c>
      <c r="GD5">
        <f>IF(BG5&lt;&gt;-999,BG5*$GB5, -999)</f>
        <v>-113456.20165935438</v>
      </c>
      <c r="GE5" s="29">
        <f>IF(BH5&lt;&gt;-999,BH5*$GB5, -999)</f>
        <v>-366045.04105902021</v>
      </c>
      <c r="GF5">
        <f t="shared" si="33"/>
        <v>-10.847719999999988</v>
      </c>
      <c r="GG5">
        <f>IF(BI5&lt;&gt;-999,BI5*$GF5, -999)</f>
        <v>-4973403.8713268777</v>
      </c>
      <c r="GH5">
        <f>IF(BJ5&lt;&gt;-999,BJ5*$GF5, -999)</f>
        <v>-2233919.2963906522</v>
      </c>
      <c r="GI5" s="29">
        <f>IF(BK5&lt;&gt;-999,BK5*$GF5, -999)</f>
        <v>-7207323.1677175304</v>
      </c>
      <c r="GJ5" s="30">
        <f t="shared" si="27"/>
        <v>-2586395.8768051248</v>
      </c>
    </row>
    <row r="6" spans="1:192">
      <c r="A6" s="48" t="s">
        <v>142</v>
      </c>
      <c r="B6" s="48" t="s">
        <v>143</v>
      </c>
      <c r="C6" s="49">
        <v>42</v>
      </c>
      <c r="D6" s="50">
        <v>0.99399999999999999</v>
      </c>
      <c r="E6" s="49">
        <v>106.944160354197</v>
      </c>
      <c r="F6" s="49">
        <v>0.79255076784558698</v>
      </c>
      <c r="G6" s="49">
        <v>190.75651069472201</v>
      </c>
      <c r="H6" s="49">
        <v>0.80920111592049604</v>
      </c>
      <c r="I6" s="42">
        <v>36937.4</v>
      </c>
      <c r="J6" s="43">
        <v>4687.6000000000004</v>
      </c>
      <c r="K6" s="43">
        <f t="shared" si="0"/>
        <v>41625</v>
      </c>
      <c r="L6" s="43">
        <v>22235.5</v>
      </c>
      <c r="M6" s="43">
        <v>2821.8</v>
      </c>
      <c r="N6" s="43">
        <f t="shared" si="1"/>
        <v>25057.3</v>
      </c>
      <c r="O6" s="43">
        <v>26671</v>
      </c>
      <c r="P6" s="43">
        <v>3384.7</v>
      </c>
      <c r="Q6" s="43">
        <f t="shared" si="2"/>
        <v>30055.7</v>
      </c>
      <c r="R6" s="43">
        <v>121239.4</v>
      </c>
      <c r="S6" s="43">
        <v>15386.1</v>
      </c>
      <c r="T6" s="43">
        <f t="shared" si="3"/>
        <v>136625.5</v>
      </c>
      <c r="U6" s="43">
        <v>72983.5</v>
      </c>
      <c r="V6" s="43">
        <v>9262.1</v>
      </c>
      <c r="W6" s="43">
        <f t="shared" si="4"/>
        <v>82245.600000000006</v>
      </c>
      <c r="X6" s="43">
        <v>87542</v>
      </c>
      <c r="Y6" s="43">
        <v>11109.7</v>
      </c>
      <c r="Z6" s="43">
        <f t="shared" si="5"/>
        <v>98651.7</v>
      </c>
      <c r="AA6" s="22">
        <v>408363</v>
      </c>
      <c r="AB6">
        <v>36522</v>
      </c>
      <c r="AC6">
        <v>444885</v>
      </c>
      <c r="AD6">
        <v>245825.8</v>
      </c>
      <c r="AE6">
        <v>21985.5</v>
      </c>
      <c r="AF6">
        <v>267811.20000000001</v>
      </c>
      <c r="AG6">
        <v>294862.3</v>
      </c>
      <c r="AH6">
        <v>26371.1</v>
      </c>
      <c r="AI6">
        <v>321233.40000000002</v>
      </c>
      <c r="AJ6">
        <v>1340368.6000000001</v>
      </c>
      <c r="AK6">
        <v>119876.2</v>
      </c>
      <c r="AL6">
        <v>1460244.7</v>
      </c>
      <c r="AM6">
        <v>806873.1</v>
      </c>
      <c r="AN6">
        <v>72162.899999999994</v>
      </c>
      <c r="AO6">
        <v>879036</v>
      </c>
      <c r="AP6">
        <v>967825.6</v>
      </c>
      <c r="AQ6">
        <v>86557.7</v>
      </c>
      <c r="AR6">
        <v>1054383.3</v>
      </c>
      <c r="AS6">
        <v>4427593.7</v>
      </c>
      <c r="AT6" s="22">
        <f t="shared" si="6"/>
        <v>679795.54626442504</v>
      </c>
      <c r="AU6">
        <f t="shared" si="6"/>
        <v>60797.606395949995</v>
      </c>
      <c r="AV6">
        <f t="shared" si="6"/>
        <v>740593.152660375</v>
      </c>
      <c r="AW6">
        <f t="shared" si="6"/>
        <v>409222.39281445503</v>
      </c>
      <c r="AX6">
        <f t="shared" si="6"/>
        <v>36598.920525112502</v>
      </c>
      <c r="AY6">
        <f t="shared" si="6"/>
        <v>445821.14687112003</v>
      </c>
      <c r="AZ6">
        <f t="shared" si="6"/>
        <v>490852.69307279243</v>
      </c>
      <c r="BA6">
        <f t="shared" si="6"/>
        <v>43899.560758672495</v>
      </c>
      <c r="BB6">
        <f t="shared" si="6"/>
        <v>534752.25383146503</v>
      </c>
      <c r="BC6">
        <f t="shared" si="6"/>
        <v>2231290.7991974852</v>
      </c>
      <c r="BD6">
        <f t="shared" si="6"/>
        <v>199556.049061995</v>
      </c>
      <c r="BE6">
        <f t="shared" si="6"/>
        <v>2430846.6817910322</v>
      </c>
      <c r="BF6">
        <f t="shared" si="6"/>
        <v>1343189.1228651225</v>
      </c>
      <c r="BG6">
        <f t="shared" si="6"/>
        <v>120128.4593009775</v>
      </c>
      <c r="BH6">
        <f t="shared" si="6"/>
        <v>1463317.5821661002</v>
      </c>
      <c r="BI6">
        <f t="shared" si="6"/>
        <v>1611124.25082756</v>
      </c>
      <c r="BJ6">
        <f t="shared" si="7"/>
        <v>144091.2593817075</v>
      </c>
      <c r="BK6">
        <f t="shared" si="7"/>
        <v>1755215.5102092675</v>
      </c>
      <c r="BL6">
        <f t="shared" si="7"/>
        <v>7370546.4939978076</v>
      </c>
      <c r="BM6" s="22">
        <f>-17.17-(0.1023*E6)+F6*(100-8.576-13.681)</f>
        <v>33.504886740385125</v>
      </c>
      <c r="BN6">
        <f>IF(AT6&lt;&gt;-999,AT6*$BM6, -999)</f>
        <v>22776472.784207799</v>
      </c>
      <c r="BO6">
        <f>IF(AU6&lt;&gt;-999,AU6*$BM6, -999)</f>
        <v>2037016.9163828189</v>
      </c>
      <c r="BP6" s="25">
        <f>IF(AV6&lt;&gt;-999,AV6*$BM6, -999)</f>
        <v>24813489.700590614</v>
      </c>
      <c r="BQ6">
        <f>-19.943-(0.1023*E6)+F6*(100-8.576-13.681)</f>
        <v>30.731886740385125</v>
      </c>
      <c r="BR6">
        <f>IF(AW6&lt;&gt;-999,AW6*$BQ6, -999)</f>
        <v>12576176.227603223</v>
      </c>
      <c r="BS6">
        <f>IF(AX6&lt;&gt;-999,AX6*$BQ6, -999)</f>
        <v>1124753.880398114</v>
      </c>
      <c r="BT6" s="25">
        <f>IF(AY6&lt;&gt;-999,AY6*$BQ6, -999)</f>
        <v>13700924.992111864</v>
      </c>
      <c r="BU6">
        <f>-25.871-(0.1023*E6)+F6*(100-8.576-13.681)</f>
        <v>24.803886740385124</v>
      </c>
      <c r="BV6">
        <f>IF(AZ6&lt;&gt;-999,AZ6*$BU6, -999)</f>
        <v>12175054.605190566</v>
      </c>
      <c r="BW6">
        <f>IF(BA6&lt;&gt;-999,BA6*$BU6, -999)</f>
        <v>1088879.7330107677</v>
      </c>
      <c r="BX6" s="25">
        <f>IF(BB6&lt;&gt;-999,BB6*$BU6, -999)</f>
        <v>13263934.338201337</v>
      </c>
      <c r="BY6">
        <f>-25.245-(0.1023*E6)+F6*(100-8.576-13.681)</f>
        <v>25.429886740385129</v>
      </c>
      <c r="BZ6">
        <f>IF(BC6&lt;&gt;-999,BC6*$BY6, -999)</f>
        <v>56741472.308455467</v>
      </c>
      <c r="CA6">
        <f>IF(BD6&lt;&gt;-999,BD6*$BY6, -999)</f>
        <v>5074687.7260052711</v>
      </c>
      <c r="CB6" s="25">
        <f>IF(BE6&lt;&gt;-999,BE6*$BY6, -999)</f>
        <v>61816155.801186956</v>
      </c>
      <c r="CC6">
        <f>-29.317-(0.1023*E6)+F6*(100-8.576-13.681)</f>
        <v>21.357886740385126</v>
      </c>
      <c r="CD6">
        <f>IF(BF6&lt;&gt;-999,BF6*$CC6, -999)</f>
        <v>28687681.157070529</v>
      </c>
      <c r="CE6">
        <f>IF(BG6&lt;&gt;-999,BG6*$CC6, -999)</f>
        <v>2565690.0280472417</v>
      </c>
      <c r="CF6" s="25">
        <f>IF(BH6&lt;&gt;-999,BH6*$CC6, -999)</f>
        <v>31253371.185117774</v>
      </c>
      <c r="CG6">
        <f>-38.03-(0.1023*E6)+F6*(100-8.576-13.681)</f>
        <v>12.644886740385125</v>
      </c>
      <c r="CH6">
        <f>IF(BI6&lt;&gt;-999,BI6*$CG6, -999)</f>
        <v>20372483.67640233</v>
      </c>
      <c r="CI6">
        <f>IF(BJ6&lt;&gt;-999,BJ6*$CG6, -999)</f>
        <v>1822017.655161147</v>
      </c>
      <c r="CJ6" s="25">
        <f>IF(BK6&lt;&gt;-999,BK6*$CG6, -999)</f>
        <v>22194501.33156348</v>
      </c>
      <c r="CK6" s="26">
        <f t="shared" si="8"/>
        <v>167042377.34877202</v>
      </c>
      <c r="CL6">
        <f t="shared" si="9"/>
        <v>-34.376106946292857</v>
      </c>
      <c r="CM6">
        <f t="shared" si="10"/>
        <v>22.964068401129268</v>
      </c>
      <c r="CN6">
        <f t="shared" si="11"/>
        <v>-90.725809466171214</v>
      </c>
      <c r="CO6" s="22">
        <f t="shared" si="12"/>
        <v>-40.08</v>
      </c>
      <c r="CP6">
        <f>IF(AT6&lt;&gt;-999,AT6*$CO6, -999)</f>
        <v>-27246205.494278155</v>
      </c>
      <c r="CQ6">
        <f>IF(AU6&lt;&gt;-999,AU6*$CO6, -999)</f>
        <v>-2436768.0643496756</v>
      </c>
      <c r="CR6" s="27">
        <f>IF(AV6&lt;&gt;-999,AV6*$CO6, -999)</f>
        <v>-29682973.558627829</v>
      </c>
      <c r="CS6">
        <f t="shared" si="13"/>
        <v>-42.853000000000002</v>
      </c>
      <c r="CT6">
        <f>IF(AW6&lt;&gt;-999,AW6*$CS6, -999)</f>
        <v>-17536407.199277841</v>
      </c>
      <c r="CU6">
        <f>IF(AX6&lt;&gt;-999,AX6*$CS6, -999)</f>
        <v>-1568373.5412626462</v>
      </c>
      <c r="CV6" s="27">
        <f>IF(AY6&lt;&gt;-999,AY6*$CS6, -999)</f>
        <v>-19104773.606868107</v>
      </c>
      <c r="CW6">
        <f t="shared" si="14"/>
        <v>-48.780999999999999</v>
      </c>
      <c r="CX6">
        <f>IF(AZ6&lt;&gt;-999,AZ6*$CO6, -999)</f>
        <v>-19673375.938357521</v>
      </c>
      <c r="CY6">
        <f>IF(BA6&lt;&gt;-999,BA6*$CO6, -999)</f>
        <v>-1759494.3952075935</v>
      </c>
      <c r="CZ6" s="27">
        <f>IF(BB6&lt;&gt;-999,BB6*$CO6, -999)</f>
        <v>-21432870.333565116</v>
      </c>
      <c r="DA6">
        <f t="shared" si="15"/>
        <v>-48.155000000000001</v>
      </c>
      <c r="DB6">
        <f>IF(BC6&lt;&gt;-999,BC6*$DA6, -999)</f>
        <v>-107447808.4353549</v>
      </c>
      <c r="DC6">
        <f>IF(BD6&lt;&gt;-999,BD6*$DA6, -999)</f>
        <v>-9609621.5425803699</v>
      </c>
      <c r="DD6" s="27">
        <f>IF(BE6&lt;&gt;-999,BE6*$DA6, -999)</f>
        <v>-117057421.96164715</v>
      </c>
      <c r="DE6">
        <f t="shared" si="16"/>
        <v>-52.227000000000004</v>
      </c>
      <c r="DF6">
        <f>IF(BF6&lt;&gt;-999,BF6*$DE6, -999)</f>
        <v>-70150738.31987676</v>
      </c>
      <c r="DG6">
        <f>IF(BG6&lt;&gt;-999,BG6*$DE6, -999)</f>
        <v>-6273949.0439121518</v>
      </c>
      <c r="DH6" s="27">
        <f>IF(BH6&lt;&gt;-999,BH6*$DE6, -999)</f>
        <v>-76424687.363788918</v>
      </c>
      <c r="DI6">
        <f t="shared" si="17"/>
        <v>-60.94</v>
      </c>
      <c r="DJ6">
        <f>IF(BI6&lt;&gt;-999,BI6*$DI6, -999)</f>
        <v>-98181911.845431507</v>
      </c>
      <c r="DK6">
        <f>IF(BJ6&lt;&gt;-999,BJ6*$DI6, -999)</f>
        <v>-8780921.3467212543</v>
      </c>
      <c r="DL6" s="27">
        <f>IF(BK6&lt;&gt;-999,BK6*$DI6, -999)</f>
        <v>-106962833.19215275</v>
      </c>
      <c r="DM6" s="28">
        <f t="shared" si="18"/>
        <v>-370665560.01664984</v>
      </c>
      <c r="DN6" s="22">
        <f t="shared" si="19"/>
        <v>-17.170000000000002</v>
      </c>
      <c r="DO6">
        <f>IF(AT6&lt;&gt;-999,AT6*$DN6, -999)</f>
        <v>-11672089.529360179</v>
      </c>
      <c r="DP6">
        <f>IF(AU6&lt;&gt;-999,AU6*$DN6, -999)</f>
        <v>-1043894.9018184615</v>
      </c>
      <c r="DQ6" s="24">
        <f>IF(AV6&lt;&gt;-999,AV6*$DN6, -999)</f>
        <v>-12715984.431178641</v>
      </c>
      <c r="DR6">
        <f t="shared" si="20"/>
        <v>-19.943000000000001</v>
      </c>
      <c r="DS6">
        <f>IF(AW6&lt;&gt;-999,AW6*$DR6, -999)</f>
        <v>-8161122.1798986774</v>
      </c>
      <c r="DT6">
        <f>IF(AX6&lt;&gt;-999,AX6*$DR6, -999)</f>
        <v>-729892.27203231864</v>
      </c>
      <c r="DU6" s="24">
        <f>IF(AY6&lt;&gt;-999,AY6*$DR6, -999)</f>
        <v>-8891011.1320507471</v>
      </c>
      <c r="DV6">
        <f t="shared" si="21"/>
        <v>-25.870999999999999</v>
      </c>
      <c r="DW6">
        <f>IF(AZ6&lt;&gt;-999,AZ6*$DV6, -999)</f>
        <v>-12698850.022486212</v>
      </c>
      <c r="DX6">
        <f>IF(BA6&lt;&gt;-999,BA6*$DV6, -999)</f>
        <v>-1135725.5363876161</v>
      </c>
      <c r="DY6" s="24">
        <f>IF(BB6&lt;&gt;-999,BB6*$DV6, -999)</f>
        <v>-13834575.55887383</v>
      </c>
      <c r="DZ6">
        <f t="shared" si="22"/>
        <v>-25.245000000000001</v>
      </c>
      <c r="EA6">
        <f>IF(BC6&lt;&gt;-999, BC6*$DZ6, -999)</f>
        <v>-56328936.225740515</v>
      </c>
      <c r="EB6">
        <f>IF(BD6&lt;&gt;-999, BD6*$DZ6, -999)</f>
        <v>-5037792.458570064</v>
      </c>
      <c r="EC6" s="24">
        <f>IF(BE6&lt;&gt;-999, BE6*$DZ6, -999)</f>
        <v>-61366724.481814608</v>
      </c>
      <c r="ED6">
        <f t="shared" si="23"/>
        <v>-29.317</v>
      </c>
      <c r="EE6">
        <f>IF(BF6&lt;&gt;-999,BF6*$ED6, -999)</f>
        <v>-39378275.515036799</v>
      </c>
      <c r="EF6">
        <f>IF(BG6&lt;&gt;-999,BG6*$ED6, -999)</f>
        <v>-3521806.0413267575</v>
      </c>
      <c r="EG6" s="24">
        <f>IF(BH6&lt;&gt;-999,BH6*$ED6, -999)</f>
        <v>-42900081.55636356</v>
      </c>
      <c r="EH6">
        <f t="shared" si="24"/>
        <v>-38.03</v>
      </c>
      <c r="EI6">
        <f>IF(BI6&lt;&gt;-999,BI6*$EH6, -999)</f>
        <v>-61271055.258972108</v>
      </c>
      <c r="EJ6">
        <f>IF(BJ6&lt;&gt;-999,BJ6*$EH6, -999)</f>
        <v>-5479790.5942863366</v>
      </c>
      <c r="EK6" s="24">
        <f>IF(BK6&lt;&gt;-999,BK6*$EH6, -999)</f>
        <v>-66750845.853258446</v>
      </c>
      <c r="EL6" s="28">
        <f t="shared" si="25"/>
        <v>-206459223.01353985</v>
      </c>
      <c r="EM6" s="22">
        <f>-17.17-(0.1023*G6)+H6*(100+102.093-66.644-64.243)</f>
        <v>20.935583616164784</v>
      </c>
      <c r="EN6">
        <f>IF(AT6&lt;&gt;-999,AT6*$EM6, -999)</f>
        <v>14231916.500715287</v>
      </c>
      <c r="EO6">
        <f>IF(AU6&lt;&gt;-999,AU6*$EM6, -999)</f>
        <v>1272833.3723650861</v>
      </c>
      <c r="EP6" s="23">
        <f>IF(AV6&lt;&gt;-999,AV6*$EM6, -999)</f>
        <v>15504749.873080371</v>
      </c>
      <c r="EQ6">
        <f>-19.943-(0.1023*G6)+H6*(100+102.093-66.644-64.243)</f>
        <v>18.162583616164788</v>
      </c>
      <c r="ER6">
        <f>IF(AW6&lt;&gt;-999,AW6*$EQ6, -999)</f>
        <v>7432535.9270995725</v>
      </c>
      <c r="ES6">
        <f>IF(AX6&lt;&gt;-999,AX6*$EQ6, -999)</f>
        <v>664730.95429872547</v>
      </c>
      <c r="ET6" s="23">
        <f>IF(AY6&lt;&gt;-999,AY6*$EQ6, -999)</f>
        <v>8097263.8579012007</v>
      </c>
      <c r="EU6">
        <f>-25.871-(0.1023*G6)+H6*(100+102.093-66.644-64.243)</f>
        <v>12.234583616164791</v>
      </c>
      <c r="EV6">
        <f>IF(AZ6&lt;&gt;-999,AZ6*$EU6, -999)</f>
        <v>6005378.3166187508</v>
      </c>
      <c r="EW6">
        <f>IF(BA6&lt;&gt;-999,BA6*$EU6, -999)</f>
        <v>537092.84681488527</v>
      </c>
      <c r="EX6" s="23">
        <f>IF(BB6&lt;&gt;-999,BB6*$EU6, -999)</f>
        <v>6542471.1634336375</v>
      </c>
      <c r="EY6">
        <f>-25.245-(0.1023*G6)+H6*(100+102.093-66.644-64.243)</f>
        <v>12.860583616164789</v>
      </c>
      <c r="EZ6">
        <f>IF(BC6&lt;&gt;-999, BC6*$EY6, -999)</f>
        <v>28695701.895058416</v>
      </c>
      <c r="FA6">
        <f>IF(BD6&lt;&gt;-999, BD6*$EY6, -999)</f>
        <v>2566407.2550732698</v>
      </c>
      <c r="FB6" s="23">
        <f>IF(BE6&lt;&gt;-999, BE6*$EY6, -999)</f>
        <v>31262107.009250291</v>
      </c>
      <c r="FC6">
        <f>-29.317-(0.1023*G6)+H6*(100+102.093-66.644-64.243)</f>
        <v>8.788583616164793</v>
      </c>
      <c r="FD6">
        <f>IF(BF6&lt;&gt;-999,BF6*$FC6, -999)</f>
        <v>11804729.918623175</v>
      </c>
      <c r="FE6">
        <f>IF(BG6&lt;&gt;-999,BG6*$FC6, -999)</f>
        <v>1055759.00924769</v>
      </c>
      <c r="FF6" s="23">
        <f>IF(BH6&lt;&gt;-999,BH6*$FC6, -999)</f>
        <v>12860488.927870866</v>
      </c>
      <c r="FG6">
        <f>-38.03-(0.1023*G6)+H6*(100+102.093-66.644-64.243)</f>
        <v>7.5583616164784928E-2</v>
      </c>
      <c r="FH6">
        <f>IF(BI6&lt;&gt;-999,BI6*$FG6, -999)</f>
        <v>121774.59696832696</v>
      </c>
      <c r="FI6">
        <f>IF(BJ6&lt;&gt;-999,BJ6*$FG6, -999)</f>
        <v>10890.938441807444</v>
      </c>
      <c r="FJ6" s="23">
        <f>IF(BK6&lt;&gt;-999,BK6*$FG6, -999)</f>
        <v>132665.53541013441</v>
      </c>
      <c r="FK6" s="28">
        <f t="shared" si="26"/>
        <v>74399746.366946504</v>
      </c>
      <c r="FL6" s="22">
        <f t="shared" si="28"/>
        <v>10.012280000000011</v>
      </c>
      <c r="FM6">
        <f>IF(AT6&lt;&gt;-999,AT6*$FL6, -999)</f>
        <v>6806303.3519523852</v>
      </c>
      <c r="FN6">
        <f>IF(AU6&lt;&gt;-999,AU6*$FL6, -999)</f>
        <v>608722.6585660429</v>
      </c>
      <c r="FO6" s="29">
        <f>IF(AV6&lt;&gt;-999,AV6*$FL6, -999)</f>
        <v>7415026.0105184279</v>
      </c>
      <c r="FP6">
        <f t="shared" si="29"/>
        <v>7.2392800000000115</v>
      </c>
      <c r="FQ6">
        <f>IF(AW6&lt;&gt;-999,AW6*$FP6, -999)</f>
        <v>2962475.4838538328</v>
      </c>
      <c r="FR6">
        <f>IF(AX6&lt;&gt;-999,AX6*$FP6, -999)</f>
        <v>264949.83337903686</v>
      </c>
      <c r="FS6" s="29">
        <f>IF(AY6&lt;&gt;-999,AY6*$FP6, -999)</f>
        <v>3227424.1121211671</v>
      </c>
      <c r="FT6">
        <f t="shared" si="30"/>
        <v>1.3112800000000142</v>
      </c>
      <c r="FU6">
        <f>IF(AZ6&lt;&gt;-999,AZ6*$FT6, -999)</f>
        <v>643645.3193724982</v>
      </c>
      <c r="FV6">
        <f>IF(BA6&lt;&gt;-999,BA6*$FT6, -999)</f>
        <v>57564.616031632693</v>
      </c>
      <c r="FW6" s="29">
        <f>IF(BB6&lt;&gt;-999,BB6*$FT6, -999)</f>
        <v>701209.93540413107</v>
      </c>
      <c r="FX6">
        <f t="shared" si="31"/>
        <v>1.9372800000000119</v>
      </c>
      <c r="FY6">
        <f>IF(BC6&lt;&gt;-999, BC6*$FX6, -999)</f>
        <v>4322635.0394693306</v>
      </c>
      <c r="FZ6">
        <f>IF(BD6&lt;&gt;-999, BD6*$FX6, -999)</f>
        <v>386595.94272682403</v>
      </c>
      <c r="GA6" s="29">
        <f>IF(BE6&lt;&gt;-999, BE6*$FX6, -999)</f>
        <v>4709230.6597001599</v>
      </c>
      <c r="GB6">
        <f t="shared" si="32"/>
        <v>-2.1347199999999873</v>
      </c>
      <c r="GC6">
        <f>IF(BF6&lt;&gt;-999,BF6*$GB6, -999)</f>
        <v>-2867332.6843626173</v>
      </c>
      <c r="GD6">
        <f>IF(BG6&lt;&gt;-999,BG6*$GB6, -999)</f>
        <v>-256440.62463898116</v>
      </c>
      <c r="GE6" s="29">
        <f>IF(BH6&lt;&gt;-999,BH6*$GB6, -999)</f>
        <v>-3123773.3090015985</v>
      </c>
      <c r="GF6">
        <f t="shared" si="33"/>
        <v>-10.847719999999988</v>
      </c>
      <c r="GG6">
        <f>IF(BI6&lt;&gt;-999,BI6*$GF6, -999)</f>
        <v>-17477024.758187119</v>
      </c>
      <c r="GH6">
        <f>IF(BJ6&lt;&gt;-999,BJ6*$GF6, -999)</f>
        <v>-1563061.6362201343</v>
      </c>
      <c r="GI6" s="29">
        <f>IF(BK6&lt;&gt;-999,BK6*$GF6, -999)</f>
        <v>-19040086.394407254</v>
      </c>
      <c r="GJ6" s="30">
        <f t="shared" si="27"/>
        <v>-6110968.9856649674</v>
      </c>
    </row>
    <row r="7" spans="1:192">
      <c r="A7" s="48" t="s">
        <v>138</v>
      </c>
      <c r="B7" s="48" t="s">
        <v>144</v>
      </c>
      <c r="C7" s="49">
        <v>89</v>
      </c>
      <c r="D7" s="50">
        <v>0.99399999999999999</v>
      </c>
      <c r="E7" s="49">
        <v>206.44376062076</v>
      </c>
      <c r="F7" s="49">
        <v>0.78203523332181402</v>
      </c>
      <c r="G7" s="49">
        <v>64.585431500446603</v>
      </c>
      <c r="H7" s="49">
        <v>0.81896260883448202</v>
      </c>
      <c r="I7" s="42">
        <v>14647.5</v>
      </c>
      <c r="J7" s="43">
        <v>31448.6</v>
      </c>
      <c r="K7" s="43">
        <f t="shared" si="0"/>
        <v>46096.1</v>
      </c>
      <c r="L7" s="43">
        <v>9593.1</v>
      </c>
      <c r="M7" s="43">
        <v>20596.7</v>
      </c>
      <c r="N7" s="43">
        <f t="shared" si="1"/>
        <v>30189.800000000003</v>
      </c>
      <c r="O7" s="43">
        <v>27897.200000000001</v>
      </c>
      <c r="P7" s="43">
        <v>59896.1</v>
      </c>
      <c r="Q7" s="43">
        <f t="shared" si="2"/>
        <v>87793.3</v>
      </c>
      <c r="R7" s="43">
        <v>17824.900000000001</v>
      </c>
      <c r="S7" s="43">
        <v>38270.6</v>
      </c>
      <c r="T7" s="43">
        <f t="shared" si="3"/>
        <v>56095.5</v>
      </c>
      <c r="U7" s="43">
        <v>11674.2</v>
      </c>
      <c r="V7" s="43">
        <v>25064.7</v>
      </c>
      <c r="W7" s="43">
        <f t="shared" si="4"/>
        <v>36738.9</v>
      </c>
      <c r="X7" s="43">
        <v>33948.9</v>
      </c>
      <c r="Y7" s="43">
        <v>72889.100000000006</v>
      </c>
      <c r="Z7" s="43">
        <f t="shared" si="5"/>
        <v>106838</v>
      </c>
      <c r="AA7" s="22">
        <v>750181.7</v>
      </c>
      <c r="AB7">
        <v>828998.2</v>
      </c>
      <c r="AC7">
        <v>1579179.9</v>
      </c>
      <c r="AD7">
        <v>491319.4</v>
      </c>
      <c r="AE7">
        <v>542939</v>
      </c>
      <c r="AF7">
        <v>1034258.4</v>
      </c>
      <c r="AG7">
        <v>1428774.9</v>
      </c>
      <c r="AH7">
        <v>1578886.6</v>
      </c>
      <c r="AI7">
        <v>3007661.5</v>
      </c>
      <c r="AJ7">
        <v>912915.7</v>
      </c>
      <c r="AK7">
        <v>1008829.6</v>
      </c>
      <c r="AL7">
        <v>1921745.3</v>
      </c>
      <c r="AM7">
        <v>597899.4</v>
      </c>
      <c r="AN7">
        <v>660716.69999999995</v>
      </c>
      <c r="AO7">
        <v>1258616.2</v>
      </c>
      <c r="AP7">
        <v>1738713.6</v>
      </c>
      <c r="AQ7">
        <v>1921388.5</v>
      </c>
      <c r="AR7">
        <v>3660102</v>
      </c>
      <c r="AS7">
        <v>12461563.289999999</v>
      </c>
      <c r="AT7" s="22">
        <f t="shared" si="6"/>
        <v>1248815.8294191074</v>
      </c>
      <c r="AU7">
        <f t="shared" si="6"/>
        <v>1380020.4333429451</v>
      </c>
      <c r="AV7">
        <f t="shared" si="6"/>
        <v>2628836.2627620525</v>
      </c>
      <c r="AW7">
        <f t="shared" si="6"/>
        <v>817891.77744631504</v>
      </c>
      <c r="AX7">
        <f t="shared" si="6"/>
        <v>903822.12417202501</v>
      </c>
      <c r="AY7">
        <f t="shared" si="6"/>
        <v>1721713.9016183401</v>
      </c>
      <c r="AZ7">
        <f t="shared" si="6"/>
        <v>2378459.3942996771</v>
      </c>
      <c r="BA7">
        <f t="shared" si="6"/>
        <v>2628348.0108055351</v>
      </c>
      <c r="BB7">
        <f t="shared" si="6"/>
        <v>5006807.4051052127</v>
      </c>
      <c r="BC7">
        <f t="shared" si="6"/>
        <v>1519716.5927737574</v>
      </c>
      <c r="BD7">
        <f t="shared" si="6"/>
        <v>1679382.9730404599</v>
      </c>
      <c r="BE7">
        <f t="shared" si="6"/>
        <v>3199099.5658142176</v>
      </c>
      <c r="BF7">
        <f t="shared" si="6"/>
        <v>995313.84879181499</v>
      </c>
      <c r="BG7">
        <f t="shared" si="6"/>
        <v>1099884.8328632324</v>
      </c>
      <c r="BH7">
        <f t="shared" si="6"/>
        <v>2095198.848123495</v>
      </c>
      <c r="BI7">
        <f t="shared" si="6"/>
        <v>2894409.5363913602</v>
      </c>
      <c r="BJ7">
        <f t="shared" si="7"/>
        <v>3198505.6063935375</v>
      </c>
      <c r="BK7">
        <f t="shared" si="7"/>
        <v>6092914.9763164502</v>
      </c>
      <c r="BL7">
        <f t="shared" si="7"/>
        <v>20744570.94309292</v>
      </c>
      <c r="BM7" s="22">
        <f>-17.17-(0.1023*E7)+F7*(100-8.576-13.681)</f>
        <v>22.508568432634043</v>
      </c>
      <c r="BN7">
        <f>IF(AT7&lt;&gt;-999,AT7*$BM7, -999)</f>
        <v>28109056.556236621</v>
      </c>
      <c r="BO7">
        <f>IF(AU7&lt;&gt;-999,AU7*$BM7, -999)</f>
        <v>31062284.362332966</v>
      </c>
      <c r="BP7" s="25">
        <f>IF(AV7&lt;&gt;-999,AV7*$BM7, -999)</f>
        <v>59171340.918569587</v>
      </c>
      <c r="BQ7">
        <f>-19.943-(0.1023*E7)+F7*(100-8.576-13.681)</f>
        <v>19.735568432634047</v>
      </c>
      <c r="BR7">
        <f>IF(AW7&lt;&gt;-999,AW7*$BQ7, -999)</f>
        <v>16141559.144280447</v>
      </c>
      <c r="BS7">
        <f>IF(AX7&lt;&gt;-999,AX7*$BQ7, -999)</f>
        <v>17837443.382525668</v>
      </c>
      <c r="BT7" s="25">
        <f>IF(AY7&lt;&gt;-999,AY7*$BQ7, -999)</f>
        <v>33979002.526806116</v>
      </c>
      <c r="BU7">
        <f>-25.871-(0.1023*E7)+F7*(100-8.576-13.681)</f>
        <v>13.807568432634049</v>
      </c>
      <c r="BV7">
        <f>IF(AZ7&lt;&gt;-999,AZ7*$BU7, -999)</f>
        <v>32840740.851034123</v>
      </c>
      <c r="BW7">
        <f>IF(BA7&lt;&gt;-999,BA7*$BU7, -999)</f>
        <v>36291095.023975007</v>
      </c>
      <c r="BX7" s="25">
        <f>IF(BB7&lt;&gt;-999,BB7*$BU7, -999)</f>
        <v>69131835.875009134</v>
      </c>
      <c r="BY7">
        <f>-25.245-(0.1023*E7)+F7*(100-8.576-13.681)</f>
        <v>14.43356843263404</v>
      </c>
      <c r="BZ7">
        <f>IF(BC7&lt;&gt;-999,BC7*$BY7, -999)</f>
        <v>21934933.440009464</v>
      </c>
      <c r="CA7">
        <f>IF(BD7&lt;&gt;-999,BD7*$BY7, -999)</f>
        <v>24239489.065979887</v>
      </c>
      <c r="CB7" s="25">
        <f>IF(BE7&lt;&gt;-999,BE7*$BY7, -999)</f>
        <v>46174422.50598935</v>
      </c>
      <c r="CC7">
        <f>-29.317-(0.1023*E7)+F7*(100-8.576-13.681)</f>
        <v>10.361568432634044</v>
      </c>
      <c r="CD7">
        <f>IF(BF7&lt;&gt;-999,BF7*$CC7, -999)</f>
        <v>10313012.556204764</v>
      </c>
      <c r="CE7">
        <f>IF(BG7&lt;&gt;-999,BG7*$CC7, -999)</f>
        <v>11396531.96372864</v>
      </c>
      <c r="CF7" s="25">
        <f>IF(BH7&lt;&gt;-999,BH7*$CC7, -999)</f>
        <v>21709546.244807616</v>
      </c>
      <c r="CG7">
        <f>-38.03-(0.1023*E7)+F7*(100-8.576-13.681)</f>
        <v>1.6485684326340433</v>
      </c>
      <c r="CH7">
        <f>IF(BI7&lt;&gt;-999,BI7*$CG7, -999)</f>
        <v>4771632.1928097326</v>
      </c>
      <c r="CI7">
        <f>IF(BJ7&lt;&gt;-999,BJ7*$CG7, -999)</f>
        <v>5272955.374303394</v>
      </c>
      <c r="CJ7" s="25">
        <f>IF(BK7&lt;&gt;-999,BK7*$CG7, -999)</f>
        <v>10044587.2926785</v>
      </c>
      <c r="CK7" s="26">
        <f t="shared" si="8"/>
        <v>240210735.36386034</v>
      </c>
      <c r="CL7">
        <f t="shared" si="9"/>
        <v>-22.121823113989457</v>
      </c>
      <c r="CM7">
        <f t="shared" si="10"/>
        <v>35.989369404748388</v>
      </c>
      <c r="CN7">
        <f t="shared" si="11"/>
        <v>-79.229224541799582</v>
      </c>
      <c r="CO7" s="22">
        <f t="shared" si="12"/>
        <v>-40.08</v>
      </c>
      <c r="CP7">
        <f>IF(AT7&lt;&gt;-999,AT7*$CO7, -999)</f>
        <v>-50052538.44311782</v>
      </c>
      <c r="CQ7">
        <f>IF(AU7&lt;&gt;-999,AU7*$CO7, -999)</f>
        <v>-55311218.968385234</v>
      </c>
      <c r="CR7" s="27">
        <f>IF(AV7&lt;&gt;-999,AV7*$CO7, -999)</f>
        <v>-105363757.41150306</v>
      </c>
      <c r="CS7">
        <f t="shared" si="13"/>
        <v>-42.853000000000002</v>
      </c>
      <c r="CT7">
        <f>IF(AW7&lt;&gt;-999,AW7*$CS7, -999)</f>
        <v>-35049116.338906936</v>
      </c>
      <c r="CU7">
        <f>IF(AX7&lt;&gt;-999,AX7*$CS7, -999)</f>
        <v>-38731489.487143792</v>
      </c>
      <c r="CV7" s="27">
        <f>IF(AY7&lt;&gt;-999,AY7*$CS7, -999)</f>
        <v>-73780605.826050729</v>
      </c>
      <c r="CW7">
        <f t="shared" si="14"/>
        <v>-48.780999999999999</v>
      </c>
      <c r="CX7">
        <f>IF(AZ7&lt;&gt;-999,AZ7*$CO7, -999)</f>
        <v>-95328652.523531049</v>
      </c>
      <c r="CY7">
        <f>IF(BA7&lt;&gt;-999,BA7*$CO7, -999)</f>
        <v>-105344188.27308585</v>
      </c>
      <c r="CZ7" s="27">
        <f>IF(BB7&lt;&gt;-999,BB7*$CO7, -999)</f>
        <v>-200672840.79661691</v>
      </c>
      <c r="DA7">
        <f t="shared" si="15"/>
        <v>-48.155000000000001</v>
      </c>
      <c r="DB7">
        <f>IF(BC7&lt;&gt;-999,BC7*$DA7, -999)</f>
        <v>-73181952.525020286</v>
      </c>
      <c r="DC7">
        <f>IF(BD7&lt;&gt;-999,BD7*$DA7, -999)</f>
        <v>-80870687.066763356</v>
      </c>
      <c r="DD7" s="27">
        <f>IF(BE7&lt;&gt;-999,BE7*$DA7, -999)</f>
        <v>-154052639.59178364</v>
      </c>
      <c r="DE7">
        <f t="shared" si="16"/>
        <v>-52.227000000000004</v>
      </c>
      <c r="DF7">
        <f>IF(BF7&lt;&gt;-999,BF7*$DE7, -999)</f>
        <v>-51982256.380850129</v>
      </c>
      <c r="DG7">
        <f>IF(BG7&lt;&gt;-999,BG7*$DE7, -999)</f>
        <v>-57443685.165948041</v>
      </c>
      <c r="DH7" s="27">
        <f>IF(BH7&lt;&gt;-999,BH7*$DE7, -999)</f>
        <v>-109425950.24094579</v>
      </c>
      <c r="DI7">
        <f t="shared" si="17"/>
        <v>-60.94</v>
      </c>
      <c r="DJ7">
        <f>IF(BI7&lt;&gt;-999,BI7*$DI7, -999)</f>
        <v>-176385317.14768949</v>
      </c>
      <c r="DK7">
        <f>IF(BJ7&lt;&gt;-999,BJ7*$DI7, -999)</f>
        <v>-194916931.65362218</v>
      </c>
      <c r="DL7" s="27">
        <f>IF(BK7&lt;&gt;-999,BK7*$DI7, -999)</f>
        <v>-371302238.65672445</v>
      </c>
      <c r="DM7" s="28">
        <f t="shared" si="18"/>
        <v>-1014598032.5236245</v>
      </c>
      <c r="DN7" s="22">
        <f t="shared" si="19"/>
        <v>-17.170000000000002</v>
      </c>
      <c r="DO7">
        <f>IF(AT7&lt;&gt;-999,AT7*$DN7, -999)</f>
        <v>-21442167.791126076</v>
      </c>
      <c r="DP7">
        <f>IF(AU7&lt;&gt;-999,AU7*$DN7, -999)</f>
        <v>-23694950.840498369</v>
      </c>
      <c r="DQ7" s="24">
        <f>IF(AV7&lt;&gt;-999,AV7*$DN7, -999)</f>
        <v>-45137118.631624445</v>
      </c>
      <c r="DR7">
        <f t="shared" si="20"/>
        <v>-19.943000000000001</v>
      </c>
      <c r="DS7">
        <f>IF(AW7&lt;&gt;-999,AW7*$DR7, -999)</f>
        <v>-16311215.717611862</v>
      </c>
      <c r="DT7">
        <f>IF(AX7&lt;&gt;-999,AX7*$DR7, -999)</f>
        <v>-18024924.622362696</v>
      </c>
      <c r="DU7" s="24">
        <f>IF(AY7&lt;&gt;-999,AY7*$DR7, -999)</f>
        <v>-34336140.33997456</v>
      </c>
      <c r="DV7">
        <f t="shared" si="21"/>
        <v>-25.870999999999999</v>
      </c>
      <c r="DW7">
        <f>IF(AZ7&lt;&gt;-999,AZ7*$DV7, -999)</f>
        <v>-61533122.989926942</v>
      </c>
      <c r="DX7">
        <f>IF(BA7&lt;&gt;-999,BA7*$DV7, -999)</f>
        <v>-67997991.387549996</v>
      </c>
      <c r="DY7" s="24">
        <f>IF(BB7&lt;&gt;-999,BB7*$DV7, -999)</f>
        <v>-129531114.37747695</v>
      </c>
      <c r="DZ7">
        <f t="shared" si="22"/>
        <v>-25.245000000000001</v>
      </c>
      <c r="EA7">
        <f>IF(BC7&lt;&gt;-999, BC7*$DZ7, -999)</f>
        <v>-38365245.384573504</v>
      </c>
      <c r="EB7">
        <f>IF(BD7&lt;&gt;-999, BD7*$DZ7, -999)</f>
        <v>-42396023.154406413</v>
      </c>
      <c r="EC7" s="24">
        <f>IF(BE7&lt;&gt;-999, BE7*$DZ7, -999)</f>
        <v>-80761268.538979933</v>
      </c>
      <c r="ED7">
        <f t="shared" si="23"/>
        <v>-29.317</v>
      </c>
      <c r="EE7">
        <f>IF(BF7&lt;&gt;-999,BF7*$ED7, -999)</f>
        <v>-29179616.105029639</v>
      </c>
      <c r="EF7">
        <f>IF(BG7&lt;&gt;-999,BG7*$ED7, -999)</f>
        <v>-32245323.645051382</v>
      </c>
      <c r="EG7" s="24">
        <f>IF(BH7&lt;&gt;-999,BH7*$ED7, -999)</f>
        <v>-61424944.630436502</v>
      </c>
      <c r="EH7">
        <f t="shared" si="24"/>
        <v>-38.03</v>
      </c>
      <c r="EI7">
        <f>IF(BI7&lt;&gt;-999,BI7*$EH7, -999)</f>
        <v>-110074394.66896343</v>
      </c>
      <c r="EJ7">
        <f>IF(BJ7&lt;&gt;-999,BJ7*$EH7, -999)</f>
        <v>-121639168.21114624</v>
      </c>
      <c r="EK7" s="24">
        <f>IF(BK7&lt;&gt;-999,BK7*$EH7, -999)</f>
        <v>-231713556.54931462</v>
      </c>
      <c r="EL7" s="28">
        <f t="shared" si="25"/>
        <v>-582904143.06780696</v>
      </c>
      <c r="EM7" s="22">
        <f>-17.17-(0.1023*G7)+H7*(100+102.093-66.644-64.243)</f>
        <v>34.537961882172453</v>
      </c>
      <c r="EN7">
        <f>IF(AT7&lt;&gt;-999,AT7*$EM7, -999)</f>
        <v>43131553.514330707</v>
      </c>
      <c r="EO7">
        <f>IF(AU7&lt;&gt;-999,AU7*$EM7, -999)</f>
        <v>47663093.12341775</v>
      </c>
      <c r="EP7" s="23">
        <f>IF(AV7&lt;&gt;-999,AV7*$EM7, -999)</f>
        <v>90794646.63774845</v>
      </c>
      <c r="EQ7">
        <f>-19.943-(0.1023*G7)+H7*(100+102.093-66.644-64.243)</f>
        <v>31.764961882172454</v>
      </c>
      <c r="ER7">
        <f>IF(AW7&lt;&gt;-999,AW7*$EQ7, -999)</f>
        <v>25980301.134324472</v>
      </c>
      <c r="ES7">
        <f>IF(AX7&lt;&gt;-999,AX7*$EQ7, -999)</f>
        <v>28709875.322588515</v>
      </c>
      <c r="ET7" s="23">
        <f>IF(AY7&lt;&gt;-999,AY7*$EQ7, -999)</f>
        <v>54690176.456912987</v>
      </c>
      <c r="EU7">
        <f>-25.871-(0.1023*G7)+H7*(100+102.093-66.644-64.243)</f>
        <v>25.836961882172453</v>
      </c>
      <c r="EV7">
        <f>IF(AZ7&lt;&gt;-999,AZ7*$EU7, -999)</f>
        <v>61452164.708815739</v>
      </c>
      <c r="EW7">
        <f>IF(BA7&lt;&gt;-999,BA7*$EU7, -999)</f>
        <v>67908527.368266404</v>
      </c>
      <c r="EX7" s="23">
        <f>IF(BB7&lt;&gt;-999,BB7*$EU7, -999)</f>
        <v>129360692.07708216</v>
      </c>
      <c r="EY7">
        <f>-25.245-(0.1023*G7)+H7*(100+102.093-66.644-64.243)</f>
        <v>26.462961882172454</v>
      </c>
      <c r="EZ7">
        <f>IF(BC7&lt;&gt;-999, BC7*$EY7, -999)</f>
        <v>40216202.266276941</v>
      </c>
      <c r="FA7">
        <f>IF(BD7&lt;&gt;-999, BD7*$EY7, -999)</f>
        <v>44441447.601139143</v>
      </c>
      <c r="FB7" s="23">
        <f>IF(BE7&lt;&gt;-999, BE7*$EY7, -999)</f>
        <v>84657649.867416084</v>
      </c>
      <c r="FC7">
        <f>-29.317-(0.1023*G7)+H7*(100+102.093-66.644-64.243)</f>
        <v>22.390961882172455</v>
      </c>
      <c r="FD7">
        <f>IF(BF7&lt;&gt;-999,BF7*$FC7, -999)</f>
        <v>22286034.449095886</v>
      </c>
      <c r="FE7">
        <f>IF(BG7&lt;&gt;-999,BG7*$FC7, -999)</f>
        <v>24627479.367420256</v>
      </c>
      <c r="FF7" s="23">
        <f>IF(BH7&lt;&gt;-999,BH7*$FC7, -999)</f>
        <v>46913517.543904811</v>
      </c>
      <c r="FG7">
        <f>-38.03-(0.1023*G7)+H7*(100+102.093-66.644-64.243)</f>
        <v>13.677961882172454</v>
      </c>
      <c r="FH7">
        <f>IF(BI7&lt;&gt;-999,BI7*$FG7, -999)</f>
        <v>39589623.31015747</v>
      </c>
      <c r="FI7">
        <f>IF(BJ7&lt;&gt;-999,BJ7*$FG7, -999)</f>
        <v>43749037.764165699</v>
      </c>
      <c r="FJ7" s="23">
        <f>IF(BK7&lt;&gt;-999,BK7*$FG7, -999)</f>
        <v>83338658.797374085</v>
      </c>
      <c r="FK7" s="28">
        <f t="shared" si="26"/>
        <v>489755341.38043863</v>
      </c>
      <c r="FL7" s="22">
        <f t="shared" si="28"/>
        <v>10.012280000000011</v>
      </c>
      <c r="FM7">
        <f>IF(AT7&lt;&gt;-999,AT7*$FL7, -999)</f>
        <v>12503493.752576355</v>
      </c>
      <c r="FN7">
        <f>IF(AU7&lt;&gt;-999,AU7*$FL7, -999)</f>
        <v>13817150.984350918</v>
      </c>
      <c r="FO7" s="29">
        <f>IF(AV7&lt;&gt;-999,AV7*$FL7, -999)</f>
        <v>26320644.736927271</v>
      </c>
      <c r="FP7">
        <f t="shared" si="29"/>
        <v>7.2392800000000115</v>
      </c>
      <c r="FQ7">
        <f>IF(AW7&lt;&gt;-999,AW7*$FP7, -999)</f>
        <v>5920947.5866315691</v>
      </c>
      <c r="FR7">
        <f>IF(AX7&lt;&gt;-999,AX7*$FP7, -999)</f>
        <v>6543021.4270760678</v>
      </c>
      <c r="FS7" s="29">
        <f>IF(AY7&lt;&gt;-999,AY7*$FP7, -999)</f>
        <v>12463969.013707636</v>
      </c>
      <c r="FT7">
        <f t="shared" si="30"/>
        <v>1.3112800000000142</v>
      </c>
      <c r="FU7">
        <f>IF(AZ7&lt;&gt;-999,AZ7*$FT7, -999)</f>
        <v>3118826.2345573143</v>
      </c>
      <c r="FV7">
        <f>IF(BA7&lt;&gt;-999,BA7*$FT7, -999)</f>
        <v>3446500.1796091194</v>
      </c>
      <c r="FW7" s="29">
        <f>IF(BB7&lt;&gt;-999,BB7*$FT7, -999)</f>
        <v>6565326.4141664347</v>
      </c>
      <c r="FX7">
        <f t="shared" si="31"/>
        <v>1.9372800000000119</v>
      </c>
      <c r="FY7">
        <f>IF(BC7&lt;&gt;-999, BC7*$FX7, -999)</f>
        <v>2944116.5608487627</v>
      </c>
      <c r="FZ7">
        <f>IF(BD7&lt;&gt;-999, BD7*$FX7, -999)</f>
        <v>3253435.0460118423</v>
      </c>
      <c r="GA7" s="29">
        <f>IF(BE7&lt;&gt;-999, BE7*$FX7, -999)</f>
        <v>6197551.6068606051</v>
      </c>
      <c r="GB7">
        <f t="shared" si="32"/>
        <v>-2.1347199999999873</v>
      </c>
      <c r="GC7">
        <f>IF(BF7&lt;&gt;-999,BF7*$GB7, -999)</f>
        <v>-2124716.3792928508</v>
      </c>
      <c r="GD7">
        <f>IF(BG7&lt;&gt;-999,BG7*$GB7, -999)</f>
        <v>-2347946.1504097856</v>
      </c>
      <c r="GE7" s="29">
        <f>IF(BH7&lt;&gt;-999,BH7*$GB7, -999)</f>
        <v>-4472662.8850661609</v>
      </c>
      <c r="GF7">
        <f t="shared" si="33"/>
        <v>-10.847719999999988</v>
      </c>
      <c r="GG7">
        <f>IF(BI7&lt;&gt;-999,BI7*$GF7, -999)</f>
        <v>-31397744.216103252</v>
      </c>
      <c r="GH7">
        <f>IF(BJ7&lt;&gt;-999,BJ7*$GF7, -999)</f>
        <v>-34696493.236587264</v>
      </c>
      <c r="GI7" s="29">
        <f>IF(BK7&lt;&gt;-999,BK7*$GF7, -999)</f>
        <v>-66094235.646887414</v>
      </c>
      <c r="GJ7" s="30">
        <f t="shared" si="27"/>
        <v>-19019406.760291621</v>
      </c>
    </row>
    <row r="8" spans="1:192">
      <c r="A8" s="48" t="s">
        <v>138</v>
      </c>
      <c r="B8" s="48" t="s">
        <v>145</v>
      </c>
      <c r="C8" s="49">
        <v>134</v>
      </c>
      <c r="D8" s="50">
        <v>0.99399999999999999</v>
      </c>
      <c r="E8" s="49">
        <v>203.86674799688501</v>
      </c>
      <c r="F8" s="49">
        <v>0.78413210782355602</v>
      </c>
      <c r="G8" s="49">
        <v>118.91093694593501</v>
      </c>
      <c r="H8" s="49">
        <v>0.81503164997253696</v>
      </c>
      <c r="I8" s="42">
        <v>8206.2000000000007</v>
      </c>
      <c r="J8" s="43">
        <v>2406.1</v>
      </c>
      <c r="K8" s="43">
        <f t="shared" si="0"/>
        <v>10612.300000000001</v>
      </c>
      <c r="L8" s="43">
        <v>8838.7000000000007</v>
      </c>
      <c r="M8" s="43">
        <v>2591.5</v>
      </c>
      <c r="N8" s="43">
        <f t="shared" si="1"/>
        <v>11430.2</v>
      </c>
      <c r="O8" s="43">
        <v>39169.699999999997</v>
      </c>
      <c r="P8" s="43">
        <v>11484.6</v>
      </c>
      <c r="Q8" s="43">
        <f t="shared" si="2"/>
        <v>50654.299999999996</v>
      </c>
      <c r="R8" s="43">
        <v>8691.2999999999993</v>
      </c>
      <c r="S8" s="43">
        <v>2548.3000000000002</v>
      </c>
      <c r="T8" s="43">
        <f t="shared" si="3"/>
        <v>11239.599999999999</v>
      </c>
      <c r="U8" s="43">
        <v>9361.2000000000007</v>
      </c>
      <c r="V8" s="43">
        <v>2744.7</v>
      </c>
      <c r="W8" s="43">
        <f t="shared" si="4"/>
        <v>12105.900000000001</v>
      </c>
      <c r="X8" s="43">
        <v>41485.1</v>
      </c>
      <c r="Y8" s="43">
        <v>12163.5</v>
      </c>
      <c r="Z8" s="43">
        <f t="shared" si="5"/>
        <v>53648.6</v>
      </c>
      <c r="AA8" s="22">
        <v>58388.3</v>
      </c>
      <c r="AB8">
        <v>12922</v>
      </c>
      <c r="AC8">
        <v>71310.3</v>
      </c>
      <c r="AD8">
        <v>62888.5</v>
      </c>
      <c r="AE8">
        <v>13918</v>
      </c>
      <c r="AF8">
        <v>76806.5</v>
      </c>
      <c r="AG8">
        <v>278697.09999999998</v>
      </c>
      <c r="AH8">
        <v>61679</v>
      </c>
      <c r="AI8">
        <v>340376.1</v>
      </c>
      <c r="AJ8">
        <v>61839.7</v>
      </c>
      <c r="AK8">
        <v>13685.9</v>
      </c>
      <c r="AL8">
        <v>75525.600000000006</v>
      </c>
      <c r="AM8">
        <v>66606</v>
      </c>
      <c r="AN8">
        <v>14740.7</v>
      </c>
      <c r="AO8">
        <v>81346.7</v>
      </c>
      <c r="AP8">
        <v>295171.40000000002</v>
      </c>
      <c r="AQ8">
        <v>65325</v>
      </c>
      <c r="AR8">
        <v>360496.4</v>
      </c>
      <c r="AS8">
        <v>1005861.61</v>
      </c>
      <c r="AT8" s="22">
        <f t="shared" si="6"/>
        <v>97198.096531642514</v>
      </c>
      <c r="AU8">
        <f t="shared" si="6"/>
        <v>21511.05278595</v>
      </c>
      <c r="AV8">
        <f t="shared" si="6"/>
        <v>118709.1493175925</v>
      </c>
      <c r="AW8">
        <f t="shared" si="6"/>
        <v>104689.50960603749</v>
      </c>
      <c r="AX8">
        <f t="shared" si="6"/>
        <v>23169.078523050001</v>
      </c>
      <c r="AY8">
        <f t="shared" si="6"/>
        <v>127858.5881290875</v>
      </c>
      <c r="AZ8">
        <f t="shared" si="6"/>
        <v>463942.73559752246</v>
      </c>
      <c r="BA8">
        <f t="shared" si="6"/>
        <v>102676.073733525</v>
      </c>
      <c r="BB8">
        <f t="shared" si="6"/>
        <v>566618.80933104747</v>
      </c>
      <c r="BC8">
        <f t="shared" si="6"/>
        <v>102943.58852865749</v>
      </c>
      <c r="BD8">
        <f t="shared" si="6"/>
        <v>22782.7052564025</v>
      </c>
      <c r="BE8">
        <f t="shared" si="6"/>
        <v>125726.29378506</v>
      </c>
      <c r="BF8">
        <f t="shared" si="6"/>
        <v>110877.97414184999</v>
      </c>
      <c r="BG8">
        <f t="shared" si="6"/>
        <v>24538.6144406325</v>
      </c>
      <c r="BH8">
        <f t="shared" si="6"/>
        <v>135416.58858248248</v>
      </c>
      <c r="BI8">
        <f t="shared" si="6"/>
        <v>491367.24704401509</v>
      </c>
      <c r="BJ8">
        <f t="shared" si="7"/>
        <v>108745.513329375</v>
      </c>
      <c r="BK8">
        <f t="shared" si="7"/>
        <v>600112.76037339005</v>
      </c>
      <c r="BL8">
        <f t="shared" si="7"/>
        <v>1674442.2061655046</v>
      </c>
      <c r="BM8" s="22">
        <f>-17.17-(0.1023*E8)+F8*(100-8.576-13.681)</f>
        <v>22.935214138445389</v>
      </c>
      <c r="BN8">
        <f>IF(AT8&lt;&gt;-999,AT8*$BM8, -999)</f>
        <v>2229259.1578025073</v>
      </c>
      <c r="BO8">
        <f>IF(AU8&lt;&gt;-999,AU8*$BM8, -999)</f>
        <v>493360.60198916553</v>
      </c>
      <c r="BP8" s="25">
        <f>IF(AV8&lt;&gt;-999,AV8*$BM8, -999)</f>
        <v>2722619.7597916722</v>
      </c>
      <c r="BQ8">
        <f>-19.943-(0.1023*E8)+F8*(100-8.576-13.681)</f>
        <v>20.162214138445385</v>
      </c>
      <c r="BR8">
        <f>IF(AW8&lt;&gt;-999,AW8*$BQ8, -999)</f>
        <v>2110772.310725763</v>
      </c>
      <c r="BS8">
        <f>IF(AX8&lt;&gt;-999,AX8*$BQ8, -999)</f>
        <v>467139.92257219006</v>
      </c>
      <c r="BT8" s="25">
        <f>IF(AY8&lt;&gt;-999,AY8*$BQ8, -999)</f>
        <v>2577912.2332979534</v>
      </c>
      <c r="BU8">
        <f>-25.871-(0.1023*E8)+F8*(100-8.576-13.681)</f>
        <v>14.234214138445388</v>
      </c>
      <c r="BV8">
        <f>IF(AZ8&lt;&gt;-999,AZ8*$BU8, -999)</f>
        <v>6603860.2464712849</v>
      </c>
      <c r="BW8">
        <f>IF(BA8&lt;&gt;-999,BA8*$BU8, -999)</f>
        <v>1461513.2204178027</v>
      </c>
      <c r="BX8" s="25">
        <f>IF(BB8&lt;&gt;-999,BB8*$BU8, -999)</f>
        <v>8065373.4668890871</v>
      </c>
      <c r="BY8">
        <f>-25.245-(0.1023*E8)+F8*(100-8.576-13.681)</f>
        <v>14.860214138445386</v>
      </c>
      <c r="BZ8">
        <f>IF(BC8&lt;&gt;-999,BC8*$BY8, -999)</f>
        <v>1529763.7697158603</v>
      </c>
      <c r="CA8">
        <f>IF(BD8&lt;&gt;-999,BD8*$BY8, -999)</f>
        <v>338555.87876322644</v>
      </c>
      <c r="CB8" s="25">
        <f>IF(BE8&lt;&gt;-999,BE8*$BY8, -999)</f>
        <v>1868319.6484790868</v>
      </c>
      <c r="CC8">
        <f>-29.317-(0.1023*E8)+F8*(100-8.576-13.681)</f>
        <v>10.788214138445383</v>
      </c>
      <c r="CD8">
        <f>IF(BF8&lt;&gt;-999,BF8*$CC8, -999)</f>
        <v>1196175.3282792876</v>
      </c>
      <c r="CE8">
        <f>IF(BG8&lt;&gt;-999,BG8*$CC8, -999)</f>
        <v>264727.82724629156</v>
      </c>
      <c r="CF8" s="25">
        <f>IF(BH8&lt;&gt;-999,BH8*$CC8, -999)</f>
        <v>1460903.1555255791</v>
      </c>
      <c r="CG8">
        <f>-38.03-(0.1023*E8)+F8*(100-8.576-13.681)</f>
        <v>2.0752141384453893</v>
      </c>
      <c r="CH8">
        <f>IF(BI8&lt;&gt;-999,BI8*$CG8, -999)</f>
        <v>1019692.2582347285</v>
      </c>
      <c r="CI8">
        <f>IF(BJ8&lt;&gt;-999,BJ8*$CG8, -999)</f>
        <v>225670.22675362052</v>
      </c>
      <c r="CJ8" s="25">
        <f>IF(BK8&lt;&gt;-999,BK8*$CG8, -999)</f>
        <v>1245362.484988349</v>
      </c>
      <c r="CK8" s="26">
        <f t="shared" si="8"/>
        <v>17940490.74897173</v>
      </c>
      <c r="CL8">
        <f t="shared" si="9"/>
        <v>-22.339352235824315</v>
      </c>
      <c r="CM8">
        <f t="shared" si="10"/>
        <v>35.616443154492693</v>
      </c>
      <c r="CN8">
        <f t="shared" si="11"/>
        <v>-79.294040807318581</v>
      </c>
      <c r="CO8" s="22">
        <f t="shared" si="12"/>
        <v>-40.08</v>
      </c>
      <c r="CP8">
        <f>IF(AT8&lt;&gt;-999,AT8*$CO8, -999)</f>
        <v>-3895699.7089882316</v>
      </c>
      <c r="CQ8">
        <f>IF(AU8&lt;&gt;-999,AU8*$CO8, -999)</f>
        <v>-862162.99566087592</v>
      </c>
      <c r="CR8" s="27">
        <f>IF(AV8&lt;&gt;-999,AV8*$CO8, -999)</f>
        <v>-4757862.7046491075</v>
      </c>
      <c r="CS8">
        <f t="shared" si="13"/>
        <v>-42.853000000000002</v>
      </c>
      <c r="CT8">
        <f>IF(AW8&lt;&gt;-999,AW8*$CS8, -999)</f>
        <v>-4486259.5551475249</v>
      </c>
      <c r="CU8">
        <f>IF(AX8&lt;&gt;-999,AX8*$CS8, -999)</f>
        <v>-992864.52194826165</v>
      </c>
      <c r="CV8" s="27">
        <f>IF(AY8&lt;&gt;-999,AY8*$CS8, -999)</f>
        <v>-5479124.077095787</v>
      </c>
      <c r="CW8">
        <f t="shared" si="14"/>
        <v>-48.780999999999999</v>
      </c>
      <c r="CX8">
        <f>IF(AZ8&lt;&gt;-999,AZ8*$CO8, -999)</f>
        <v>-18594824.842748698</v>
      </c>
      <c r="CY8">
        <f>IF(BA8&lt;&gt;-999,BA8*$CO8, -999)</f>
        <v>-4115257.0352396821</v>
      </c>
      <c r="CZ8" s="27">
        <f>IF(BB8&lt;&gt;-999,BB8*$CO8, -999)</f>
        <v>-22710081.877988383</v>
      </c>
      <c r="DA8">
        <f t="shared" si="15"/>
        <v>-48.155000000000001</v>
      </c>
      <c r="DB8">
        <f>IF(BC8&lt;&gt;-999,BC8*$DA8, -999)</f>
        <v>-4957248.505597502</v>
      </c>
      <c r="DC8">
        <f>IF(BD8&lt;&gt;-999,BD8*$DA8, -999)</f>
        <v>-1097101.1716220623</v>
      </c>
      <c r="DD8" s="27">
        <f>IF(BE8&lt;&gt;-999,BE8*$DA8, -999)</f>
        <v>-6054349.6772195641</v>
      </c>
      <c r="DE8">
        <f t="shared" si="16"/>
        <v>-52.227000000000004</v>
      </c>
      <c r="DF8">
        <f>IF(BF8&lt;&gt;-999,BF8*$DE8, -999)</f>
        <v>-5790823.9555064002</v>
      </c>
      <c r="DG8">
        <f>IF(BG8&lt;&gt;-999,BG8*$DE8, -999)</f>
        <v>-1281578.2163909136</v>
      </c>
      <c r="DH8" s="27">
        <f>IF(BH8&lt;&gt;-999,BH8*$DE8, -999)</f>
        <v>-7072402.1718973126</v>
      </c>
      <c r="DI8">
        <f t="shared" si="17"/>
        <v>-60.94</v>
      </c>
      <c r="DJ8">
        <f>IF(BI8&lt;&gt;-999,BI8*$DI8, -999)</f>
        <v>-29943920.03486228</v>
      </c>
      <c r="DK8">
        <f>IF(BJ8&lt;&gt;-999,BJ8*$DI8, -999)</f>
        <v>-6626951.5822921125</v>
      </c>
      <c r="DL8" s="27">
        <f>IF(BK8&lt;&gt;-999,BK8*$DI8, -999)</f>
        <v>-36570871.61715439</v>
      </c>
      <c r="DM8" s="28">
        <f t="shared" si="18"/>
        <v>-82644692.126004547</v>
      </c>
      <c r="DN8" s="22">
        <f t="shared" si="19"/>
        <v>-17.170000000000002</v>
      </c>
      <c r="DO8">
        <f>IF(AT8&lt;&gt;-999,AT8*$DN8, -999)</f>
        <v>-1668891.3174483022</v>
      </c>
      <c r="DP8">
        <f>IF(AU8&lt;&gt;-999,AU8*$DN8, -999)</f>
        <v>-369344.77633476153</v>
      </c>
      <c r="DQ8" s="24">
        <f>IF(AV8&lt;&gt;-999,AV8*$DN8, -999)</f>
        <v>-2038236.0937830633</v>
      </c>
      <c r="DR8">
        <f t="shared" si="20"/>
        <v>-19.943000000000001</v>
      </c>
      <c r="DS8">
        <f>IF(AW8&lt;&gt;-999,AW8*$DR8, -999)</f>
        <v>-2087822.8900732058</v>
      </c>
      <c r="DT8">
        <f>IF(AX8&lt;&gt;-999,AX8*$DR8, -999)</f>
        <v>-462060.93298518617</v>
      </c>
      <c r="DU8" s="24">
        <f>IF(AY8&lt;&gt;-999,AY8*$DR8, -999)</f>
        <v>-2549883.8230583919</v>
      </c>
      <c r="DV8">
        <f t="shared" si="21"/>
        <v>-25.870999999999999</v>
      </c>
      <c r="DW8">
        <f>IF(AZ8&lt;&gt;-999,AZ8*$DV8, -999)</f>
        <v>-12002662.512643503</v>
      </c>
      <c r="DX8">
        <f>IF(BA8&lt;&gt;-999,BA8*$DV8, -999)</f>
        <v>-2656332.703560025</v>
      </c>
      <c r="DY8" s="24">
        <f>IF(BB8&lt;&gt;-999,BB8*$DV8, -999)</f>
        <v>-14658995.216203528</v>
      </c>
      <c r="DZ8">
        <f t="shared" si="22"/>
        <v>-25.245000000000001</v>
      </c>
      <c r="EA8">
        <f>IF(BC8&lt;&gt;-999, BC8*$DZ8, -999)</f>
        <v>-2598810.8924059584</v>
      </c>
      <c r="EB8">
        <f>IF(BD8&lt;&gt;-999, BD8*$DZ8, -999)</f>
        <v>-575149.39419788111</v>
      </c>
      <c r="EC8" s="24">
        <f>IF(BE8&lt;&gt;-999, BE8*$DZ8, -999)</f>
        <v>-3173960.2866038396</v>
      </c>
      <c r="ED8">
        <f t="shared" si="23"/>
        <v>-29.317</v>
      </c>
      <c r="EE8">
        <f>IF(BF8&lt;&gt;-999,BF8*$ED8, -999)</f>
        <v>-3250609.5679166163</v>
      </c>
      <c r="EF8">
        <f>IF(BG8&lt;&gt;-999,BG8*$ED8, -999)</f>
        <v>-719398.55955602298</v>
      </c>
      <c r="EG8" s="24">
        <f>IF(BH8&lt;&gt;-999,BH8*$ED8, -999)</f>
        <v>-3970008.1274726391</v>
      </c>
      <c r="EH8">
        <f t="shared" si="24"/>
        <v>-38.03</v>
      </c>
      <c r="EI8">
        <f>IF(BI8&lt;&gt;-999,BI8*$EH8, -999)</f>
        <v>-18686696.405083895</v>
      </c>
      <c r="EJ8">
        <f>IF(BJ8&lt;&gt;-999,BJ8*$EH8, -999)</f>
        <v>-4135591.8719161311</v>
      </c>
      <c r="EK8" s="24">
        <f>IF(BK8&lt;&gt;-999,BK8*$EH8, -999)</f>
        <v>-22822288.277000025</v>
      </c>
      <c r="EL8" s="28">
        <f t="shared" si="25"/>
        <v>-49213371.824121483</v>
      </c>
      <c r="EM8" s="22">
        <f>-17.17-(0.1023*G8)+H8*(100+102.093-66.644-64.243)</f>
        <v>28.700554818375331</v>
      </c>
      <c r="EN8">
        <f>IF(AT8&lt;&gt;-999,AT8*$EM8, -999)</f>
        <v>2789639.2977481429</v>
      </c>
      <c r="EO8">
        <f>IF(AU8&lt;&gt;-999,AU8*$EM8, -999)</f>
        <v>617379.14968412335</v>
      </c>
      <c r="EP8" s="23">
        <f>IF(AV8&lt;&gt;-999,AV8*$EM8, -999)</f>
        <v>3407018.4474322661</v>
      </c>
      <c r="EQ8">
        <f>-19.943-(0.1023*G8)+H8*(100+102.093-66.644-64.243)</f>
        <v>25.927554818375327</v>
      </c>
      <c r="ER8">
        <f>IF(AW8&lt;&gt;-999,AW8*$EQ8, -999)</f>
        <v>2714342.9992193673</v>
      </c>
      <c r="ES8">
        <f>IF(AX8&lt;&gt;-999,AX8*$EQ8, -999)</f>
        <v>600717.55349762132</v>
      </c>
      <c r="ET8" s="23">
        <f>IF(AY8&lt;&gt;-999,AY8*$EQ8, -999)</f>
        <v>3315060.5527169891</v>
      </c>
      <c r="EU8">
        <f>-25.871-(0.1023*G8)+H8*(100+102.093-66.644-64.243)</f>
        <v>19.99955481837533</v>
      </c>
      <c r="EV8">
        <f>IF(AZ8&lt;&gt;-999,AZ8*$EU8, -999)</f>
        <v>9278648.1731696613</v>
      </c>
      <c r="EW8">
        <f>IF(BA8&lt;&gt;-999,BA8*$EU8, -999)</f>
        <v>2053475.7651691807</v>
      </c>
      <c r="EX8" s="23">
        <f>IF(BB8&lt;&gt;-999,BB8*$EU8, -999)</f>
        <v>11332123.938338842</v>
      </c>
      <c r="EY8">
        <f>-25.245-(0.1023*G8)+H8*(100+102.093-66.644-64.243)</f>
        <v>20.625554818375328</v>
      </c>
      <c r="EZ8">
        <f>IF(BC8&lt;&gt;-999, BC8*$EY8, -999)</f>
        <v>2123268.6283980985</v>
      </c>
      <c r="FA8">
        <f>IF(BD8&lt;&gt;-999, BD8*$EY8, -999)</f>
        <v>469905.93617681746</v>
      </c>
      <c r="FB8" s="23">
        <f>IF(BE8&lt;&gt;-999, BE8*$EY8, -999)</f>
        <v>2593174.5645749164</v>
      </c>
      <c r="FC8">
        <f>-29.317-(0.1023*G8)+H8*(100+102.093-66.644-64.243)</f>
        <v>16.553554818375332</v>
      </c>
      <c r="FD8">
        <f>IF(BF8&lt;&gt;-999,BF8*$FC8, -999)</f>
        <v>1835424.6231075164</v>
      </c>
      <c r="FE8">
        <f>IF(BG8&lt;&gt;-999,BG8*$FC8, -999)</f>
        <v>406201.29930998664</v>
      </c>
      <c r="FF8" s="23">
        <f>IF(BH8&lt;&gt;-999,BH8*$FC8, -999)</f>
        <v>2241625.9224175029</v>
      </c>
      <c r="FG8">
        <f>-38.03-(0.1023*G8)+H8*(100+102.093-66.644-64.243)</f>
        <v>7.8405548183753311</v>
      </c>
      <c r="FH8">
        <f>IF(BI8&lt;&gt;-999,BI8*$FG8, -999)</f>
        <v>3852591.8364027743</v>
      </c>
      <c r="FI8">
        <f>IF(BJ8&lt;&gt;-999,BJ8*$FG8, -999)</f>
        <v>852625.15851132991</v>
      </c>
      <c r="FJ8" s="23">
        <f>IF(BK8&lt;&gt;-999,BK8*$FG8, -999)</f>
        <v>4705216.9949141042</v>
      </c>
      <c r="FK8" s="28">
        <f t="shared" si="26"/>
        <v>27594220.420394618</v>
      </c>
      <c r="FL8" s="22">
        <f t="shared" si="28"/>
        <v>10.012280000000011</v>
      </c>
      <c r="FM8">
        <f>IF(AT8&lt;&gt;-999,AT8*$FL8, -999)</f>
        <v>973174.55794183479</v>
      </c>
      <c r="FN8">
        <f>IF(AU8&lt;&gt;-999,AU8*$FL8, -999)</f>
        <v>215374.68358771171</v>
      </c>
      <c r="FO8" s="29">
        <f>IF(AV8&lt;&gt;-999,AV8*$FL8, -999)</f>
        <v>1188549.2415295464</v>
      </c>
      <c r="FP8">
        <f t="shared" si="29"/>
        <v>7.2392800000000115</v>
      </c>
      <c r="FQ8">
        <f>IF(AW8&lt;&gt;-999,AW8*$FP8, -999)</f>
        <v>757876.6731007963</v>
      </c>
      <c r="FR8">
        <f>IF(AX8&lt;&gt;-999,AX8*$FP8, -999)</f>
        <v>167727.44677034568</v>
      </c>
      <c r="FS8" s="29">
        <f>IF(AY8&lt;&gt;-999,AY8*$FP8, -999)</f>
        <v>925604.11987114197</v>
      </c>
      <c r="FT8">
        <f t="shared" si="30"/>
        <v>1.3112800000000142</v>
      </c>
      <c r="FU8">
        <f>IF(AZ8&lt;&gt;-999,AZ8*$FT8, -999)</f>
        <v>608358.8303343259</v>
      </c>
      <c r="FV8">
        <f>IF(BA8&lt;&gt;-999,BA8*$FT8, -999)</f>
        <v>134637.08196529813</v>
      </c>
      <c r="FW8" s="29">
        <f>IF(BB8&lt;&gt;-999,BB8*$FT8, -999)</f>
        <v>742995.91229962395</v>
      </c>
      <c r="FX8">
        <f t="shared" si="31"/>
        <v>1.9372800000000119</v>
      </c>
      <c r="FY8">
        <f>IF(BC8&lt;&gt;-999, BC8*$FX8, -999)</f>
        <v>199430.55518479881</v>
      </c>
      <c r="FZ8">
        <f>IF(BD8&lt;&gt;-999, BD8*$FX8, -999)</f>
        <v>44136.479239123706</v>
      </c>
      <c r="GA8" s="29">
        <f>IF(BE8&lt;&gt;-999, BE8*$FX8, -999)</f>
        <v>243567.03442392254</v>
      </c>
      <c r="GB8">
        <f t="shared" si="32"/>
        <v>-2.1347199999999873</v>
      </c>
      <c r="GC8">
        <f>IF(BF8&lt;&gt;-999,BF8*$GB8, -999)</f>
        <v>-236693.42896008861</v>
      </c>
      <c r="GD8">
        <f>IF(BG8&lt;&gt;-999,BG8*$GB8, -999)</f>
        <v>-52383.071018706702</v>
      </c>
      <c r="GE8" s="29">
        <f>IF(BH8&lt;&gt;-999,BH8*$GB8, -999)</f>
        <v>-289076.4999787953</v>
      </c>
      <c r="GF8">
        <f t="shared" si="33"/>
        <v>-10.847719999999988</v>
      </c>
      <c r="GG8">
        <f>IF(BI8&lt;&gt;-999,BI8*$GF8, -999)</f>
        <v>-5330214.313104298</v>
      </c>
      <c r="GH8">
        <f>IF(BJ8&lt;&gt;-999,BJ8*$GF8, -999)</f>
        <v>-1179640.8798533264</v>
      </c>
      <c r="GI8" s="29">
        <f>IF(BK8&lt;&gt;-999,BK8*$GF8, -999)</f>
        <v>-6509855.1929576239</v>
      </c>
      <c r="GJ8" s="30">
        <f t="shared" si="27"/>
        <v>-3698215.3848121837</v>
      </c>
    </row>
    <row r="9" spans="1:192">
      <c r="A9" s="49" t="s">
        <v>146</v>
      </c>
      <c r="B9" s="49" t="s">
        <v>147</v>
      </c>
      <c r="C9" s="49">
        <v>18</v>
      </c>
      <c r="D9" s="50">
        <v>0.99299999999999999</v>
      </c>
      <c r="E9" s="49">
        <v>47.864016762288301</v>
      </c>
      <c r="F9" s="49">
        <v>0.79262082801697398</v>
      </c>
      <c r="G9" s="49">
        <v>112.03261319945901</v>
      </c>
      <c r="H9" s="49">
        <v>0.81549102779068205</v>
      </c>
      <c r="I9" s="42">
        <v>31045.200000000001</v>
      </c>
      <c r="J9" s="43">
        <v>94897.9</v>
      </c>
      <c r="K9" s="43">
        <f t="shared" si="0"/>
        <v>125943.09999999999</v>
      </c>
      <c r="L9" s="43">
        <v>28703.4</v>
      </c>
      <c r="M9" s="43">
        <v>87739.7</v>
      </c>
      <c r="N9" s="43">
        <f t="shared" si="1"/>
        <v>116443.1</v>
      </c>
      <c r="O9" s="43">
        <v>47711</v>
      </c>
      <c r="P9" s="43">
        <v>145841.5</v>
      </c>
      <c r="Q9" s="43">
        <f t="shared" si="2"/>
        <v>193552.5</v>
      </c>
      <c r="R9" s="43">
        <v>35947.4</v>
      </c>
      <c r="S9" s="43">
        <v>109882.8</v>
      </c>
      <c r="T9" s="43">
        <f t="shared" si="3"/>
        <v>145830.20000000001</v>
      </c>
      <c r="U9" s="43">
        <v>33235.9</v>
      </c>
      <c r="V9" s="43">
        <v>101594.3</v>
      </c>
      <c r="W9" s="43">
        <f t="shared" si="4"/>
        <v>134830.20000000001</v>
      </c>
      <c r="X9" s="43">
        <v>55244.9</v>
      </c>
      <c r="Y9" s="43">
        <v>168870.7</v>
      </c>
      <c r="Z9" s="43">
        <f t="shared" si="5"/>
        <v>224115.6</v>
      </c>
      <c r="AA9" s="22">
        <v>263524</v>
      </c>
      <c r="AB9">
        <v>327881.8</v>
      </c>
      <c r="AC9">
        <v>591405.9</v>
      </c>
      <c r="AD9">
        <v>243646.5</v>
      </c>
      <c r="AE9">
        <v>303149.8</v>
      </c>
      <c r="AF9">
        <v>546796.19999999995</v>
      </c>
      <c r="AG9">
        <v>404990.7</v>
      </c>
      <c r="AH9">
        <v>503897.4</v>
      </c>
      <c r="AI9">
        <v>908888.1</v>
      </c>
      <c r="AJ9">
        <v>305136</v>
      </c>
      <c r="AK9">
        <v>379656.3</v>
      </c>
      <c r="AL9">
        <v>684792.3</v>
      </c>
      <c r="AM9">
        <v>282119.7</v>
      </c>
      <c r="AN9">
        <v>351018.9</v>
      </c>
      <c r="AO9">
        <v>633138.5</v>
      </c>
      <c r="AP9">
        <v>468941.1</v>
      </c>
      <c r="AQ9">
        <v>583465.80000000005</v>
      </c>
      <c r="AR9">
        <v>1052406.8</v>
      </c>
      <c r="AS9">
        <v>4417427.8899999997</v>
      </c>
      <c r="AT9" s="22">
        <f t="shared" si="6"/>
        <v>438684.3115899</v>
      </c>
      <c r="AU9">
        <f t="shared" si="6"/>
        <v>545819.74209505506</v>
      </c>
      <c r="AV9">
        <f t="shared" si="6"/>
        <v>984504.22015340254</v>
      </c>
      <c r="AW9">
        <f t="shared" si="6"/>
        <v>405594.54593808751</v>
      </c>
      <c r="AX9">
        <f t="shared" si="6"/>
        <v>504648.76565935492</v>
      </c>
      <c r="AY9">
        <f t="shared" si="6"/>
        <v>910243.14512899495</v>
      </c>
      <c r="AZ9">
        <f t="shared" si="6"/>
        <v>674181.73080938251</v>
      </c>
      <c r="BA9">
        <f t="shared" si="6"/>
        <v>838830.1787728651</v>
      </c>
      <c r="BB9">
        <f t="shared" si="6"/>
        <v>1513011.9095822475</v>
      </c>
      <c r="BC9">
        <f t="shared" si="6"/>
        <v>507955.16196359997</v>
      </c>
      <c r="BD9">
        <f t="shared" si="6"/>
        <v>632007.94844594249</v>
      </c>
      <c r="BE9">
        <f t="shared" si="6"/>
        <v>1139963.1104095425</v>
      </c>
      <c r="BF9">
        <f t="shared" si="6"/>
        <v>469640.2846816575</v>
      </c>
      <c r="BG9">
        <f t="shared" si="6"/>
        <v>584335.71326157753</v>
      </c>
      <c r="BH9">
        <f t="shared" si="6"/>
        <v>1053975.8314747876</v>
      </c>
      <c r="BI9">
        <f t="shared" si="6"/>
        <v>780638.96885942249</v>
      </c>
      <c r="BJ9">
        <f t="shared" si="7"/>
        <v>971286.45895345509</v>
      </c>
      <c r="BK9">
        <f t="shared" si="7"/>
        <v>1751925.26134443</v>
      </c>
      <c r="BL9">
        <f t="shared" si="7"/>
        <v>7353623.6279150071</v>
      </c>
      <c r="BM9" s="22">
        <f>-17.17-(0.1023*E9)+F9*(100-8.576-13.681)</f>
        <v>39.55423211774152</v>
      </c>
      <c r="BN9">
        <f>IF(AT9&lt;&gt;-999,AT9*$BM9, -999)</f>
        <v>17351821.087038551</v>
      </c>
      <c r="BO9">
        <f>IF(AU9&lt;&gt;-999,AU9*$BM9, -999)</f>
        <v>21589480.773273621</v>
      </c>
      <c r="BP9" s="25">
        <f>IF(AV9&lt;&gt;-999,AV9*$BM9, -999)</f>
        <v>38941308.444843784</v>
      </c>
      <c r="BQ9">
        <f>-19.943-(0.1023*E9)+F9*(100-8.576-13.681)</f>
        <v>36.781232117741517</v>
      </c>
      <c r="BR9">
        <f>IF(AW9&lt;&gt;-999,AW9*$BQ9, -999)</f>
        <v>14918267.139838772</v>
      </c>
      <c r="BS9">
        <f>IF(AX9&lt;&gt;-999,AX9*$BQ9, -999)</f>
        <v>18561603.387648478</v>
      </c>
      <c r="BT9" s="25">
        <f>IF(AY9&lt;&gt;-999,AY9*$BQ9, -999)</f>
        <v>33479864.404572643</v>
      </c>
      <c r="BU9">
        <f>-25.871-(0.1023*E9)+F9*(100-8.576-13.681)</f>
        <v>30.85323211774152</v>
      </c>
      <c r="BV9">
        <f>IF(AZ9&lt;&gt;-999,AZ9*$BU9, -999)</f>
        <v>20800685.430202607</v>
      </c>
      <c r="BW9">
        <f>IF(BA9&lt;&gt;-999,BA9*$BU9, -999)</f>
        <v>25880622.213045821</v>
      </c>
      <c r="BX9" s="25">
        <f>IF(BB9&lt;&gt;-999,BB9*$BU9, -999)</f>
        <v>46681307.643248424</v>
      </c>
      <c r="BY9">
        <f>-25.245-(0.1023*E9)+F9*(100-8.576-13.681)</f>
        <v>31.479232117741518</v>
      </c>
      <c r="BZ9">
        <f>IF(BC9&lt;&gt;-999,BC9*$BY9, -999)</f>
        <v>15990038.448857151</v>
      </c>
      <c r="CA9">
        <f>IF(BD9&lt;&gt;-999,BD9*$BY9, -999)</f>
        <v>19895124.909387439</v>
      </c>
      <c r="CB9" s="25">
        <f>IF(BE9&lt;&gt;-999,BE9*$BY9, -999)</f>
        <v>35885163.35824459</v>
      </c>
      <c r="CC9">
        <f>-29.317-(0.1023*E9)+F9*(100-8.576-13.681)</f>
        <v>27.407232117741522</v>
      </c>
      <c r="CD9">
        <f>IF(BF9&lt;&gt;-999,BF9*$CC9, -999)</f>
        <v>12871540.294112395</v>
      </c>
      <c r="CE9">
        <f>IF(BG9&lt;&gt;-999,BG9*$CC9, -999)</f>
        <v>16015024.528046109</v>
      </c>
      <c r="CF9" s="25">
        <f>IF(BH9&lt;&gt;-999,BH9*$CC9, -999)</f>
        <v>28886560.259719122</v>
      </c>
      <c r="CG9">
        <f>-38.03-(0.1023*E9)+F9*(100-8.576-13.681)</f>
        <v>18.694232117741514</v>
      </c>
      <c r="CH9">
        <f>IF(BI9&lt;&gt;-999,BI9*$CG9, -999)</f>
        <v>14593446.084012434</v>
      </c>
      <c r="CI9">
        <f>IF(BJ9&lt;&gt;-999,BJ9*$CG9, -999)</f>
        <v>18157454.516495105</v>
      </c>
      <c r="CJ9" s="25">
        <f>IF(BK9&lt;&gt;-999,BK9*$CG9, -999)</f>
        <v>32750897.48850774</v>
      </c>
      <c r="CK9" s="26">
        <f t="shared" si="8"/>
        <v>216625101.59913632</v>
      </c>
      <c r="CL9">
        <f t="shared" si="9"/>
        <v>-41.996309129705672</v>
      </c>
      <c r="CM9">
        <f t="shared" si="10"/>
        <v>15.33879788949417</v>
      </c>
      <c r="CN9">
        <f t="shared" si="11"/>
        <v>-98.341030869775309</v>
      </c>
      <c r="CO9" s="22">
        <f t="shared" si="12"/>
        <v>-40.08</v>
      </c>
      <c r="CP9">
        <f>IF(AT9&lt;&gt;-999,AT9*$CO9, -999)</f>
        <v>-17582467.208523192</v>
      </c>
      <c r="CQ9">
        <f>IF(AU9&lt;&gt;-999,AU9*$CO9, -999)</f>
        <v>-21876455.263169806</v>
      </c>
      <c r="CR9" s="27">
        <f>IF(AV9&lt;&gt;-999,AV9*$CO9, -999)</f>
        <v>-39458929.143748373</v>
      </c>
      <c r="CS9">
        <f t="shared" si="13"/>
        <v>-42.853000000000002</v>
      </c>
      <c r="CT9">
        <f>IF(AW9&lt;&gt;-999,AW9*$CS9, -999)</f>
        <v>-17380943.077084865</v>
      </c>
      <c r="CU9">
        <f>IF(AX9&lt;&gt;-999,AX9*$CS9, -999)</f>
        <v>-21625713.554800335</v>
      </c>
      <c r="CV9" s="27">
        <f>IF(AY9&lt;&gt;-999,AY9*$CS9, -999)</f>
        <v>-39006649.498212822</v>
      </c>
      <c r="CW9">
        <f t="shared" si="14"/>
        <v>-48.780999999999999</v>
      </c>
      <c r="CX9">
        <f>IF(AZ9&lt;&gt;-999,AZ9*$CO9, -999)</f>
        <v>-27021203.770840049</v>
      </c>
      <c r="CY9">
        <f>IF(BA9&lt;&gt;-999,BA9*$CO9, -999)</f>
        <v>-33620313.56521643</v>
      </c>
      <c r="CZ9" s="27">
        <f>IF(BB9&lt;&gt;-999,BB9*$CO9, -999)</f>
        <v>-60641517.336056478</v>
      </c>
      <c r="DA9">
        <f t="shared" si="15"/>
        <v>-48.155000000000001</v>
      </c>
      <c r="DB9">
        <f>IF(BC9&lt;&gt;-999,BC9*$DA9, -999)</f>
        <v>-24460580.824357156</v>
      </c>
      <c r="DC9">
        <f>IF(BD9&lt;&gt;-999,BD9*$DA9, -999)</f>
        <v>-30434342.75741436</v>
      </c>
      <c r="DD9" s="27">
        <f>IF(BE9&lt;&gt;-999,BE9*$DA9, -999)</f>
        <v>-54894923.581771515</v>
      </c>
      <c r="DE9">
        <f t="shared" si="16"/>
        <v>-52.227000000000004</v>
      </c>
      <c r="DF9">
        <f>IF(BF9&lt;&gt;-999,BF9*$DE9, -999)</f>
        <v>-24527903.148068927</v>
      </c>
      <c r="DG9">
        <f>IF(BG9&lt;&gt;-999,BG9*$DE9, -999)</f>
        <v>-30518101.296512414</v>
      </c>
      <c r="DH9" s="27">
        <f>IF(BH9&lt;&gt;-999,BH9*$DE9, -999)</f>
        <v>-55045995.750433736</v>
      </c>
      <c r="DI9">
        <f t="shared" si="17"/>
        <v>-60.94</v>
      </c>
      <c r="DJ9">
        <f>IF(BI9&lt;&gt;-999,BI9*$DI9, -999)</f>
        <v>-47572138.762293205</v>
      </c>
      <c r="DK9">
        <f>IF(BJ9&lt;&gt;-999,BJ9*$DI9, -999)</f>
        <v>-59190196.808623552</v>
      </c>
      <c r="DL9" s="27">
        <f>IF(BK9&lt;&gt;-999,BK9*$DI9, -999)</f>
        <v>-106762325.42632957</v>
      </c>
      <c r="DM9" s="28">
        <f t="shared" si="18"/>
        <v>-355810340.73655248</v>
      </c>
      <c r="DN9" s="22">
        <f t="shared" si="19"/>
        <v>-17.170000000000002</v>
      </c>
      <c r="DO9">
        <f>IF(AT9&lt;&gt;-999,AT9*$DN9, -999)</f>
        <v>-7532209.6299985833</v>
      </c>
      <c r="DP9">
        <f>IF(AU9&lt;&gt;-999,AU9*$DN9, -999)</f>
        <v>-9371724.9717720971</v>
      </c>
      <c r="DQ9" s="24">
        <f>IF(AV9&lt;&gt;-999,AV9*$DN9, -999)</f>
        <v>-16903937.460033923</v>
      </c>
      <c r="DR9">
        <f t="shared" si="20"/>
        <v>-19.943000000000001</v>
      </c>
      <c r="DS9">
        <f>IF(AW9&lt;&gt;-999,AW9*$DR9, -999)</f>
        <v>-8088772.0296432795</v>
      </c>
      <c r="DT9">
        <f>IF(AX9&lt;&gt;-999,AX9*$DR9, -999)</f>
        <v>-10064210.333544515</v>
      </c>
      <c r="DU9" s="24">
        <f>IF(AY9&lt;&gt;-999,AY9*$DR9, -999)</f>
        <v>-18152979.043307547</v>
      </c>
      <c r="DV9">
        <f t="shared" si="21"/>
        <v>-25.870999999999999</v>
      </c>
      <c r="DW9">
        <f>IF(AZ9&lt;&gt;-999,AZ9*$DV9, -999)</f>
        <v>-17441755.557769533</v>
      </c>
      <c r="DX9">
        <f>IF(BA9&lt;&gt;-999,BA9*$DV9, -999)</f>
        <v>-21701375.555032793</v>
      </c>
      <c r="DY9" s="24">
        <f>IF(BB9&lt;&gt;-999,BB9*$DV9, -999)</f>
        <v>-39143131.112802319</v>
      </c>
      <c r="DZ9">
        <f t="shared" si="22"/>
        <v>-25.245000000000001</v>
      </c>
      <c r="EA9">
        <f>IF(BC9&lt;&gt;-999, BC9*$DZ9, -999)</f>
        <v>-12823328.063771082</v>
      </c>
      <c r="EB9">
        <f>IF(BD9&lt;&gt;-999, BD9*$DZ9, -999)</f>
        <v>-15955040.658517819</v>
      </c>
      <c r="EC9" s="24">
        <f>IF(BE9&lt;&gt;-999, BE9*$DZ9, -999)</f>
        <v>-28778368.722288899</v>
      </c>
      <c r="ED9">
        <f t="shared" si="23"/>
        <v>-29.317</v>
      </c>
      <c r="EE9">
        <f>IF(BF9&lt;&gt;-999,BF9*$ED9, -999)</f>
        <v>-13768444.226012154</v>
      </c>
      <c r="EF9">
        <f>IF(BG9&lt;&gt;-999,BG9*$ED9, -999)</f>
        <v>-17130970.105689667</v>
      </c>
      <c r="EG9" s="24">
        <f>IF(BH9&lt;&gt;-999,BH9*$ED9, -999)</f>
        <v>-30899409.451346345</v>
      </c>
      <c r="EH9">
        <f t="shared" si="24"/>
        <v>-38.03</v>
      </c>
      <c r="EI9">
        <f>IF(BI9&lt;&gt;-999,BI9*$EH9, -999)</f>
        <v>-29687699.985723838</v>
      </c>
      <c r="EJ9">
        <f>IF(BJ9&lt;&gt;-999,BJ9*$EH9, -999)</f>
        <v>-36938024.033999898</v>
      </c>
      <c r="EK9" s="24">
        <f>IF(BK9&lt;&gt;-999,BK9*$EH9, -999)</f>
        <v>-66625717.688928679</v>
      </c>
      <c r="EL9" s="28">
        <f t="shared" si="25"/>
        <v>-200503543.47870773</v>
      </c>
      <c r="EM9" s="22">
        <f>-17.17-(0.1023*G9)+H9*(100+102.093-66.644-64.243)</f>
        <v>29.436917794558667</v>
      </c>
      <c r="EN9">
        <f>IF(AT9&lt;&gt;-999,AT9*$EM9, -999)</f>
        <v>12913514.018034447</v>
      </c>
      <c r="EO9">
        <f>IF(AU9&lt;&gt;-999,AU9*$EM9, -999)</f>
        <v>16067250.878699349</v>
      </c>
      <c r="EP9" s="23">
        <f>IF(AV9&lt;&gt;-999,AV9*$EM9, -999)</f>
        <v>28980769.797051799</v>
      </c>
      <c r="EQ9">
        <f>-19.943-(0.1023*G9)+H9*(100+102.093-66.644-64.243)</f>
        <v>26.663917794558664</v>
      </c>
      <c r="ER9">
        <f>IF(AW9&lt;&gt;-999,AW9*$EQ9, -999)</f>
        <v>10814739.630814513</v>
      </c>
      <c r="ES9">
        <f>IF(AX9&lt;&gt;-999,AX9*$EQ9, -999)</f>
        <v>13455913.202666538</v>
      </c>
      <c r="ET9" s="23">
        <f>IF(AY9&lt;&gt;-999,AY9*$EQ9, -999)</f>
        <v>24270648.394780051</v>
      </c>
      <c r="EU9">
        <f>-25.871-(0.1023*G9)+H9*(100+102.093-66.644-64.243)</f>
        <v>20.735917794558667</v>
      </c>
      <c r="EV9">
        <f>IF(AZ9&lt;&gt;-999,AZ9*$EU9, -999)</f>
        <v>13979776.948656635</v>
      </c>
      <c r="EW9">
        <f>IF(BA9&lt;&gt;-999,BA9*$EU9, -999)</f>
        <v>17393913.630629081</v>
      </c>
      <c r="EX9" s="23">
        <f>IF(BB9&lt;&gt;-999,BB9*$EU9, -999)</f>
        <v>31373690.579285715</v>
      </c>
      <c r="EY9">
        <f>-25.245-(0.1023*G9)+H9*(100+102.093-66.644-64.243)</f>
        <v>21.361917794558664</v>
      </c>
      <c r="EZ9">
        <f>IF(BC9&lt;&gt;-999, BC9*$EY9, -999)</f>
        <v>10850896.413188154</v>
      </c>
      <c r="FA9">
        <f>IF(BD9&lt;&gt;-999, BD9*$EY9, -999)</f>
        <v>13500901.840209894</v>
      </c>
      <c r="FB9" s="23">
        <f>IF(BE9&lt;&gt;-999, BE9*$EY9, -999)</f>
        <v>24351798.25339805</v>
      </c>
      <c r="FC9">
        <f>-29.317-(0.1023*G9)+H9*(100+102.093-66.644-64.243)</f>
        <v>17.289917794558669</v>
      </c>
      <c r="FD9">
        <f>IF(BF9&lt;&gt;-999,BF9*$FC9, -999)</f>
        <v>8120041.9151589889</v>
      </c>
      <c r="FE9">
        <f>IF(BG9&lt;&gt;-999,BG9*$FC9, -999)</f>
        <v>10103116.446717482</v>
      </c>
      <c r="FF9" s="23">
        <f>IF(BH9&lt;&gt;-999,BH9*$FC9, -999)</f>
        <v>18223155.483650699</v>
      </c>
      <c r="FG9">
        <f>-38.03-(0.1023*G9)+H9*(100+102.093-66.644-64.243)</f>
        <v>8.5769177945586677</v>
      </c>
      <c r="FH9">
        <f>IF(BI9&lt;&gt;-999,BI9*$FG9, -999)</f>
        <v>6695476.2631363105</v>
      </c>
      <c r="FI9">
        <f>IF(BJ9&lt;&gt;-999,BJ9*$FG9, -999)</f>
        <v>8330644.1134117655</v>
      </c>
      <c r="FJ9" s="23">
        <f>IF(BK9&lt;&gt;-999,BK9*$FG9, -999)</f>
        <v>15026118.948761886</v>
      </c>
      <c r="FK9" s="28">
        <f t="shared" si="26"/>
        <v>142226181.45692819</v>
      </c>
      <c r="FL9" s="22">
        <f t="shared" si="28"/>
        <v>10.012280000000011</v>
      </c>
      <c r="FM9">
        <f>IF(AT9&lt;&gt;-999,AT9*$FL9, -999)</f>
        <v>4392230.159245329</v>
      </c>
      <c r="FN9">
        <f>IF(AU9&lt;&gt;-999,AU9*$FL9, -999)</f>
        <v>5464900.0873834835</v>
      </c>
      <c r="FO9" s="29">
        <f>IF(AV9&lt;&gt;-999,AV9*$FL9, -999)</f>
        <v>9857131.9133575205</v>
      </c>
      <c r="FP9">
        <f t="shared" si="29"/>
        <v>7.2392800000000115</v>
      </c>
      <c r="FQ9">
        <f>IF(AW9&lt;&gt;-999,AW9*$FP9, -999)</f>
        <v>2936212.4845186826</v>
      </c>
      <c r="FR9">
        <f>IF(AX9&lt;&gt;-999,AX9*$FP9, -999)</f>
        <v>3653293.7162624607</v>
      </c>
      <c r="FS9" s="29">
        <f>IF(AY9&lt;&gt;-999,AY9*$FP9, -999)</f>
        <v>6589504.9956694413</v>
      </c>
      <c r="FT9">
        <f t="shared" si="30"/>
        <v>1.3112800000000142</v>
      </c>
      <c r="FU9">
        <f>IF(AZ9&lt;&gt;-999,AZ9*$FT9, -999)</f>
        <v>884041.01997573674</v>
      </c>
      <c r="FV9">
        <f>IF(BA9&lt;&gt;-999,BA9*$FT9, -999)</f>
        <v>1099941.2368212945</v>
      </c>
      <c r="FW9" s="29">
        <f>IF(BB9&lt;&gt;-999,BB9*$FT9, -999)</f>
        <v>1983982.256797031</v>
      </c>
      <c r="FX9">
        <f t="shared" si="31"/>
        <v>1.9372800000000119</v>
      </c>
      <c r="FY9">
        <f>IF(BC9&lt;&gt;-999, BC9*$FX9, -999)</f>
        <v>984051.37616884895</v>
      </c>
      <c r="FZ9">
        <f>IF(BD9&lt;&gt;-999, BD9*$FX9, -999)</f>
        <v>1224376.358365363</v>
      </c>
      <c r="GA9" s="29">
        <f>IF(BE9&lt;&gt;-999, BE9*$FX9, -999)</f>
        <v>2208427.7345342119</v>
      </c>
      <c r="GB9">
        <f t="shared" si="32"/>
        <v>-2.1347199999999873</v>
      </c>
      <c r="GC9">
        <f>IF(BF9&lt;&gt;-999,BF9*$GB9, -999)</f>
        <v>-1002550.5085156219</v>
      </c>
      <c r="GD9">
        <f>IF(BG9&lt;&gt;-999,BG9*$GB9, -999)</f>
        <v>-1247393.1338137474</v>
      </c>
      <c r="GE9" s="29">
        <f>IF(BH9&lt;&gt;-999,BH9*$GB9, -999)</f>
        <v>-2249943.2869658452</v>
      </c>
      <c r="GF9">
        <f t="shared" si="33"/>
        <v>-10.847719999999988</v>
      </c>
      <c r="GG9">
        <f>IF(BI9&lt;&gt;-999,BI9*$GF9, -999)</f>
        <v>-8468152.9552757256</v>
      </c>
      <c r="GH9">
        <f>IF(BJ9&lt;&gt;-999,BJ9*$GF9, -999)</f>
        <v>-10536243.546518562</v>
      </c>
      <c r="GI9" s="29">
        <f>IF(BK9&lt;&gt;-999,BK9*$GF9, -999)</f>
        <v>-19004394.695991181</v>
      </c>
      <c r="GJ9" s="30">
        <f t="shared" si="27"/>
        <v>-615291.08259882033</v>
      </c>
    </row>
    <row r="10" spans="1:192">
      <c r="A10" s="48" t="s">
        <v>146</v>
      </c>
      <c r="B10" s="48" t="s">
        <v>148</v>
      </c>
      <c r="C10" s="49">
        <v>46</v>
      </c>
      <c r="D10" s="50">
        <v>0.99299999999999999</v>
      </c>
      <c r="E10" s="49">
        <v>184.77445374546701</v>
      </c>
      <c r="F10" s="49">
        <v>0.78322481157020996</v>
      </c>
      <c r="G10" s="49">
        <v>105.81618909859201</v>
      </c>
      <c r="H10" s="49">
        <v>0.81582587330225897</v>
      </c>
      <c r="I10" s="42">
        <v>11257.8</v>
      </c>
      <c r="J10" s="43">
        <v>-999</v>
      </c>
      <c r="K10" s="43">
        <f t="shared" si="0"/>
        <v>11257.8</v>
      </c>
      <c r="L10" s="43">
        <v>1229.8</v>
      </c>
      <c r="M10" s="43">
        <v>-999</v>
      </c>
      <c r="N10" s="43">
        <f t="shared" si="1"/>
        <v>1229.8</v>
      </c>
      <c r="O10" s="43">
        <v>21909.5</v>
      </c>
      <c r="P10" s="43">
        <v>-999</v>
      </c>
      <c r="Q10" s="43">
        <f t="shared" si="2"/>
        <v>21909.5</v>
      </c>
      <c r="R10" s="43">
        <v>22402.799999999999</v>
      </c>
      <c r="S10" s="43">
        <v>-999</v>
      </c>
      <c r="T10" s="43">
        <f t="shared" si="3"/>
        <v>22402.799999999999</v>
      </c>
      <c r="U10" s="43">
        <v>2447.3000000000002</v>
      </c>
      <c r="V10" s="43">
        <v>-999</v>
      </c>
      <c r="W10" s="43">
        <f t="shared" si="4"/>
        <v>2447.3000000000002</v>
      </c>
      <c r="X10" s="43">
        <v>43599.5</v>
      </c>
      <c r="Y10" s="43">
        <v>-999</v>
      </c>
      <c r="Z10" s="43">
        <f t="shared" si="5"/>
        <v>43599.5</v>
      </c>
      <c r="AA10" s="22">
        <v>113413.7</v>
      </c>
      <c r="AB10">
        <v>-999</v>
      </c>
      <c r="AC10">
        <v>113413.7</v>
      </c>
      <c r="AD10">
        <v>12389.4</v>
      </c>
      <c r="AE10">
        <v>-999</v>
      </c>
      <c r="AF10">
        <v>12389.4</v>
      </c>
      <c r="AG10">
        <v>220722</v>
      </c>
      <c r="AH10">
        <v>-999</v>
      </c>
      <c r="AI10">
        <v>220722</v>
      </c>
      <c r="AJ10">
        <v>225690.7</v>
      </c>
      <c r="AK10">
        <v>-999</v>
      </c>
      <c r="AL10">
        <v>225690.7</v>
      </c>
      <c r="AM10">
        <v>24654.6</v>
      </c>
      <c r="AN10">
        <v>-999</v>
      </c>
      <c r="AO10">
        <v>24654.6</v>
      </c>
      <c r="AP10">
        <v>439231.7</v>
      </c>
      <c r="AQ10">
        <v>-999</v>
      </c>
      <c r="AR10">
        <v>439231.7</v>
      </c>
      <c r="AS10">
        <v>1036101.96</v>
      </c>
      <c r="AT10" s="22">
        <f t="shared" si="6"/>
        <v>188798.0256423075</v>
      </c>
      <c r="AU10">
        <f t="shared" si="6"/>
        <v>-999</v>
      </c>
      <c r="AV10">
        <f t="shared" si="6"/>
        <v>188798.0256423075</v>
      </c>
      <c r="AW10">
        <f t="shared" si="6"/>
        <v>20624.441834565001</v>
      </c>
      <c r="AX10">
        <f t="shared" si="6"/>
        <v>-999</v>
      </c>
      <c r="AY10">
        <f t="shared" si="6"/>
        <v>20624.441834565001</v>
      </c>
      <c r="AZ10">
        <f t="shared" si="6"/>
        <v>367432.48669095</v>
      </c>
      <c r="BA10">
        <f t="shared" si="6"/>
        <v>-999</v>
      </c>
      <c r="BB10">
        <f t="shared" si="6"/>
        <v>367432.48669095</v>
      </c>
      <c r="BC10">
        <f t="shared" si="6"/>
        <v>375703.80444188253</v>
      </c>
      <c r="BD10">
        <f t="shared" si="6"/>
        <v>-999</v>
      </c>
      <c r="BE10">
        <f t="shared" si="6"/>
        <v>375703.80444188253</v>
      </c>
      <c r="BF10">
        <f t="shared" si="6"/>
        <v>41042.129857335</v>
      </c>
      <c r="BG10">
        <f t="shared" si="6"/>
        <v>-999</v>
      </c>
      <c r="BH10">
        <f t="shared" si="6"/>
        <v>41042.129857335</v>
      </c>
      <c r="BI10">
        <f t="shared" si="6"/>
        <v>731182.1919178575</v>
      </c>
      <c r="BJ10">
        <f t="shared" si="7"/>
        <v>-999</v>
      </c>
      <c r="BK10">
        <f t="shared" si="7"/>
        <v>731182.1919178575</v>
      </c>
      <c r="BL10">
        <f t="shared" si="7"/>
        <v>1724782.8473290708</v>
      </c>
      <c r="BM10" s="22">
        <f>-17.17-(0.1023*E10)+F10*(100-8.576-13.681)</f>
        <v>24.817819907741566</v>
      </c>
      <c r="BN10">
        <f>IF(AT10&lt;&gt;-999,AT10*$BM10, -999)</f>
        <v>4685555.3993279617</v>
      </c>
      <c r="BO10">
        <f>IF(AU10&lt;&gt;-999,AU10*$BM10, -999)</f>
        <v>-999</v>
      </c>
      <c r="BP10" s="25">
        <f>IF(AV10&lt;&gt;-999,AV10*$BM10, -999)</f>
        <v>4685555.3993279617</v>
      </c>
      <c r="BQ10">
        <f>-19.943-(0.1023*E10)+F10*(100-8.576-13.681)</f>
        <v>22.044819907741562</v>
      </c>
      <c r="BR10">
        <f>IF(AW10&lt;&gt;-999,AW10*$BQ10, -999)</f>
        <v>454662.10594067647</v>
      </c>
      <c r="BS10">
        <f>IF(AX10&lt;&gt;-999,AX10*$BQ10, -999)</f>
        <v>-999</v>
      </c>
      <c r="BT10" s="25">
        <f>IF(AY10&lt;&gt;-999,AY10*$BQ10, -999)</f>
        <v>454662.10594067647</v>
      </c>
      <c r="BU10">
        <f>-25.871-(0.1023*E10)+F10*(100-8.576-13.681)</f>
        <v>16.116819907741565</v>
      </c>
      <c r="BV10">
        <f>IF(AZ10&lt;&gt;-999,AZ10*$BU10, -999)</f>
        <v>5921843.2162516909</v>
      </c>
      <c r="BW10">
        <f>IF(BA10&lt;&gt;-999,BA10*$BU10, -999)</f>
        <v>-999</v>
      </c>
      <c r="BX10" s="25">
        <f>IF(BB10&lt;&gt;-999,BB10*$BU10, -999)</f>
        <v>5921843.2162516909</v>
      </c>
      <c r="BY10">
        <f>-25.245-(0.1023*E10)+F10*(100-8.576-13.681)</f>
        <v>16.742819907741563</v>
      </c>
      <c r="BZ10">
        <f>IF(BC10&lt;&gt;-999,BC10*$BY10, -999)</f>
        <v>6290341.1364237936</v>
      </c>
      <c r="CA10">
        <f>IF(BD10&lt;&gt;-999,BD10*$BY10, -999)</f>
        <v>-999</v>
      </c>
      <c r="CB10" s="25">
        <f>IF(BE10&lt;&gt;-999,BE10*$BY10, -999)</f>
        <v>6290341.1364237936</v>
      </c>
      <c r="CC10">
        <f>-29.317-(0.1023*E10)+F10*(100-8.576-13.681)</f>
        <v>12.67081990774156</v>
      </c>
      <c r="CD10">
        <f>IF(BF10&lt;&gt;-999,BF10*$CC10, -999)</f>
        <v>520037.43605243455</v>
      </c>
      <c r="CE10">
        <f>IF(BG10&lt;&gt;-999,BG10*$CC10, -999)</f>
        <v>-999</v>
      </c>
      <c r="CF10" s="25">
        <f>IF(BH10&lt;&gt;-999,BH10*$CC10, -999)</f>
        <v>520037.43605243455</v>
      </c>
      <c r="CG10">
        <f>-38.03-(0.1023*E10)+F10*(100-8.576-13.681)</f>
        <v>3.9578199077415661</v>
      </c>
      <c r="CH10">
        <f>IF(BI10&lt;&gt;-999,BI10*$CG10, -999)</f>
        <v>2893887.4353586109</v>
      </c>
      <c r="CI10">
        <f>IF(BJ10&lt;&gt;-999,BJ10*$CG10, -999)</f>
        <v>-999</v>
      </c>
      <c r="CJ10" s="25">
        <f>IF(BK10&lt;&gt;-999,BK10*$CG10, -999)</f>
        <v>2893887.4353586109</v>
      </c>
      <c r="CK10" s="26">
        <f t="shared" si="8"/>
        <v>20766326.729355168</v>
      </c>
      <c r="CL10">
        <f t="shared" si="9"/>
        <v>-24.88473100289854</v>
      </c>
      <c r="CM10">
        <f t="shared" si="10"/>
        <v>33.13820101950742</v>
      </c>
      <c r="CN10">
        <f t="shared" si="11"/>
        <v>-81.905396513310009</v>
      </c>
      <c r="CO10" s="22">
        <f t="shared" si="12"/>
        <v>-40.08</v>
      </c>
      <c r="CP10">
        <f>IF(AT10&lt;&gt;-999,AT10*$CO10, -999)</f>
        <v>-7567024.8677436849</v>
      </c>
      <c r="CQ10">
        <f>IF(AU10&lt;&gt;-999,AU10*$CO10, -999)</f>
        <v>-999</v>
      </c>
      <c r="CR10" s="27">
        <f>IF(AV10&lt;&gt;-999,AV10*$CO10, -999)</f>
        <v>-7567024.8677436849</v>
      </c>
      <c r="CS10">
        <f t="shared" si="13"/>
        <v>-42.853000000000002</v>
      </c>
      <c r="CT10">
        <f>IF(AW10&lt;&gt;-999,AW10*$CS10, -999)</f>
        <v>-883819.20593661407</v>
      </c>
      <c r="CU10">
        <f>IF(AX10&lt;&gt;-999,AX10*$CS10, -999)</f>
        <v>-999</v>
      </c>
      <c r="CV10" s="27">
        <f>IF(AY10&lt;&gt;-999,AY10*$CS10, -999)</f>
        <v>-883819.20593661407</v>
      </c>
      <c r="CW10">
        <f t="shared" si="14"/>
        <v>-48.780999999999999</v>
      </c>
      <c r="CX10">
        <f>IF(AZ10&lt;&gt;-999,AZ10*$CO10, -999)</f>
        <v>-14726694.066573275</v>
      </c>
      <c r="CY10">
        <f>IF(BA10&lt;&gt;-999,BA10*$CO10, -999)</f>
        <v>-999</v>
      </c>
      <c r="CZ10" s="27">
        <f>IF(BB10&lt;&gt;-999,BB10*$CO10, -999)</f>
        <v>-14726694.066573275</v>
      </c>
      <c r="DA10">
        <f t="shared" si="15"/>
        <v>-48.155000000000001</v>
      </c>
      <c r="DB10">
        <f>IF(BC10&lt;&gt;-999,BC10*$DA10, -999)</f>
        <v>-18092016.702898853</v>
      </c>
      <c r="DC10">
        <f>IF(BD10&lt;&gt;-999,BD10*$DA10, -999)</f>
        <v>-999</v>
      </c>
      <c r="DD10" s="27">
        <f>IF(BE10&lt;&gt;-999,BE10*$DA10, -999)</f>
        <v>-18092016.702898853</v>
      </c>
      <c r="DE10">
        <f t="shared" si="16"/>
        <v>-52.227000000000004</v>
      </c>
      <c r="DF10">
        <f>IF(BF10&lt;&gt;-999,BF10*$DE10, -999)</f>
        <v>-2143507.3160590352</v>
      </c>
      <c r="DG10">
        <f>IF(BG10&lt;&gt;-999,BG10*$DE10, -999)</f>
        <v>-999</v>
      </c>
      <c r="DH10" s="27">
        <f>IF(BH10&lt;&gt;-999,BH10*$DE10, -999)</f>
        <v>-2143507.3160590352</v>
      </c>
      <c r="DI10">
        <f t="shared" si="17"/>
        <v>-60.94</v>
      </c>
      <c r="DJ10">
        <f>IF(BI10&lt;&gt;-999,BI10*$DI10, -999)</f>
        <v>-44558242.775474235</v>
      </c>
      <c r="DK10">
        <f>IF(BJ10&lt;&gt;-999,BJ10*$DI10, -999)</f>
        <v>-999</v>
      </c>
      <c r="DL10" s="27">
        <f>IF(BK10&lt;&gt;-999,BK10*$DI10, -999)</f>
        <v>-44558242.775474235</v>
      </c>
      <c r="DM10" s="28">
        <f t="shared" si="18"/>
        <v>-87971304.934685707</v>
      </c>
      <c r="DN10" s="22">
        <f t="shared" si="19"/>
        <v>-17.170000000000002</v>
      </c>
      <c r="DO10">
        <f>IF(AT10&lt;&gt;-999,AT10*$DN10, -999)</f>
        <v>-3241662.1002784204</v>
      </c>
      <c r="DP10">
        <f>IF(AU10&lt;&gt;-999,AU10*$DN10, -999)</f>
        <v>-999</v>
      </c>
      <c r="DQ10" s="24">
        <f>IF(AV10&lt;&gt;-999,AV10*$DN10, -999)</f>
        <v>-3241662.1002784204</v>
      </c>
      <c r="DR10">
        <f t="shared" si="20"/>
        <v>-19.943000000000001</v>
      </c>
      <c r="DS10">
        <f>IF(AW10&lt;&gt;-999,AW10*$DR10, -999)</f>
        <v>-411313.24350672984</v>
      </c>
      <c r="DT10">
        <f>IF(AX10&lt;&gt;-999,AX10*$DR10, -999)</f>
        <v>-999</v>
      </c>
      <c r="DU10" s="24">
        <f>IF(AY10&lt;&gt;-999,AY10*$DR10, -999)</f>
        <v>-411313.24350672984</v>
      </c>
      <c r="DV10">
        <f t="shared" si="21"/>
        <v>-25.870999999999999</v>
      </c>
      <c r="DW10">
        <f>IF(AZ10&lt;&gt;-999,AZ10*$DV10, -999)</f>
        <v>-9505845.8631815668</v>
      </c>
      <c r="DX10">
        <f>IF(BA10&lt;&gt;-999,BA10*$DV10, -999)</f>
        <v>-999</v>
      </c>
      <c r="DY10" s="24">
        <f>IF(BB10&lt;&gt;-999,BB10*$DV10, -999)</f>
        <v>-9505845.8631815668</v>
      </c>
      <c r="DZ10">
        <f t="shared" si="22"/>
        <v>-25.245000000000001</v>
      </c>
      <c r="EA10">
        <f>IF(BC10&lt;&gt;-999, BC10*$DZ10, -999)</f>
        <v>-9484642.5431353245</v>
      </c>
      <c r="EB10">
        <f>IF(BD10&lt;&gt;-999, BD10*$DZ10, -999)</f>
        <v>-999</v>
      </c>
      <c r="EC10" s="24">
        <f>IF(BE10&lt;&gt;-999, BE10*$DZ10, -999)</f>
        <v>-9484642.5431353245</v>
      </c>
      <c r="ED10">
        <f t="shared" si="23"/>
        <v>-29.317</v>
      </c>
      <c r="EE10">
        <f>IF(BF10&lt;&gt;-999,BF10*$ED10, -999)</f>
        <v>-1203232.1210274901</v>
      </c>
      <c r="EF10">
        <f>IF(BG10&lt;&gt;-999,BG10*$ED10, -999)</f>
        <v>-999</v>
      </c>
      <c r="EG10" s="24">
        <f>IF(BH10&lt;&gt;-999,BH10*$ED10, -999)</f>
        <v>-1203232.1210274901</v>
      </c>
      <c r="EH10">
        <f t="shared" si="24"/>
        <v>-38.03</v>
      </c>
      <c r="EI10">
        <f>IF(BI10&lt;&gt;-999,BI10*$EH10, -999)</f>
        <v>-27806858.758636121</v>
      </c>
      <c r="EJ10">
        <f>IF(BJ10&lt;&gt;-999,BJ10*$EH10, -999)</f>
        <v>-999</v>
      </c>
      <c r="EK10" s="24">
        <f>IF(BK10&lt;&gt;-999,BK10*$EH10, -999)</f>
        <v>-27806858.758636121</v>
      </c>
      <c r="EL10" s="28">
        <f t="shared" si="25"/>
        <v>-51653554.62976566</v>
      </c>
      <c r="EM10" s="22">
        <f>-17.17-(0.1023*G10)+H10*(100+102.093-66.644-64.243)</f>
        <v>30.0967009895747</v>
      </c>
      <c r="EN10">
        <f>IF(AT10&lt;&gt;-999,AT10*$EM10, -999)</f>
        <v>5682197.7251785854</v>
      </c>
      <c r="EO10">
        <f>IF(AU10&lt;&gt;-999,AU10*$EM10, -999)</f>
        <v>-999</v>
      </c>
      <c r="EP10" s="23">
        <f>IF(AV10&lt;&gt;-999,AV10*$EM10, -999)</f>
        <v>5682197.7251785854</v>
      </c>
      <c r="EQ10">
        <f>-19.943-(0.1023*G10)+H10*(100+102.093-66.644-64.243)</f>
        <v>27.323700989574704</v>
      </c>
      <c r="ER10">
        <f>IF(AW10&lt;&gt;-999,AW10*$EQ10, -999)</f>
        <v>563536.08176452969</v>
      </c>
      <c r="ES10">
        <f>IF(AX10&lt;&gt;-999,AX10*$EQ10, -999)</f>
        <v>-999</v>
      </c>
      <c r="ET10" s="23">
        <f>IF(AY10&lt;&gt;-999,AY10*$EQ10, -999)</f>
        <v>563536.08176452969</v>
      </c>
      <c r="EU10">
        <f>-25.871-(0.1023*G10)+H10*(100+102.093-66.644-64.243)</f>
        <v>21.395700989574706</v>
      </c>
      <c r="EV10">
        <f>IF(AZ10&lt;&gt;-999,AZ10*$EU10, -999)</f>
        <v>7861475.619095454</v>
      </c>
      <c r="EW10">
        <f>IF(BA10&lt;&gt;-999,BA10*$EU10, -999)</f>
        <v>-999</v>
      </c>
      <c r="EX10" s="23">
        <f>IF(BB10&lt;&gt;-999,BB10*$EU10, -999)</f>
        <v>7861475.619095454</v>
      </c>
      <c r="EY10">
        <f>-25.245-(0.1023*G10)+H10*(100+102.093-66.644-64.243)</f>
        <v>22.021700989574704</v>
      </c>
      <c r="EZ10">
        <f>IF(BC10&lt;&gt;-999, BC10*$EY10, -999)</f>
        <v>8273636.8420647858</v>
      </c>
      <c r="FA10">
        <f>IF(BD10&lt;&gt;-999, BD10*$EY10, -999)</f>
        <v>-999</v>
      </c>
      <c r="FB10" s="23">
        <f>IF(BE10&lt;&gt;-999, BE10*$EY10, -999)</f>
        <v>8273636.8420647858</v>
      </c>
      <c r="FC10">
        <f>-29.317-(0.1023*G10)+H10*(100+102.093-66.644-64.243)</f>
        <v>17.949700989574701</v>
      </c>
      <c r="FD10">
        <f>IF(BF10&lt;&gt;-999,BF10*$FC10, -999)</f>
        <v>736693.95891445945</v>
      </c>
      <c r="FE10">
        <f>IF(BG10&lt;&gt;-999,BG10*$FC10, -999)</f>
        <v>-999</v>
      </c>
      <c r="FF10" s="23">
        <f>IF(BH10&lt;&gt;-999,BH10*$FC10, -999)</f>
        <v>736693.95891445945</v>
      </c>
      <c r="FG10">
        <f>-38.03-(0.1023*G10)+H10*(100+102.093-66.644-64.243)</f>
        <v>9.2367009895747003</v>
      </c>
      <c r="FH10">
        <f>IF(BI10&lt;&gt;-999,BI10*$FG10, -999)</f>
        <v>6753711.2756470731</v>
      </c>
      <c r="FI10">
        <f>IF(BJ10&lt;&gt;-999,BJ10*$FG10, -999)</f>
        <v>-999</v>
      </c>
      <c r="FJ10" s="23">
        <f>IF(BK10&lt;&gt;-999,BK10*$FG10, -999)</f>
        <v>6753711.2756470731</v>
      </c>
      <c r="FK10" s="28">
        <f t="shared" si="26"/>
        <v>29871251.502664886</v>
      </c>
      <c r="FL10" s="22">
        <f t="shared" si="28"/>
        <v>10.012280000000011</v>
      </c>
      <c r="FM10">
        <f>IF(AT10&lt;&gt;-999,AT10*$FL10, -999)</f>
        <v>1890298.6961779648</v>
      </c>
      <c r="FN10">
        <f>IF(AU10&lt;&gt;-999,AU10*$FL10, -999)</f>
        <v>-999</v>
      </c>
      <c r="FO10" s="29">
        <f>IF(AV10&lt;&gt;-999,AV10*$FL10, -999)</f>
        <v>1890298.6961779648</v>
      </c>
      <c r="FP10">
        <f t="shared" si="29"/>
        <v>7.2392800000000115</v>
      </c>
      <c r="FQ10">
        <f>IF(AW10&lt;&gt;-999,AW10*$FP10, -999)</f>
        <v>149306.10928412995</v>
      </c>
      <c r="FR10">
        <f>IF(AX10&lt;&gt;-999,AX10*$FP10, -999)</f>
        <v>-999</v>
      </c>
      <c r="FS10" s="29">
        <f>IF(AY10&lt;&gt;-999,AY10*$FP10, -999)</f>
        <v>149306.10928412995</v>
      </c>
      <c r="FT10">
        <f t="shared" si="30"/>
        <v>1.3112800000000142</v>
      </c>
      <c r="FU10">
        <f>IF(AZ10&lt;&gt;-999,AZ10*$FT10, -999)</f>
        <v>481806.87114811415</v>
      </c>
      <c r="FV10">
        <f>IF(BA10&lt;&gt;-999,BA10*$FT10, -999)</f>
        <v>-999</v>
      </c>
      <c r="FW10" s="29">
        <f>IF(BB10&lt;&gt;-999,BB10*$FT10, -999)</f>
        <v>481806.87114811415</v>
      </c>
      <c r="FX10">
        <f t="shared" si="31"/>
        <v>1.9372800000000119</v>
      </c>
      <c r="FY10">
        <f>IF(BC10&lt;&gt;-999, BC10*$FX10, -999)</f>
        <v>727843.46626917471</v>
      </c>
      <c r="FZ10">
        <f>IF(BD10&lt;&gt;-999, BD10*$FX10, -999)</f>
        <v>-999</v>
      </c>
      <c r="GA10" s="29">
        <f>IF(BE10&lt;&gt;-999, BE10*$FX10, -999)</f>
        <v>727843.46626917471</v>
      </c>
      <c r="GB10">
        <f t="shared" si="32"/>
        <v>-2.1347199999999873</v>
      </c>
      <c r="GC10">
        <f>IF(BF10&lt;&gt;-999,BF10*$GB10, -999)</f>
        <v>-87613.455449049652</v>
      </c>
      <c r="GD10">
        <f>IF(BG10&lt;&gt;-999,BG10*$GB10, -999)</f>
        <v>-999</v>
      </c>
      <c r="GE10" s="29">
        <f>IF(BH10&lt;&gt;-999,BH10*$GB10, -999)</f>
        <v>-87613.455449049652</v>
      </c>
      <c r="GF10">
        <f t="shared" si="33"/>
        <v>-10.847719999999988</v>
      </c>
      <c r="GG10">
        <f>IF(BI10&lt;&gt;-999,BI10*$GF10, -999)</f>
        <v>-7931659.6869111722</v>
      </c>
      <c r="GH10">
        <f>IF(BJ10&lt;&gt;-999,BJ10*$GF10, -999)</f>
        <v>-999</v>
      </c>
      <c r="GI10" s="29">
        <f>IF(BK10&lt;&gt;-999,BK10*$GF10, -999)</f>
        <v>-7931659.6869111722</v>
      </c>
      <c r="GJ10" s="30">
        <f t="shared" si="27"/>
        <v>-4770017.999480838</v>
      </c>
    </row>
    <row r="11" spans="1:192">
      <c r="A11" s="48" t="s">
        <v>138</v>
      </c>
      <c r="B11" s="48" t="s">
        <v>149</v>
      </c>
      <c r="C11" s="49">
        <v>165</v>
      </c>
      <c r="D11" s="50">
        <v>0.99299999999999999</v>
      </c>
      <c r="E11" s="49">
        <v>222.492942615342</v>
      </c>
      <c r="F11" s="49">
        <v>0.77859423884988099</v>
      </c>
      <c r="G11" s="49">
        <v>86.597348166153694</v>
      </c>
      <c r="H11" s="49">
        <v>0.816895232671354</v>
      </c>
      <c r="I11" s="42">
        <v>9969</v>
      </c>
      <c r="J11" s="43">
        <v>-999</v>
      </c>
      <c r="K11" s="43">
        <f t="shared" si="0"/>
        <v>9969</v>
      </c>
      <c r="L11" s="43">
        <v>6174</v>
      </c>
      <c r="M11" s="43">
        <v>-999</v>
      </c>
      <c r="N11" s="43">
        <f t="shared" si="1"/>
        <v>6174</v>
      </c>
      <c r="O11" s="43">
        <v>45894.6</v>
      </c>
      <c r="P11" s="43">
        <v>-999</v>
      </c>
      <c r="Q11" s="43">
        <f t="shared" si="2"/>
        <v>45894.6</v>
      </c>
      <c r="R11" s="43">
        <v>7726.6</v>
      </c>
      <c r="S11" s="43">
        <v>-999</v>
      </c>
      <c r="T11" s="43">
        <f t="shared" si="3"/>
        <v>7726.6</v>
      </c>
      <c r="U11" s="43">
        <v>4785.2</v>
      </c>
      <c r="V11" s="43">
        <v>-999</v>
      </c>
      <c r="W11" s="43">
        <f t="shared" si="4"/>
        <v>4785.2</v>
      </c>
      <c r="X11" s="43">
        <v>35571.4</v>
      </c>
      <c r="Y11" s="43">
        <v>-999</v>
      </c>
      <c r="Z11" s="43">
        <f t="shared" si="5"/>
        <v>35571.4</v>
      </c>
      <c r="AA11" s="22">
        <v>132921.9</v>
      </c>
      <c r="AB11">
        <v>-999</v>
      </c>
      <c r="AC11">
        <v>132921.9</v>
      </c>
      <c r="AD11">
        <v>82320.899999999994</v>
      </c>
      <c r="AE11">
        <v>-999</v>
      </c>
      <c r="AF11">
        <v>82320.899999999994</v>
      </c>
      <c r="AG11">
        <v>611938.30000000005</v>
      </c>
      <c r="AH11">
        <v>-999</v>
      </c>
      <c r="AI11">
        <v>611938.30000000005</v>
      </c>
      <c r="AJ11">
        <v>103023.3</v>
      </c>
      <c r="AK11">
        <v>-999</v>
      </c>
      <c r="AL11">
        <v>103023.3</v>
      </c>
      <c r="AM11">
        <v>63804.2</v>
      </c>
      <c r="AN11">
        <v>-999</v>
      </c>
      <c r="AO11">
        <v>63804.2</v>
      </c>
      <c r="AP11">
        <v>474293</v>
      </c>
      <c r="AQ11">
        <v>-999</v>
      </c>
      <c r="AR11">
        <v>474293</v>
      </c>
      <c r="AS11">
        <v>1468301.57</v>
      </c>
      <c r="AT11" s="22">
        <f t="shared" si="6"/>
        <v>221273.02331750249</v>
      </c>
      <c r="AU11">
        <f t="shared" si="6"/>
        <v>-999</v>
      </c>
      <c r="AV11">
        <f t="shared" si="6"/>
        <v>221273.02331750249</v>
      </c>
      <c r="AW11">
        <f t="shared" si="6"/>
        <v>137038.32419802749</v>
      </c>
      <c r="AX11">
        <f t="shared" si="6"/>
        <v>-999</v>
      </c>
      <c r="AY11">
        <f t="shared" si="6"/>
        <v>137038.32419802749</v>
      </c>
      <c r="AZ11">
        <f t="shared" si="6"/>
        <v>1018684.1876678927</v>
      </c>
      <c r="BA11">
        <f t="shared" si="6"/>
        <v>-999</v>
      </c>
      <c r="BB11">
        <f t="shared" si="6"/>
        <v>1018684.1876678927</v>
      </c>
      <c r="BC11">
        <f t="shared" si="6"/>
        <v>171501.2880732675</v>
      </c>
      <c r="BD11">
        <f t="shared" si="6"/>
        <v>-999</v>
      </c>
      <c r="BE11">
        <f t="shared" si="6"/>
        <v>171501.2880732675</v>
      </c>
      <c r="BF11">
        <f t="shared" si="6"/>
        <v>106213.861179795</v>
      </c>
      <c r="BG11">
        <f t="shared" si="6"/>
        <v>-999</v>
      </c>
      <c r="BH11">
        <f t="shared" si="6"/>
        <v>106213.861179795</v>
      </c>
      <c r="BI11">
        <f t="shared" si="6"/>
        <v>789548.19370117504</v>
      </c>
      <c r="BJ11">
        <f t="shared" si="7"/>
        <v>-999</v>
      </c>
      <c r="BK11">
        <f t="shared" si="7"/>
        <v>789548.19370117504</v>
      </c>
      <c r="BL11">
        <f t="shared" si="7"/>
        <v>2444258.8281971258</v>
      </c>
      <c r="BM11" s="22">
        <f>-17.17-(0.1023*E11)+F11*(100-8.576-13.681)</f>
        <v>20.599223881356821</v>
      </c>
      <c r="BN11">
        <f>IF(AT11&lt;&gt;-999,AT11*$BM11, -999)</f>
        <v>4558052.5462219222</v>
      </c>
      <c r="BO11">
        <f>IF(AU11&lt;&gt;-999,AU11*$BM11, -999)</f>
        <v>-999</v>
      </c>
      <c r="BP11" s="25">
        <f>IF(AV11&lt;&gt;-999,AV11*$BM11, -999)</f>
        <v>4558052.5462219222</v>
      </c>
      <c r="BQ11">
        <f>-19.943-(0.1023*E11)+F11*(100-8.576-13.681)</f>
        <v>17.826223881356817</v>
      </c>
      <c r="BR11">
        <f>IF(AW11&lt;&gt;-999,AW11*$BQ11, -999)</f>
        <v>2442875.8474799953</v>
      </c>
      <c r="BS11">
        <f>IF(AX11&lt;&gt;-999,AX11*$BQ11, -999)</f>
        <v>-999</v>
      </c>
      <c r="BT11" s="25">
        <f>IF(AY11&lt;&gt;-999,AY11*$BQ11, -999)</f>
        <v>2442875.8474799953</v>
      </c>
      <c r="BU11">
        <f>-25.871-(0.1023*E11)+F11*(100-8.576-13.681)</f>
        <v>11.89822388135682</v>
      </c>
      <c r="BV11">
        <f>IF(AZ11&lt;&gt;-999,AZ11*$BU11, -999)</f>
        <v>12120532.529270694</v>
      </c>
      <c r="BW11">
        <f>IF(BA11&lt;&gt;-999,BA11*$BU11, -999)</f>
        <v>-999</v>
      </c>
      <c r="BX11" s="25">
        <f>IF(BB11&lt;&gt;-999,BB11*$BU11, -999)</f>
        <v>12120532.529270694</v>
      </c>
      <c r="BY11">
        <f>-25.245-(0.1023*E11)+F11*(100-8.576-13.681)</f>
        <v>12.524223881356825</v>
      </c>
      <c r="BZ11">
        <f>IF(BC11&lt;&gt;-999,BC11*$BY11, -999)</f>
        <v>2147920.5277706734</v>
      </c>
      <c r="CA11">
        <f>IF(BD11&lt;&gt;-999,BD11*$BY11, -999)</f>
        <v>-999</v>
      </c>
      <c r="CB11" s="25">
        <f>IF(BE11&lt;&gt;-999,BE11*$BY11, -999)</f>
        <v>2147920.5277706734</v>
      </c>
      <c r="CC11">
        <f>-29.317-(0.1023*E11)+F11*(100-8.576-13.681)</f>
        <v>8.4522238813568222</v>
      </c>
      <c r="CD11">
        <f>IF(BF11&lt;&gt;-999,BF11*$CC11, -999)</f>
        <v>897743.3339949816</v>
      </c>
      <c r="CE11">
        <f>IF(BG11&lt;&gt;-999,BG11*$CC11, -999)</f>
        <v>-999</v>
      </c>
      <c r="CF11" s="25">
        <f>IF(BH11&lt;&gt;-999,BH11*$CC11, -999)</f>
        <v>897743.3339949816</v>
      </c>
      <c r="CG11">
        <f>-38.03-(0.1023*E11)+F11*(100-8.576-13.681)</f>
        <v>-0.26077611864317873</v>
      </c>
      <c r="CH11">
        <f>IF(BI11&lt;&gt;-999,BI11*$CG11, -999)</f>
        <v>-205895.31343512508</v>
      </c>
      <c r="CI11">
        <f>IF(BJ11&lt;&gt;-999,BJ11*$CG11, -999)</f>
        <v>-999</v>
      </c>
      <c r="CJ11" s="25">
        <f>IF(BK11&lt;&gt;-999,BK11*$CG11, -999)</f>
        <v>-205895.31343512508</v>
      </c>
      <c r="CK11" s="26">
        <f t="shared" si="8"/>
        <v>21961229.471303139</v>
      </c>
      <c r="CL11">
        <f t="shared" si="9"/>
        <v>-20.209242775302002</v>
      </c>
      <c r="CM11">
        <f t="shared" si="10"/>
        <v>38.158771952279551</v>
      </c>
      <c r="CN11">
        <f t="shared" si="11"/>
        <v>-77.569030160796373</v>
      </c>
      <c r="CO11" s="22">
        <f t="shared" si="12"/>
        <v>-40.08</v>
      </c>
      <c r="CP11">
        <f>IF(AT11&lt;&gt;-999,AT11*$CO11, -999)</f>
        <v>-8868622.7745654993</v>
      </c>
      <c r="CQ11">
        <f>IF(AU11&lt;&gt;-999,AU11*$CO11, -999)</f>
        <v>-999</v>
      </c>
      <c r="CR11" s="27">
        <f>IF(AV11&lt;&gt;-999,AV11*$CO11, -999)</f>
        <v>-8868622.7745654993</v>
      </c>
      <c r="CS11">
        <f t="shared" si="13"/>
        <v>-42.853000000000002</v>
      </c>
      <c r="CT11">
        <f>IF(AW11&lt;&gt;-999,AW11*$CS11, -999)</f>
        <v>-5872503.3068580721</v>
      </c>
      <c r="CU11">
        <f>IF(AX11&lt;&gt;-999,AX11*$CS11, -999)</f>
        <v>-999</v>
      </c>
      <c r="CV11" s="27">
        <f>IF(AY11&lt;&gt;-999,AY11*$CS11, -999)</f>
        <v>-5872503.3068580721</v>
      </c>
      <c r="CW11">
        <f t="shared" si="14"/>
        <v>-48.780999999999999</v>
      </c>
      <c r="CX11">
        <f>IF(AZ11&lt;&gt;-999,AZ11*$CO11, -999)</f>
        <v>-40828862.241729133</v>
      </c>
      <c r="CY11">
        <f>IF(BA11&lt;&gt;-999,BA11*$CO11, -999)</f>
        <v>-999</v>
      </c>
      <c r="CZ11" s="27">
        <f>IF(BB11&lt;&gt;-999,BB11*$CO11, -999)</f>
        <v>-40828862.241729133</v>
      </c>
      <c r="DA11">
        <f t="shared" si="15"/>
        <v>-48.155000000000001</v>
      </c>
      <c r="DB11">
        <f>IF(BC11&lt;&gt;-999,BC11*$DA11, -999)</f>
        <v>-8258644.5271681966</v>
      </c>
      <c r="DC11">
        <f>IF(BD11&lt;&gt;-999,BD11*$DA11, -999)</f>
        <v>-999</v>
      </c>
      <c r="DD11" s="27">
        <f>IF(BE11&lt;&gt;-999,BE11*$DA11, -999)</f>
        <v>-8258644.5271681966</v>
      </c>
      <c r="DE11">
        <f t="shared" si="16"/>
        <v>-52.227000000000004</v>
      </c>
      <c r="DF11">
        <f>IF(BF11&lt;&gt;-999,BF11*$DE11, -999)</f>
        <v>-5547231.3278371543</v>
      </c>
      <c r="DG11">
        <f>IF(BG11&lt;&gt;-999,BG11*$DE11, -999)</f>
        <v>-999</v>
      </c>
      <c r="DH11" s="27">
        <f>IF(BH11&lt;&gt;-999,BH11*$DE11, -999)</f>
        <v>-5547231.3278371543</v>
      </c>
      <c r="DI11">
        <f t="shared" si="17"/>
        <v>-60.94</v>
      </c>
      <c r="DJ11">
        <f>IF(BI11&lt;&gt;-999,BI11*$DI11, -999)</f>
        <v>-48115066.924149603</v>
      </c>
      <c r="DK11">
        <f>IF(BJ11&lt;&gt;-999,BJ11*$DI11, -999)</f>
        <v>-999</v>
      </c>
      <c r="DL11" s="27">
        <f>IF(BK11&lt;&gt;-999,BK11*$DI11, -999)</f>
        <v>-48115066.924149603</v>
      </c>
      <c r="DM11" s="28">
        <f t="shared" si="18"/>
        <v>-117490931.10230766</v>
      </c>
      <c r="DN11" s="22">
        <f t="shared" si="19"/>
        <v>-17.170000000000002</v>
      </c>
      <c r="DO11">
        <f>IF(AT11&lt;&gt;-999,AT11*$DN11, -999)</f>
        <v>-3799257.8103615181</v>
      </c>
      <c r="DP11">
        <f>IF(AU11&lt;&gt;-999,AU11*$DN11, -999)</f>
        <v>-999</v>
      </c>
      <c r="DQ11" s="24">
        <f>IF(AV11&lt;&gt;-999,AV11*$DN11, -999)</f>
        <v>-3799257.8103615181</v>
      </c>
      <c r="DR11">
        <f t="shared" si="20"/>
        <v>-19.943000000000001</v>
      </c>
      <c r="DS11">
        <f>IF(AW11&lt;&gt;-999,AW11*$DR11, -999)</f>
        <v>-2732955.2994812625</v>
      </c>
      <c r="DT11">
        <f>IF(AX11&lt;&gt;-999,AX11*$DR11, -999)</f>
        <v>-999</v>
      </c>
      <c r="DU11" s="24">
        <f>IF(AY11&lt;&gt;-999,AY11*$DR11, -999)</f>
        <v>-2732955.2994812625</v>
      </c>
      <c r="DV11">
        <f t="shared" si="21"/>
        <v>-25.870999999999999</v>
      </c>
      <c r="DW11">
        <f>IF(AZ11&lt;&gt;-999,AZ11*$DV11, -999)</f>
        <v>-26354378.619156051</v>
      </c>
      <c r="DX11">
        <f>IF(BA11&lt;&gt;-999,BA11*$DV11, -999)</f>
        <v>-999</v>
      </c>
      <c r="DY11" s="24">
        <f>IF(BB11&lt;&gt;-999,BB11*$DV11, -999)</f>
        <v>-26354378.619156051</v>
      </c>
      <c r="DZ11">
        <f t="shared" si="22"/>
        <v>-25.245000000000001</v>
      </c>
      <c r="EA11">
        <f>IF(BC11&lt;&gt;-999, BC11*$DZ11, -999)</f>
        <v>-4329550.0174096385</v>
      </c>
      <c r="EB11">
        <f>IF(BD11&lt;&gt;-999, BD11*$DZ11, -999)</f>
        <v>-999</v>
      </c>
      <c r="EC11" s="24">
        <f>IF(BE11&lt;&gt;-999, BE11*$DZ11, -999)</f>
        <v>-4329550.0174096385</v>
      </c>
      <c r="ED11">
        <f t="shared" si="23"/>
        <v>-29.317</v>
      </c>
      <c r="EE11">
        <f>IF(BF11&lt;&gt;-999,BF11*$ED11, -999)</f>
        <v>-3113871.7682080502</v>
      </c>
      <c r="EF11">
        <f>IF(BG11&lt;&gt;-999,BG11*$ED11, -999)</f>
        <v>-999</v>
      </c>
      <c r="EG11" s="24">
        <f>IF(BH11&lt;&gt;-999,BH11*$ED11, -999)</f>
        <v>-3113871.7682080502</v>
      </c>
      <c r="EH11">
        <f t="shared" si="24"/>
        <v>-38.03</v>
      </c>
      <c r="EI11">
        <f>IF(BI11&lt;&gt;-999,BI11*$EH11, -999)</f>
        <v>-30026517.806455687</v>
      </c>
      <c r="EJ11">
        <f>IF(BJ11&lt;&gt;-999,BJ11*$EH11, -999)</f>
        <v>-999</v>
      </c>
      <c r="EK11" s="24">
        <f>IF(BK11&lt;&gt;-999,BK11*$EH11, -999)</f>
        <v>-30026517.806455687</v>
      </c>
      <c r="EL11" s="28">
        <f t="shared" si="25"/>
        <v>-70356531.321072206</v>
      </c>
      <c r="EM11" s="22">
        <f>-17.17-(0.1023*G11)+H11*(100+102.093-66.644-64.243)</f>
        <v>32.138933220198922</v>
      </c>
      <c r="EN11">
        <f>IF(AT11&lt;&gt;-999,AT11*$EM11, -999)</f>
        <v>7111478.9198327316</v>
      </c>
      <c r="EO11">
        <f>IF(AU11&lt;&gt;-999,AU11*$EM11, -999)</f>
        <v>-999</v>
      </c>
      <c r="EP11" s="23">
        <f>IF(AV11&lt;&gt;-999,AV11*$EM11, -999)</f>
        <v>7111478.9198327316</v>
      </c>
      <c r="EQ11">
        <f>-19.943-(0.1023*G11)+H11*(100+102.093-66.644-64.243)</f>
        <v>29.365933220198926</v>
      </c>
      <c r="ER11">
        <f>IF(AW11&lt;&gt;-999,AW11*$EQ11, -999)</f>
        <v>4024258.2770072459</v>
      </c>
      <c r="ES11">
        <f>IF(AX11&lt;&gt;-999,AX11*$EQ11, -999)</f>
        <v>-999</v>
      </c>
      <c r="ET11" s="23">
        <f>IF(AY11&lt;&gt;-999,AY11*$EQ11, -999)</f>
        <v>4024258.2770072459</v>
      </c>
      <c r="EU11">
        <f>-25.871-(0.1023*G11)+H11*(100+102.093-66.644-64.243)</f>
        <v>23.437933220198929</v>
      </c>
      <c r="EV11">
        <f>IF(AZ11&lt;&gt;-999,AZ11*$EU11, -999)</f>
        <v>23875851.963032663</v>
      </c>
      <c r="EW11">
        <f>IF(BA11&lt;&gt;-999,BA11*$EU11, -999)</f>
        <v>-999</v>
      </c>
      <c r="EX11" s="23">
        <f>IF(BB11&lt;&gt;-999,BB11*$EU11, -999)</f>
        <v>23875851.963032663</v>
      </c>
      <c r="EY11">
        <f>-25.245-(0.1023*G11)+H11*(100+102.093-66.644-64.243)</f>
        <v>24.063933220198926</v>
      </c>
      <c r="EZ11">
        <f>IF(BC11&lt;&gt;-999, BC11*$EY11, -999)</f>
        <v>4126995.5433732076</v>
      </c>
      <c r="FA11">
        <f>IF(BD11&lt;&gt;-999, BD11*$EY11, -999)</f>
        <v>-999</v>
      </c>
      <c r="FB11" s="23">
        <f>IF(BE11&lt;&gt;-999, BE11*$EY11, -999)</f>
        <v>4126995.5433732076</v>
      </c>
      <c r="FC11">
        <f>-29.317-(0.1023*G11)+H11*(100+102.093-66.644-64.243)</f>
        <v>19.991933220198931</v>
      </c>
      <c r="FD11">
        <f>IF(BF11&lt;&gt;-999,BF11*$FC11, -999)</f>
        <v>2123420.4197659413</v>
      </c>
      <c r="FE11">
        <f>IF(BG11&lt;&gt;-999,BG11*$FC11, -999)</f>
        <v>-999</v>
      </c>
      <c r="FF11" s="23">
        <f>IF(BH11&lt;&gt;-999,BH11*$FC11, -999)</f>
        <v>2123420.4197659413</v>
      </c>
      <c r="FG11">
        <f>-38.03-(0.1023*G11)+H11*(100+102.093-66.644-64.243)</f>
        <v>11.278933220198923</v>
      </c>
      <c r="FH11">
        <f>IF(BI11&lt;&gt;-999,BI11*$FG11, -999)</f>
        <v>8905261.3508842364</v>
      </c>
      <c r="FI11">
        <f>IF(BJ11&lt;&gt;-999,BJ11*$FG11, -999)</f>
        <v>-999</v>
      </c>
      <c r="FJ11" s="23">
        <f>IF(BK11&lt;&gt;-999,BK11*$FG11, -999)</f>
        <v>8905261.3508842364</v>
      </c>
      <c r="FK11" s="28">
        <f t="shared" si="26"/>
        <v>50167266.473896019</v>
      </c>
      <c r="FL11" s="22">
        <f t="shared" si="28"/>
        <v>10.012280000000011</v>
      </c>
      <c r="FM11">
        <f>IF(AT11&lt;&gt;-999,AT11*$FL11, -999)</f>
        <v>2215447.4659013664</v>
      </c>
      <c r="FN11">
        <f>IF(AU11&lt;&gt;-999,AU11*$FL11, -999)</f>
        <v>-999</v>
      </c>
      <c r="FO11" s="29">
        <f>IF(AV11&lt;&gt;-999,AV11*$FL11, -999)</f>
        <v>2215447.4659013664</v>
      </c>
      <c r="FP11">
        <f t="shared" si="29"/>
        <v>7.2392800000000115</v>
      </c>
      <c r="FQ11">
        <f>IF(AW11&lt;&gt;-999,AW11*$FP11, -999)</f>
        <v>992058.79960029805</v>
      </c>
      <c r="FR11">
        <f>IF(AX11&lt;&gt;-999,AX11*$FP11, -999)</f>
        <v>-999</v>
      </c>
      <c r="FS11" s="29">
        <f>IF(AY11&lt;&gt;-999,AY11*$FP11, -999)</f>
        <v>992058.79960029805</v>
      </c>
      <c r="FT11">
        <f t="shared" si="30"/>
        <v>1.3112800000000142</v>
      </c>
      <c r="FU11">
        <f>IF(AZ11&lt;&gt;-999,AZ11*$FT11, -999)</f>
        <v>1335780.2016051689</v>
      </c>
      <c r="FV11">
        <f>IF(BA11&lt;&gt;-999,BA11*$FT11, -999)</f>
        <v>-999</v>
      </c>
      <c r="FW11" s="29">
        <f>IF(BB11&lt;&gt;-999,BB11*$FT11, -999)</f>
        <v>1335780.2016051689</v>
      </c>
      <c r="FX11">
        <f t="shared" si="31"/>
        <v>1.9372800000000119</v>
      </c>
      <c r="FY11">
        <f>IF(BC11&lt;&gt;-999, BC11*$FX11, -999)</f>
        <v>332246.01535858167</v>
      </c>
      <c r="FZ11">
        <f>IF(BD11&lt;&gt;-999, BD11*$FX11, -999)</f>
        <v>-999</v>
      </c>
      <c r="GA11" s="29">
        <f>IF(BE11&lt;&gt;-999, BE11*$FX11, -999)</f>
        <v>332246.01535858167</v>
      </c>
      <c r="GB11">
        <f t="shared" si="32"/>
        <v>-2.1347199999999873</v>
      </c>
      <c r="GC11">
        <f>IF(BF11&lt;&gt;-999,BF11*$GB11, -999)</f>
        <v>-226736.85373773062</v>
      </c>
      <c r="GD11">
        <f>IF(BG11&lt;&gt;-999,BG11*$GB11, -999)</f>
        <v>-999</v>
      </c>
      <c r="GE11" s="29">
        <f>IF(BH11&lt;&gt;-999,BH11*$GB11, -999)</f>
        <v>-226736.85373773062</v>
      </c>
      <c r="GF11">
        <f t="shared" si="33"/>
        <v>-10.847719999999988</v>
      </c>
      <c r="GG11">
        <f>IF(BI11&lt;&gt;-999,BI11*$GF11, -999)</f>
        <v>-8564797.7317761015</v>
      </c>
      <c r="GH11">
        <f>IF(BJ11&lt;&gt;-999,BJ11*$GF11, -999)</f>
        <v>-999</v>
      </c>
      <c r="GI11" s="29">
        <f>IF(BK11&lt;&gt;-999,BK11*$GF11, -999)</f>
        <v>-8564797.7317761015</v>
      </c>
      <c r="GJ11" s="30">
        <f t="shared" si="27"/>
        <v>-3916002.1030484177</v>
      </c>
    </row>
    <row r="12" spans="1:192">
      <c r="A12" s="48" t="s">
        <v>138</v>
      </c>
      <c r="B12" s="48" t="s">
        <v>150</v>
      </c>
      <c r="C12" s="49">
        <v>166</v>
      </c>
      <c r="D12" s="50">
        <v>0.99299999999999999</v>
      </c>
      <c r="E12" s="49">
        <v>237.19994892012701</v>
      </c>
      <c r="F12" s="49">
        <v>0.75769113513563702</v>
      </c>
      <c r="G12" s="49">
        <v>99.766734477332307</v>
      </c>
      <c r="H12" s="49">
        <v>0.81636338447765699</v>
      </c>
      <c r="I12" s="42">
        <v>1408.8</v>
      </c>
      <c r="J12" s="43">
        <v>78560.7</v>
      </c>
      <c r="K12" s="43">
        <f t="shared" si="0"/>
        <v>79969.5</v>
      </c>
      <c r="L12" s="43">
        <v>760.9</v>
      </c>
      <c r="M12" s="43">
        <v>42433.7</v>
      </c>
      <c r="N12" s="43">
        <f t="shared" si="1"/>
        <v>43194.6</v>
      </c>
      <c r="O12" s="43">
        <v>4355.2</v>
      </c>
      <c r="P12" s="43">
        <v>242865.9</v>
      </c>
      <c r="Q12" s="43">
        <f t="shared" si="2"/>
        <v>247221.1</v>
      </c>
      <c r="R12" s="43">
        <v>668.7</v>
      </c>
      <c r="S12" s="43">
        <v>37291.5</v>
      </c>
      <c r="T12" s="43">
        <f t="shared" si="3"/>
        <v>37960.199999999997</v>
      </c>
      <c r="U12" s="43">
        <v>361.2</v>
      </c>
      <c r="V12" s="43">
        <v>20142.599999999999</v>
      </c>
      <c r="W12" s="43">
        <f t="shared" si="4"/>
        <v>20503.8</v>
      </c>
      <c r="X12" s="43">
        <v>2067.4</v>
      </c>
      <c r="Y12" s="43">
        <v>115284.5</v>
      </c>
      <c r="Z12" s="43">
        <f t="shared" si="5"/>
        <v>117351.9</v>
      </c>
      <c r="AA12" s="22">
        <v>3775.3</v>
      </c>
      <c r="AB12">
        <v>290156.90000000002</v>
      </c>
      <c r="AC12">
        <v>293932.2</v>
      </c>
      <c r="AD12">
        <v>2039.2</v>
      </c>
      <c r="AE12">
        <v>156725.20000000001</v>
      </c>
      <c r="AF12">
        <v>158764.4</v>
      </c>
      <c r="AG12">
        <v>11671.3</v>
      </c>
      <c r="AH12">
        <v>897003.3</v>
      </c>
      <c r="AI12">
        <v>908674.5</v>
      </c>
      <c r="AJ12">
        <v>1792.1</v>
      </c>
      <c r="AK12">
        <v>137732.79999999999</v>
      </c>
      <c r="AL12">
        <v>139524.9</v>
      </c>
      <c r="AM12">
        <v>968</v>
      </c>
      <c r="AN12">
        <v>74394.899999999994</v>
      </c>
      <c r="AO12">
        <v>75362.899999999994</v>
      </c>
      <c r="AP12">
        <v>5540.2</v>
      </c>
      <c r="AQ12">
        <v>425793</v>
      </c>
      <c r="AR12">
        <v>431333.2</v>
      </c>
      <c r="AS12">
        <v>2007592.11</v>
      </c>
      <c r="AT12" s="22">
        <f t="shared" si="6"/>
        <v>6284.6832984675002</v>
      </c>
      <c r="AU12">
        <f t="shared" si="6"/>
        <v>483019.68674412754</v>
      </c>
      <c r="AV12">
        <f t="shared" si="6"/>
        <v>489304.37004259508</v>
      </c>
      <c r="AW12">
        <f t="shared" si="6"/>
        <v>3394.6245814199997</v>
      </c>
      <c r="AX12">
        <f t="shared" si="6"/>
        <v>260898.00728127002</v>
      </c>
      <c r="AY12">
        <f t="shared" si="6"/>
        <v>264292.63186269003</v>
      </c>
      <c r="AZ12">
        <f t="shared" si="6"/>
        <v>19429.031913067498</v>
      </c>
      <c r="BA12">
        <f t="shared" si="6"/>
        <v>1493227.4675337675</v>
      </c>
      <c r="BB12">
        <f t="shared" si="6"/>
        <v>1512656.3329783876</v>
      </c>
      <c r="BC12">
        <f t="shared" si="6"/>
        <v>2983.2810476474997</v>
      </c>
      <c r="BD12">
        <f t="shared" si="6"/>
        <v>229281.65385827998</v>
      </c>
      <c r="BE12">
        <f t="shared" si="6"/>
        <v>232264.93490592748</v>
      </c>
      <c r="BF12">
        <f t="shared" si="6"/>
        <v>1611.4145718</v>
      </c>
      <c r="BG12">
        <f t="shared" si="6"/>
        <v>123844.0350491775</v>
      </c>
      <c r="BH12">
        <f t="shared" si="6"/>
        <v>125455.4496209775</v>
      </c>
      <c r="BI12">
        <f t="shared" si="6"/>
        <v>9222.6849283949996</v>
      </c>
      <c r="BJ12">
        <f t="shared" si="7"/>
        <v>708810.99666367506</v>
      </c>
      <c r="BK12">
        <f t="shared" si="7"/>
        <v>718033.68159207003</v>
      </c>
      <c r="BL12">
        <f t="shared" si="7"/>
        <v>3342007.4176494926</v>
      </c>
      <c r="BM12" s="22">
        <f>-17.17-(0.1023*E12)+F12*(100-8.576-13.681)</f>
        <v>17.469627144320839</v>
      </c>
      <c r="BN12">
        <f>IF(AT12&lt;&gt;-999,AT12*$BM12, -999)</f>
        <v>109791.07394436767</v>
      </c>
      <c r="BO12">
        <f>IF(AU12&lt;&gt;-999,AU12*$BM12, -999)</f>
        <v>8438173.8307865597</v>
      </c>
      <c r="BP12" s="25">
        <f>IF(AV12&lt;&gt;-999,AV12*$BM12, -999)</f>
        <v>8547964.9047309272</v>
      </c>
      <c r="BQ12">
        <f>-19.943-(0.1023*E12)+F12*(100-8.576-13.681)</f>
        <v>14.696627144320843</v>
      </c>
      <c r="BR12">
        <f>IF(AW12&lt;&gt;-999,AW12*$BQ12, -999)</f>
        <v>49889.531768075947</v>
      </c>
      <c r="BS12">
        <f>IF(AX12&lt;&gt;-999,AX12*$BQ12, -999)</f>
        <v>3834320.7357091298</v>
      </c>
      <c r="BT12" s="25">
        <f>IF(AY12&lt;&gt;-999,AY12*$BQ12, -999)</f>
        <v>3884210.267477206</v>
      </c>
      <c r="BU12">
        <f>-25.871-(0.1023*E12)+F12*(100-8.576-13.681)</f>
        <v>8.7686271443208454</v>
      </c>
      <c r="BV12">
        <f>IF(AZ12&lt;&gt;-999,AZ12*$BU12, -999)</f>
        <v>170365.93662079962</v>
      </c>
      <c r="BW12">
        <f>IF(BA12&lt;&gt;-999,BA12*$BU12, -999)</f>
        <v>13093554.904462067</v>
      </c>
      <c r="BX12" s="25">
        <f>IF(BB12&lt;&gt;-999,BB12*$BU12, -999)</f>
        <v>13263919.381383121</v>
      </c>
      <c r="BY12">
        <f>-25.245-(0.1023*E12)+F12*(100-8.576-13.681)</f>
        <v>9.394627144320836</v>
      </c>
      <c r="BZ12">
        <f>IF(BC12&lt;&gt;-999,BC12*$BY12, -999)</f>
        <v>28026.813109367104</v>
      </c>
      <c r="CA12">
        <f>IF(BD12&lt;&gt;-999,BD12*$BY12, -999)</f>
        <v>2154015.6490317713</v>
      </c>
      <c r="CB12" s="25">
        <f>IF(BE12&lt;&gt;-999,BE12*$BY12, -999)</f>
        <v>2182042.4621411385</v>
      </c>
      <c r="CC12">
        <f>-29.317-(0.1023*E12)+F12*(100-8.576-13.681)</f>
        <v>5.3226271443208404</v>
      </c>
      <c r="CD12">
        <f>IF(BF12&lt;&gt;-999,BF12*$CC12, -999)</f>
        <v>8576.9589406168234</v>
      </c>
      <c r="CE12">
        <f>IF(BG12&lt;&gt;-999,BG12*$CC12, -999)</f>
        <v>659175.62261497369</v>
      </c>
      <c r="CF12" s="25">
        <f>IF(BH12&lt;&gt;-999,BH12*$CC12, -999)</f>
        <v>667752.5815555905</v>
      </c>
      <c r="CG12">
        <f>-38.03-(0.1023*E12)+F12*(100-8.576-13.681)</f>
        <v>-3.3903728556791606</v>
      </c>
      <c r="CH12">
        <f>IF(BI12&lt;&gt;-999,BI12*$CG12, -999)</f>
        <v>-31268.34063771171</v>
      </c>
      <c r="CI12">
        <f>IF(BJ12&lt;&gt;-999,BJ12*$CG12, -999)</f>
        <v>-2403133.5628954158</v>
      </c>
      <c r="CJ12" s="25">
        <f>IF(BK12&lt;&gt;-999,BK12*$CG12, -999)</f>
        <v>-2434401.9035331276</v>
      </c>
      <c r="CK12" s="26">
        <f t="shared" si="8"/>
        <v>26111487.693754856</v>
      </c>
      <c r="CL12">
        <f t="shared" si="9"/>
        <v>-19.395124146630593</v>
      </c>
      <c r="CM12">
        <f t="shared" si="10"/>
        <v>40.583141260770184</v>
      </c>
      <c r="CN12">
        <f t="shared" si="11"/>
        <v>-78.337347341580923</v>
      </c>
      <c r="CO12" s="22">
        <f t="shared" si="12"/>
        <v>-40.08</v>
      </c>
      <c r="CP12">
        <f>IF(AT12&lt;&gt;-999,AT12*$CO12, -999)</f>
        <v>-251890.10660257741</v>
      </c>
      <c r="CQ12">
        <f>IF(AU12&lt;&gt;-999,AU12*$CO12, -999)</f>
        <v>-19359429.044704631</v>
      </c>
      <c r="CR12" s="27">
        <f>IF(AV12&lt;&gt;-999,AV12*$CO12, -999)</f>
        <v>-19611319.15130721</v>
      </c>
      <c r="CS12">
        <f t="shared" si="13"/>
        <v>-42.853000000000002</v>
      </c>
      <c r="CT12">
        <f>IF(AW12&lt;&gt;-999,AW12*$CS12, -999)</f>
        <v>-145469.84718759125</v>
      </c>
      <c r="CU12">
        <f>IF(AX12&lt;&gt;-999,AX12*$CS12, -999)</f>
        <v>-11180262.306024265</v>
      </c>
      <c r="CV12" s="27">
        <f>IF(AY12&lt;&gt;-999,AY12*$CS12, -999)</f>
        <v>-11325732.153211856</v>
      </c>
      <c r="CW12">
        <f t="shared" si="14"/>
        <v>-48.780999999999999</v>
      </c>
      <c r="CX12">
        <f>IF(AZ12&lt;&gt;-999,AZ12*$CO12, -999)</f>
        <v>-778715.59907574533</v>
      </c>
      <c r="CY12">
        <f>IF(BA12&lt;&gt;-999,BA12*$CO12, -999)</f>
        <v>-59848556.898753397</v>
      </c>
      <c r="CZ12" s="27">
        <f>IF(BB12&lt;&gt;-999,BB12*$CO12, -999)</f>
        <v>-60627265.825773776</v>
      </c>
      <c r="DA12">
        <f t="shared" si="15"/>
        <v>-48.155000000000001</v>
      </c>
      <c r="DB12">
        <f>IF(BC12&lt;&gt;-999,BC12*$DA12, -999)</f>
        <v>-143659.89884946536</v>
      </c>
      <c r="DC12">
        <f>IF(BD12&lt;&gt;-999,BD12*$DA12, -999)</f>
        <v>-11041058.041545473</v>
      </c>
      <c r="DD12" s="27">
        <f>IF(BE12&lt;&gt;-999,BE12*$DA12, -999)</f>
        <v>-11184717.940394938</v>
      </c>
      <c r="DE12">
        <f t="shared" si="16"/>
        <v>-52.227000000000004</v>
      </c>
      <c r="DF12">
        <f>IF(BF12&lt;&gt;-999,BF12*$DE12, -999)</f>
        <v>-84159.348841398605</v>
      </c>
      <c r="DG12">
        <f>IF(BG12&lt;&gt;-999,BG12*$DE12, -999)</f>
        <v>-6468002.418513394</v>
      </c>
      <c r="DH12" s="27">
        <f>IF(BH12&lt;&gt;-999,BH12*$DE12, -999)</f>
        <v>-6552161.767354792</v>
      </c>
      <c r="DI12">
        <f t="shared" si="17"/>
        <v>-60.94</v>
      </c>
      <c r="DJ12">
        <f>IF(BI12&lt;&gt;-999,BI12*$DI12, -999)</f>
        <v>-562030.41953639127</v>
      </c>
      <c r="DK12">
        <f>IF(BJ12&lt;&gt;-999,BJ12*$DI12, -999)</f>
        <v>-43194942.136684358</v>
      </c>
      <c r="DL12" s="27">
        <f>IF(BK12&lt;&gt;-999,BK12*$DI12, -999)</f>
        <v>-43756972.556220748</v>
      </c>
      <c r="DM12" s="28">
        <f t="shared" si="18"/>
        <v>-153058169.3942633</v>
      </c>
      <c r="DN12" s="22">
        <f t="shared" si="19"/>
        <v>-17.170000000000002</v>
      </c>
      <c r="DO12">
        <f>IF(AT12&lt;&gt;-999,AT12*$DN12, -999)</f>
        <v>-107908.01223468699</v>
      </c>
      <c r="DP12">
        <f>IF(AU12&lt;&gt;-999,AU12*$DN12, -999)</f>
        <v>-8293448.0213966705</v>
      </c>
      <c r="DQ12" s="24">
        <f>IF(AV12&lt;&gt;-999,AV12*$DN12, -999)</f>
        <v>-8401356.0336313583</v>
      </c>
      <c r="DR12">
        <f t="shared" si="20"/>
        <v>-19.943000000000001</v>
      </c>
      <c r="DS12">
        <f>IF(AW12&lt;&gt;-999,AW12*$DR12, -999)</f>
        <v>-67698.998027259062</v>
      </c>
      <c r="DT12">
        <f>IF(AX12&lt;&gt;-999,AX12*$DR12, -999)</f>
        <v>-5203088.9592103688</v>
      </c>
      <c r="DU12" s="24">
        <f>IF(AY12&lt;&gt;-999,AY12*$DR12, -999)</f>
        <v>-5270787.9572376274</v>
      </c>
      <c r="DV12">
        <f t="shared" si="21"/>
        <v>-25.870999999999999</v>
      </c>
      <c r="DW12">
        <f>IF(AZ12&lt;&gt;-999,AZ12*$DV12, -999)</f>
        <v>-502648.48462296923</v>
      </c>
      <c r="DX12">
        <f>IF(BA12&lt;&gt;-999,BA12*$DV12, -999)</f>
        <v>-38631287.812566094</v>
      </c>
      <c r="DY12" s="24">
        <f>IF(BB12&lt;&gt;-999,BB12*$DV12, -999)</f>
        <v>-39133931.990483865</v>
      </c>
      <c r="DZ12">
        <f t="shared" si="22"/>
        <v>-25.245000000000001</v>
      </c>
      <c r="EA12">
        <f>IF(BC12&lt;&gt;-999, BC12*$DZ12, -999)</f>
        <v>-75312.930047861126</v>
      </c>
      <c r="EB12">
        <f>IF(BD12&lt;&gt;-999, BD12*$DZ12, -999)</f>
        <v>-5788215.3516522786</v>
      </c>
      <c r="EC12" s="24">
        <f>IF(BE12&lt;&gt;-999, BE12*$DZ12, -999)</f>
        <v>-5863528.2817001399</v>
      </c>
      <c r="ED12">
        <f t="shared" si="23"/>
        <v>-29.317</v>
      </c>
      <c r="EE12">
        <f>IF(BF12&lt;&gt;-999,BF12*$ED12, -999)</f>
        <v>-47241.841001460598</v>
      </c>
      <c r="EF12">
        <f>IF(BG12&lt;&gt;-999,BG12*$ED12, -999)</f>
        <v>-3630735.5755367368</v>
      </c>
      <c r="EG12" s="24">
        <f>IF(BH12&lt;&gt;-999,BH12*$ED12, -999)</f>
        <v>-3677977.4165381971</v>
      </c>
      <c r="EH12">
        <f t="shared" si="24"/>
        <v>-38.03</v>
      </c>
      <c r="EI12">
        <f>IF(BI12&lt;&gt;-999,BI12*$EH12, -999)</f>
        <v>-350738.70782686182</v>
      </c>
      <c r="EJ12">
        <f>IF(BJ12&lt;&gt;-999,BJ12*$EH12, -999)</f>
        <v>-26956082.203119565</v>
      </c>
      <c r="EK12" s="24">
        <f>IF(BK12&lt;&gt;-999,BK12*$EH12, -999)</f>
        <v>-27306820.910946425</v>
      </c>
      <c r="EL12" s="28">
        <f t="shared" si="25"/>
        <v>-89654402.590537608</v>
      </c>
      <c r="EM12" s="22">
        <f>-17.17-(0.1023*G12)+H12*(100+102.093-66.644-64.243)</f>
        <v>30.753834218084961</v>
      </c>
      <c r="EN12">
        <f>IF(AT12&lt;&gt;-999,AT12*$EM12, -999)</f>
        <v>193278.10827423687</v>
      </c>
      <c r="EO12">
        <f>IF(AU12&lt;&gt;-999,AU12*$EM12, -999)</f>
        <v>14854707.370200228</v>
      </c>
      <c r="EP12" s="23">
        <f>IF(AV12&lt;&gt;-999,AV12*$EM12, -999)</f>
        <v>15047985.478474466</v>
      </c>
      <c r="EQ12">
        <f>-19.943-(0.1023*G12)+H12*(100+102.093-66.644-64.243)</f>
        <v>27.980834218084965</v>
      </c>
      <c r="ER12">
        <f>IF(AW12&lt;&gt;-999,AW12*$EQ12, -999)</f>
        <v>94984.427645349075</v>
      </c>
      <c r="ES12">
        <f>IF(AX12&lt;&gt;-999,AX12*$EQ12, -999)</f>
        <v>7300143.8895659409</v>
      </c>
      <c r="ET12" s="23">
        <f>IF(AY12&lt;&gt;-999,AY12*$EQ12, -999)</f>
        <v>7395128.3172112899</v>
      </c>
      <c r="EU12">
        <f>-25.871-(0.1023*G12)+H12*(100+102.093-66.644-64.243)</f>
        <v>22.052834218084968</v>
      </c>
      <c r="EV12">
        <f>IF(AZ12&lt;&gt;-999,AZ12*$EU12, -999)</f>
        <v>428465.21979675977</v>
      </c>
      <c r="EW12">
        <f>IF(BA12&lt;&gt;-999,BA12*$EU12, -999)</f>
        <v>32929897.791413028</v>
      </c>
      <c r="EX12" s="23">
        <f>IF(BB12&lt;&gt;-999,BB12*$EU12, -999)</f>
        <v>33358359.340108715</v>
      </c>
      <c r="EY12">
        <f>-25.245-(0.1023*G12)+H12*(100+102.093-66.644-64.243)</f>
        <v>22.678834218084965</v>
      </c>
      <c r="EZ12">
        <f>IF(BC12&lt;&gt;-999, BC12*$EY12, -999)</f>
        <v>67657.336305552482</v>
      </c>
      <c r="FA12">
        <f>IF(BD12&lt;&gt;-999, BD12*$EY12, -999)</f>
        <v>5199840.6171002733</v>
      </c>
      <c r="FB12" s="23">
        <f>IF(BE12&lt;&gt;-999, BE12*$EY12, -999)</f>
        <v>5267497.9534058254</v>
      </c>
      <c r="FC12">
        <f>-29.317-(0.1023*G12)+H12*(100+102.093-66.644-64.243)</f>
        <v>18.606834218084963</v>
      </c>
      <c r="FD12">
        <f>IF(BF12&lt;&gt;-999,BF12*$FC12, -999)</f>
        <v>29983.323794088967</v>
      </c>
      <c r="FE12">
        <f>IF(BG12&lt;&gt;-999,BG12*$FC12, -999)</f>
        <v>2304345.4290587492</v>
      </c>
      <c r="FF12" s="23">
        <f>IF(BH12&lt;&gt;-999,BH12*$FC12, -999)</f>
        <v>2334328.752852838</v>
      </c>
      <c r="FG12">
        <f>-38.03-(0.1023*G12)+H12*(100+102.093-66.644-64.243)</f>
        <v>9.8938342180849617</v>
      </c>
      <c r="FH12">
        <f>IF(BI12&lt;&gt;-999,BI12*$FG12, -999)</f>
        <v>91247.7157271709</v>
      </c>
      <c r="FI12">
        <f>IF(BJ12&lt;&gt;-999,BJ12*$FG12, -999)</f>
        <v>7012858.4929459738</v>
      </c>
      <c r="FJ12" s="23">
        <f>IF(BK12&lt;&gt;-999,BK12*$FG12, -999)</f>
        <v>7104106.2086731447</v>
      </c>
      <c r="FK12" s="28">
        <f t="shared" si="26"/>
        <v>70507406.05072628</v>
      </c>
      <c r="FL12" s="22">
        <f t="shared" si="28"/>
        <v>10.012280000000011</v>
      </c>
      <c r="FM12">
        <f>IF(AT12&lt;&gt;-999,AT12*$FL12, -999)</f>
        <v>62924.008895580257</v>
      </c>
      <c r="FN12">
        <f>IF(AU12&lt;&gt;-999,AU12*$FL12, -999)</f>
        <v>4836128.3491944987</v>
      </c>
      <c r="FO12" s="29">
        <f>IF(AV12&lt;&gt;-999,AV12*$FL12, -999)</f>
        <v>4899052.3580900794</v>
      </c>
      <c r="FP12">
        <f t="shared" si="29"/>
        <v>7.2392800000000115</v>
      </c>
      <c r="FQ12">
        <f>IF(AW12&lt;&gt;-999,AW12*$FP12, -999)</f>
        <v>24574.637839782215</v>
      </c>
      <c r="FR12">
        <f>IF(AX12&lt;&gt;-999,AX12*$FP12, -999)</f>
        <v>1888713.7261511555</v>
      </c>
      <c r="FS12" s="29">
        <f>IF(AY12&lt;&gt;-999,AY12*$FP12, -999)</f>
        <v>1913288.3639909378</v>
      </c>
      <c r="FT12">
        <f t="shared" si="30"/>
        <v>1.3112800000000142</v>
      </c>
      <c r="FU12">
        <f>IF(AZ12&lt;&gt;-999,AZ12*$FT12, -999)</f>
        <v>25476.900966967423</v>
      </c>
      <c r="FV12">
        <f>IF(BA12&lt;&gt;-999,BA12*$FT12, -999)</f>
        <v>1958039.3136276999</v>
      </c>
      <c r="FW12" s="29">
        <f>IF(BB12&lt;&gt;-999,BB12*$FT12, -999)</f>
        <v>1983515.9963079216</v>
      </c>
      <c r="FX12">
        <f t="shared" si="31"/>
        <v>1.9372800000000119</v>
      </c>
      <c r="FY12">
        <f>IF(BC12&lt;&gt;-999, BC12*$FX12, -999)</f>
        <v>5779.4507079865834</v>
      </c>
      <c r="FZ12">
        <f>IF(BD12&lt;&gt;-999, BD12*$FX12, -999)</f>
        <v>444182.76238657138</v>
      </c>
      <c r="GA12" s="29">
        <f>IF(BE12&lt;&gt;-999, BE12*$FX12, -999)</f>
        <v>449962.21309455793</v>
      </c>
      <c r="GB12">
        <f t="shared" si="32"/>
        <v>-2.1347199999999873</v>
      </c>
      <c r="GC12">
        <f>IF(BF12&lt;&gt;-999,BF12*$GB12, -999)</f>
        <v>-3439.9189147128754</v>
      </c>
      <c r="GD12">
        <f>IF(BG12&lt;&gt;-999,BG12*$GB12, -999)</f>
        <v>-264372.33850017865</v>
      </c>
      <c r="GE12" s="29">
        <f>IF(BH12&lt;&gt;-999,BH12*$GB12, -999)</f>
        <v>-267812.2574148915</v>
      </c>
      <c r="GF12">
        <f t="shared" si="33"/>
        <v>-10.847719999999988</v>
      </c>
      <c r="GG12">
        <f>IF(BI12&lt;&gt;-999,BI12*$GF12, -999)</f>
        <v>-100045.1037514489</v>
      </c>
      <c r="GH12">
        <f>IF(BJ12&lt;&gt;-999,BJ12*$GF12, -999)</f>
        <v>-7688983.2247284725</v>
      </c>
      <c r="GI12" s="29">
        <f>IF(BK12&lt;&gt;-999,BK12*$GF12, -999)</f>
        <v>-7789028.3284799214</v>
      </c>
      <c r="GJ12" s="30">
        <f t="shared" si="27"/>
        <v>1188978.3455886822</v>
      </c>
    </row>
    <row r="13" spans="1:192">
      <c r="A13" s="48" t="s">
        <v>151</v>
      </c>
      <c r="B13" s="48" t="s">
        <v>152</v>
      </c>
      <c r="C13" s="49">
        <v>84</v>
      </c>
      <c r="D13" s="50">
        <v>0.99199999999999999</v>
      </c>
      <c r="E13" s="49">
        <v>220.92871056845499</v>
      </c>
      <c r="F13" s="49">
        <v>0.78570732478584804</v>
      </c>
      <c r="G13" s="49">
        <v>170.72524486873999</v>
      </c>
      <c r="H13" s="49">
        <v>0.81095882547563303</v>
      </c>
      <c r="I13" s="42">
        <v>13140.1</v>
      </c>
      <c r="J13" s="43">
        <v>2247.4</v>
      </c>
      <c r="K13" s="43">
        <f t="shared" si="0"/>
        <v>15387.5</v>
      </c>
      <c r="L13" s="43">
        <v>4803.1000000000004</v>
      </c>
      <c r="M13" s="43">
        <v>821.5</v>
      </c>
      <c r="N13" s="43">
        <f t="shared" si="1"/>
        <v>5624.6</v>
      </c>
      <c r="O13" s="43">
        <v>9273.1</v>
      </c>
      <c r="P13" s="43">
        <v>1586</v>
      </c>
      <c r="Q13" s="43">
        <f t="shared" si="2"/>
        <v>10859.1</v>
      </c>
      <c r="R13" s="43">
        <v>8056.6</v>
      </c>
      <c r="S13" s="43">
        <v>1377.9</v>
      </c>
      <c r="T13" s="43">
        <f t="shared" si="3"/>
        <v>9434.5</v>
      </c>
      <c r="U13" s="43">
        <v>2944.9</v>
      </c>
      <c r="V13" s="43">
        <v>503.7</v>
      </c>
      <c r="W13" s="43">
        <f t="shared" si="4"/>
        <v>3448.6</v>
      </c>
      <c r="X13" s="43">
        <v>5685.6</v>
      </c>
      <c r="Y13" s="43">
        <v>972.4</v>
      </c>
      <c r="Z13" s="43">
        <f t="shared" si="5"/>
        <v>6658</v>
      </c>
      <c r="AA13" s="22">
        <v>223066.9</v>
      </c>
      <c r="AB13">
        <v>21873.3</v>
      </c>
      <c r="AC13">
        <v>244940.2</v>
      </c>
      <c r="AD13">
        <v>81538</v>
      </c>
      <c r="AE13">
        <v>7995.4</v>
      </c>
      <c r="AF13">
        <v>89533.4</v>
      </c>
      <c r="AG13">
        <v>157420.4</v>
      </c>
      <c r="AH13">
        <v>15436.2</v>
      </c>
      <c r="AI13">
        <v>172856.6</v>
      </c>
      <c r="AJ13">
        <v>136768.9</v>
      </c>
      <c r="AK13">
        <v>13411.2</v>
      </c>
      <c r="AL13">
        <v>150180.1</v>
      </c>
      <c r="AM13">
        <v>49993.4</v>
      </c>
      <c r="AN13">
        <v>4902.2</v>
      </c>
      <c r="AO13">
        <v>54895.6</v>
      </c>
      <c r="AP13">
        <v>96519.1</v>
      </c>
      <c r="AQ13">
        <v>9464.4</v>
      </c>
      <c r="AR13">
        <v>105983.5</v>
      </c>
      <c r="AS13">
        <v>818389.35</v>
      </c>
      <c r="AT13" s="22">
        <f t="shared" si="6"/>
        <v>371336.0053163775</v>
      </c>
      <c r="AU13">
        <f t="shared" si="6"/>
        <v>36412.142927017499</v>
      </c>
      <c r="AV13">
        <f>IF(AC13&lt;&gt;-999,AC13*0.5*3.67*0.907185, -999)</f>
        <v>407748.14824339503</v>
      </c>
      <c r="AW13">
        <f t="shared" si="6"/>
        <v>135735.04272255002</v>
      </c>
      <c r="AX13">
        <f t="shared" si="6"/>
        <v>13309.818251414999</v>
      </c>
      <c r="AY13">
        <f t="shared" si="6"/>
        <v>149044.860973965</v>
      </c>
      <c r="AZ13">
        <f t="shared" si="6"/>
        <v>262055.29592829003</v>
      </c>
      <c r="BA13">
        <f t="shared" si="6"/>
        <v>25696.402492994999</v>
      </c>
      <c r="BB13">
        <f t="shared" si="6"/>
        <v>287751.69842128502</v>
      </c>
      <c r="BC13">
        <f t="shared" si="6"/>
        <v>227677.06449282749</v>
      </c>
      <c r="BD13">
        <f t="shared" si="6"/>
        <v>22325.41643112</v>
      </c>
      <c r="BE13">
        <f t="shared" si="6"/>
        <v>250002.48092394753</v>
      </c>
      <c r="BF13">
        <f t="shared" si="6"/>
        <v>83223.236832465001</v>
      </c>
      <c r="BG13">
        <f t="shared" si="6"/>
        <v>8160.6162333450002</v>
      </c>
      <c r="BH13">
        <f t="shared" si="6"/>
        <v>91383.853065809992</v>
      </c>
      <c r="BI13">
        <f t="shared" si="6"/>
        <v>160673.84731097252</v>
      </c>
      <c r="BJ13">
        <f t="shared" si="7"/>
        <v>15755.23974519</v>
      </c>
      <c r="BK13">
        <f t="shared" si="7"/>
        <v>176429.08705616251</v>
      </c>
      <c r="BL13">
        <f t="shared" si="7"/>
        <v>1362360.0454503412</v>
      </c>
      <c r="BM13" s="22">
        <f>-17.17-(0.1023*E13)+F13*(100-8.576-13.681)</f>
        <v>21.312237459673241</v>
      </c>
      <c r="BN13">
        <f>IF(AT13&lt;&gt;-999,AT13*$BM13, -999)</f>
        <v>7914001.1226291228</v>
      </c>
      <c r="BO13">
        <f>IF(AU13&lt;&gt;-999,AU13*$BM13, -999)</f>
        <v>776024.23647615837</v>
      </c>
      <c r="BP13" s="25">
        <f>IF(AV13&lt;&gt;-999,AV13*$BM13, -999)</f>
        <v>8690025.3591052815</v>
      </c>
      <c r="BQ13">
        <f>-19.943-(0.1023*E13)+F13*(100-8.576-13.681)</f>
        <v>18.539237459673245</v>
      </c>
      <c r="BR13">
        <f>IF(AW13&lt;&gt;-999,AW13*$BQ13, -999)</f>
        <v>2516424.1886322475</v>
      </c>
      <c r="BS13">
        <f>IF(AX13&lt;&gt;-999,AX13*$BQ13, -999)</f>
        <v>246753.88110807561</v>
      </c>
      <c r="BT13" s="25">
        <f>IF(AY13&lt;&gt;-999,AY13*$BQ13, -999)</f>
        <v>2763178.0697403229</v>
      </c>
      <c r="BU13">
        <f>-25.871-(0.1023*E13)+F13*(100-8.576-13.681)</f>
        <v>12.611237459673248</v>
      </c>
      <c r="BV13">
        <f>IF(AZ13&lt;&gt;-999,AZ13*$BU13, -999)</f>
        <v>3304841.5645166095</v>
      </c>
      <c r="BW13">
        <f>IF(BA13&lt;&gt;-999,BA13*$BU13, -999)</f>
        <v>324063.43369849958</v>
      </c>
      <c r="BX13" s="25">
        <f>IF(BB13&lt;&gt;-999,BB13*$BU13, -999)</f>
        <v>3628904.9982151091</v>
      </c>
      <c r="BY13">
        <f>-25.245-(0.1023*E13)+F13*(100-8.576-13.681)</f>
        <v>13.237237459673246</v>
      </c>
      <c r="BZ13">
        <f>IF(BC13&lt;&gt;-999,BC13*$BY13, -999)</f>
        <v>3013815.3668128974</v>
      </c>
      <c r="CA13">
        <f>IF(BD13&lt;&gt;-999,BD13*$BY13, -999)</f>
        <v>295526.83868482627</v>
      </c>
      <c r="CB13" s="25">
        <f>IF(BE13&lt;&gt;-999,BE13*$BY13, -999)</f>
        <v>3309342.205497724</v>
      </c>
      <c r="CC13">
        <f>-29.317-(0.1023*E13)+F13*(100-8.576-13.681)</f>
        <v>9.16523745967325</v>
      </c>
      <c r="CD13">
        <f>IF(BF13&lt;&gt;-999,BF13*$CC13, -999)</f>
        <v>762760.72773216676</v>
      </c>
      <c r="CE13">
        <f>IF(BG13&lt;&gt;-999,BG13*$CC13, -999)</f>
        <v>74793.985595871214</v>
      </c>
      <c r="CF13" s="25">
        <f>IF(BH13&lt;&gt;-999,BH13*$CC13, -999)</f>
        <v>837554.71332803788</v>
      </c>
      <c r="CG13">
        <f>-38.03-(0.1023*E13)+F13*(100-8.576-13.681)</f>
        <v>0.45223745967324191</v>
      </c>
      <c r="CH13">
        <f>IF(BI13&lt;&gt;-999,BI13*$CG13, -999)</f>
        <v>72662.732543840568</v>
      </c>
      <c r="CI13">
        <f>IF(BJ13&lt;&gt;-999,BJ13*$CG13, -999)</f>
        <v>7125.1095989076211</v>
      </c>
      <c r="CJ13" s="25">
        <f>IF(BK13&lt;&gt;-999,BK13*$CG13, -999)</f>
        <v>79787.842142748181</v>
      </c>
      <c r="CK13" s="26">
        <f t="shared" si="8"/>
        <v>19308793.188029226</v>
      </c>
      <c r="CL13">
        <f t="shared" si="9"/>
        <v>-20.028456506215676</v>
      </c>
      <c r="CM13">
        <f t="shared" si="10"/>
        <v>37.811146824943876</v>
      </c>
      <c r="CN13">
        <f t="shared" si="11"/>
        <v>-76.868960076896414</v>
      </c>
      <c r="CO13" s="22">
        <f t="shared" si="12"/>
        <v>-40.08</v>
      </c>
      <c r="CP13">
        <f>IF(AT13&lt;&gt;-999,AT13*$CO13, -999)</f>
        <v>-14883147.093080409</v>
      </c>
      <c r="CQ13">
        <f>IF(AU13&lt;&gt;-999,AU13*$CO13, -999)</f>
        <v>-1459398.6885148613</v>
      </c>
      <c r="CR13" s="27">
        <f>IF(AV13&lt;&gt;-999,AV13*$CO13, -999)</f>
        <v>-16342545.781595273</v>
      </c>
      <c r="CS13">
        <f t="shared" si="13"/>
        <v>-42.853000000000002</v>
      </c>
      <c r="CT13">
        <f>IF(AW13&lt;&gt;-999,AW13*$CS13, -999)</f>
        <v>-5816653.7857894357</v>
      </c>
      <c r="CU13">
        <f>IF(AX13&lt;&gt;-999,AX13*$CS13, -999)</f>
        <v>-570365.64152788697</v>
      </c>
      <c r="CV13" s="27">
        <f>IF(AY13&lt;&gt;-999,AY13*$CS13, -999)</f>
        <v>-6387019.4273173222</v>
      </c>
      <c r="CW13">
        <f t="shared" si="14"/>
        <v>-48.780999999999999</v>
      </c>
      <c r="CX13">
        <f>IF(AZ13&lt;&gt;-999,AZ13*$CO13, -999)</f>
        <v>-10503176.260805864</v>
      </c>
      <c r="CY13">
        <f>IF(BA13&lt;&gt;-999,BA13*$CO13, -999)</f>
        <v>-1029911.8119192395</v>
      </c>
      <c r="CZ13" s="27">
        <f>IF(BB13&lt;&gt;-999,BB13*$CO13, -999)</f>
        <v>-11533088.072725102</v>
      </c>
      <c r="DA13">
        <f t="shared" si="15"/>
        <v>-48.155000000000001</v>
      </c>
      <c r="DB13">
        <f>IF(BC13&lt;&gt;-999,BC13*$DA13, -999)</f>
        <v>-10963789.040652107</v>
      </c>
      <c r="DC13">
        <f>IF(BD13&lt;&gt;-999,BD13*$DA13, -999)</f>
        <v>-1075080.4282405837</v>
      </c>
      <c r="DD13" s="27">
        <f>IF(BE13&lt;&gt;-999,BE13*$DA13, -999)</f>
        <v>-12038869.468892694</v>
      </c>
      <c r="DE13">
        <f t="shared" si="16"/>
        <v>-52.227000000000004</v>
      </c>
      <c r="DF13">
        <f>IF(BF13&lt;&gt;-999,BF13*$DE13, -999)</f>
        <v>-4346499.9900491498</v>
      </c>
      <c r="DG13">
        <f>IF(BG13&lt;&gt;-999,BG13*$DE13, -999)</f>
        <v>-426204.50401890936</v>
      </c>
      <c r="DH13" s="27">
        <f>IF(BH13&lt;&gt;-999,BH13*$DE13, -999)</f>
        <v>-4772704.4940680591</v>
      </c>
      <c r="DI13">
        <f t="shared" si="17"/>
        <v>-60.94</v>
      </c>
      <c r="DJ13">
        <f>IF(BI13&lt;&gt;-999,BI13*$DI13, -999)</f>
        <v>-9791464.2551306654</v>
      </c>
      <c r="DK13">
        <f>IF(BJ13&lt;&gt;-999,BJ13*$DI13, -999)</f>
        <v>-960124.3100718786</v>
      </c>
      <c r="DL13" s="27">
        <f>IF(BK13&lt;&gt;-999,BK13*$DI13, -999)</f>
        <v>-10751588.565202544</v>
      </c>
      <c r="DM13" s="28">
        <f t="shared" si="18"/>
        <v>-61825815.80980099</v>
      </c>
      <c r="DN13" s="22">
        <f t="shared" si="19"/>
        <v>-17.170000000000002</v>
      </c>
      <c r="DO13">
        <f>IF(AT13&lt;&gt;-999,AT13*$DN13, -999)</f>
        <v>-6375839.211282202</v>
      </c>
      <c r="DP13">
        <f>IF(AU13&lt;&gt;-999,AU13*$DN13, -999)</f>
        <v>-625196.49405689049</v>
      </c>
      <c r="DQ13" s="24">
        <f>IF(AV13&lt;&gt;-999,AV13*$DN13, -999)</f>
        <v>-7001035.7053390937</v>
      </c>
      <c r="DR13">
        <f t="shared" si="20"/>
        <v>-19.943000000000001</v>
      </c>
      <c r="DS13">
        <f>IF(AW13&lt;&gt;-999,AW13*$DR13, -999)</f>
        <v>-2706963.9570158152</v>
      </c>
      <c r="DT13">
        <f>IF(AX13&lt;&gt;-999,AX13*$DR13, -999)</f>
        <v>-265437.70538796933</v>
      </c>
      <c r="DU13" s="24">
        <f>IF(AY13&lt;&gt;-999,AY13*$DR13, -999)</f>
        <v>-2972401.6624037842</v>
      </c>
      <c r="DV13">
        <f t="shared" si="21"/>
        <v>-25.870999999999999</v>
      </c>
      <c r="DW13">
        <f>IF(AZ13&lt;&gt;-999,AZ13*$DV13, -999)</f>
        <v>-6779632.5609607911</v>
      </c>
      <c r="DX13">
        <f>IF(BA13&lt;&gt;-999,BA13*$DV13, -999)</f>
        <v>-664791.62889627356</v>
      </c>
      <c r="DY13" s="24">
        <f>IF(BB13&lt;&gt;-999,BB13*$DV13, -999)</f>
        <v>-7444424.1898570647</v>
      </c>
      <c r="DZ13">
        <f t="shared" si="22"/>
        <v>-25.245000000000001</v>
      </c>
      <c r="EA13">
        <f>IF(BC13&lt;&gt;-999, BC13*$DZ13, -999)</f>
        <v>-5747707.4931214303</v>
      </c>
      <c r="EB13">
        <f>IF(BD13&lt;&gt;-999, BD13*$DZ13, -999)</f>
        <v>-563605.13780362438</v>
      </c>
      <c r="EC13" s="24">
        <f>IF(BE13&lt;&gt;-999, BE13*$DZ13, -999)</f>
        <v>-6311312.6309250556</v>
      </c>
      <c r="ED13">
        <f t="shared" si="23"/>
        <v>-29.317</v>
      </c>
      <c r="EE13">
        <f>IF(BF13&lt;&gt;-999,BF13*$ED13, -999)</f>
        <v>-2439855.6342173764</v>
      </c>
      <c r="EF13">
        <f>IF(BG13&lt;&gt;-999,BG13*$ED13, -999)</f>
        <v>-239244.78611297536</v>
      </c>
      <c r="EG13" s="24">
        <f>IF(BH13&lt;&gt;-999,BH13*$ED13, -999)</f>
        <v>-2679100.4203303517</v>
      </c>
      <c r="EH13">
        <f t="shared" si="24"/>
        <v>-38.03</v>
      </c>
      <c r="EI13">
        <f>IF(BI13&lt;&gt;-999,BI13*$EH13, -999)</f>
        <v>-6110426.4132362846</v>
      </c>
      <c r="EJ13">
        <f>IF(BJ13&lt;&gt;-999,BJ13*$EH13, -999)</f>
        <v>-599171.7675095757</v>
      </c>
      <c r="EK13" s="24">
        <f>IF(BK13&lt;&gt;-999,BK13*$EH13, -999)</f>
        <v>-6709598.1807458606</v>
      </c>
      <c r="EL13" s="28">
        <f t="shared" si="25"/>
        <v>-33117872.789601214</v>
      </c>
      <c r="EM13" s="22">
        <f>-17.17-(0.1023*G13)+H13*(100+102.093-66.644-64.243)</f>
        <v>23.109941576745832</v>
      </c>
      <c r="EN13">
        <f>IF(AT13&lt;&gt;-999,AT13*$EM13, -999)</f>
        <v>8581553.3882036638</v>
      </c>
      <c r="EO13">
        <f>IF(AU13&lt;&gt;-999,AU13*$EM13, -999)</f>
        <v>841482.49572749343</v>
      </c>
      <c r="EP13" s="23">
        <f>IF(AV13&lt;&gt;-999,AV13*$EM13, -999)</f>
        <v>9423035.8839311581</v>
      </c>
      <c r="EQ13">
        <f>-19.943-(0.1023*G13)+H13*(100+102.093-66.644-64.243)</f>
        <v>20.336941576745836</v>
      </c>
      <c r="ER13">
        <f>IF(AW13&lt;&gt;-999,AW13*$EQ13, -999)</f>
        <v>2760435.6337655997</v>
      </c>
      <c r="ES13">
        <f>IF(AX13&lt;&gt;-999,AX13*$EQ13, -999)</f>
        <v>270680.99617613229</v>
      </c>
      <c r="ET13" s="23">
        <f>IF(AY13&lt;&gt;-999,AY13*$EQ13, -999)</f>
        <v>3031116.6299417317</v>
      </c>
      <c r="EU13">
        <f>-25.871-(0.1023*G13)+H13*(100+102.093-66.644-64.243)</f>
        <v>14.408941576745839</v>
      </c>
      <c r="EV13">
        <f>IF(AZ13&lt;&gt;-999,AZ13*$EU13, -999)</f>
        <v>3775939.4489075728</v>
      </c>
      <c r="EW13">
        <f>IF(BA13&lt;&gt;-999,BA13*$EU13, -999)</f>
        <v>370257.96225411107</v>
      </c>
      <c r="EX13" s="23">
        <f>IF(BB13&lt;&gt;-999,BB13*$EU13, -999)</f>
        <v>4146197.411161684</v>
      </c>
      <c r="EY13">
        <f>-25.245-(0.1023*G13)+H13*(100+102.093-66.644-64.243)</f>
        <v>15.034941576745837</v>
      </c>
      <c r="EZ13">
        <f>IF(BC13&lt;&gt;-999, BC13*$EY13, -999)</f>
        <v>3423111.3630146552</v>
      </c>
      <c r="FA13">
        <f>IF(BD13&lt;&gt;-999, BD13*$EY13, -999)</f>
        <v>335661.33171841077</v>
      </c>
      <c r="FB13" s="23">
        <f>IF(BE13&lt;&gt;-999, BE13*$EY13, -999)</f>
        <v>3758772.6947330665</v>
      </c>
      <c r="FC13">
        <f>-29.317-(0.1023*G13)+H13*(100+102.093-66.644-64.243)</f>
        <v>10.962941576745841</v>
      </c>
      <c r="FD13">
        <f>IF(BF13&lt;&gt;-999,BF13*$FC13, -999)</f>
        <v>912371.48322199646</v>
      </c>
      <c r="FE13">
        <f>IF(BG13&lt;&gt;-999,BG13*$FC13, -999)</f>
        <v>89464.358996404946</v>
      </c>
      <c r="FF13" s="23">
        <f>IF(BH13&lt;&gt;-999,BH13*$FC13, -999)</f>
        <v>1001835.8422184013</v>
      </c>
      <c r="FG13">
        <f>-38.03-(0.1023*G13)+H13*(100+102.093-66.644-64.243)</f>
        <v>2.2499415767458331</v>
      </c>
      <c r="FH13">
        <f>IF(BI13&lt;&gt;-999,BI13*$FG13, -999)</f>
        <v>361506.76936066872</v>
      </c>
      <c r="FI13">
        <f>IF(BJ13&lt;&gt;-999,BJ13*$FG13, -999)</f>
        <v>35448.368954301404</v>
      </c>
      <c r="FJ13" s="23">
        <f>IF(BK13&lt;&gt;-999,BK13*$FG13, -999)</f>
        <v>396955.13831497013</v>
      </c>
      <c r="FK13" s="28">
        <f t="shared" si="26"/>
        <v>21757913.600301012</v>
      </c>
      <c r="FL13" s="22">
        <f t="shared" si="28"/>
        <v>10.012280000000011</v>
      </c>
      <c r="FM13">
        <f>IF(AT13&lt;&gt;-999,AT13*$FL13, -999)</f>
        <v>3717920.0593090644</v>
      </c>
      <c r="FN13">
        <f>IF(AU13&lt;&gt;-999,AU13*$FL13, -999)</f>
        <v>364568.57038531918</v>
      </c>
      <c r="FO13" s="29">
        <f>IF(AV13&lt;&gt;-999,AV13*$FL13, -999)</f>
        <v>4082488.6296943836</v>
      </c>
      <c r="FP13">
        <f t="shared" si="29"/>
        <v>7.2392800000000115</v>
      </c>
      <c r="FQ13">
        <f>IF(AW13&lt;&gt;-999,AW13*$FP13, -999)</f>
        <v>982623.98008050339</v>
      </c>
      <c r="FR13">
        <f>IF(AX13&lt;&gt;-999,AX13*$FP13, -999)</f>
        <v>96353.501071103732</v>
      </c>
      <c r="FS13" s="29">
        <f>IF(AY13&lt;&gt;-999,AY13*$FP13, -999)</f>
        <v>1078977.4811516071</v>
      </c>
      <c r="FT13">
        <f t="shared" si="30"/>
        <v>1.3112800000000142</v>
      </c>
      <c r="FU13">
        <f>IF(AZ13&lt;&gt;-999,AZ13*$FT13, -999)</f>
        <v>343627.86844485189</v>
      </c>
      <c r="FV13">
        <f>IF(BA13&lt;&gt;-999,BA13*$FT13, -999)</f>
        <v>33695.178661014848</v>
      </c>
      <c r="FW13" s="29">
        <f>IF(BB13&lt;&gt;-999,BB13*$FT13, -999)</f>
        <v>377323.04710586672</v>
      </c>
      <c r="FX13">
        <f t="shared" si="31"/>
        <v>1.9372800000000119</v>
      </c>
      <c r="FY13">
        <f>IF(BC13&lt;&gt;-999, BC13*$FX13, -999)</f>
        <v>441074.22350066755</v>
      </c>
      <c r="FZ13">
        <f>IF(BD13&lt;&gt;-999, BD13*$FX13, -999)</f>
        <v>43250.582743680417</v>
      </c>
      <c r="GA13" s="29">
        <f>IF(BE13&lt;&gt;-999, BE13*$FX13, -999)</f>
        <v>484324.80624434806</v>
      </c>
      <c r="GB13">
        <f t="shared" si="32"/>
        <v>-2.1347199999999873</v>
      </c>
      <c r="GC13">
        <f>IF(BF13&lt;&gt;-999,BF13*$GB13, -999)</f>
        <v>-177658.30813099863</v>
      </c>
      <c r="GD13">
        <f>IF(BG13&lt;&gt;-999,BG13*$GB13, -999)</f>
        <v>-17420.630685646134</v>
      </c>
      <c r="GE13" s="29">
        <f>IF(BH13&lt;&gt;-999,BH13*$GB13, -999)</f>
        <v>-195078.93881664475</v>
      </c>
      <c r="GF13">
        <f t="shared" si="33"/>
        <v>-10.847719999999988</v>
      </c>
      <c r="GG13">
        <f>IF(BI13&lt;&gt;-999,BI13*$GF13, -999)</f>
        <v>-1742944.9069521809</v>
      </c>
      <c r="GH13">
        <f>IF(BJ13&lt;&gt;-999,BJ13*$GF13, -999)</f>
        <v>-170908.42928869228</v>
      </c>
      <c r="GI13" s="29">
        <f>IF(BK13&lt;&gt;-999,BK13*$GF13, -999)</f>
        <v>-1913853.336240873</v>
      </c>
      <c r="GJ13" s="30">
        <f t="shared" si="27"/>
        <v>3914181.6891386872</v>
      </c>
    </row>
    <row r="14" spans="1:192">
      <c r="A14" s="48" t="s">
        <v>153</v>
      </c>
      <c r="B14" s="48" t="s">
        <v>154</v>
      </c>
      <c r="C14" s="49">
        <v>115</v>
      </c>
      <c r="D14" s="50">
        <v>0.98699999999999999</v>
      </c>
      <c r="E14" s="49">
        <v>210.714439230311</v>
      </c>
      <c r="F14" s="49">
        <v>0.77890145478620898</v>
      </c>
      <c r="G14" s="49">
        <v>78.484003699111</v>
      </c>
      <c r="H14" s="49">
        <v>0.81682775538095598</v>
      </c>
      <c r="I14" s="42">
        <v>23359.3</v>
      </c>
      <c r="J14" s="43">
        <v>-999</v>
      </c>
      <c r="K14" s="43">
        <f t="shared" si="0"/>
        <v>23359.3</v>
      </c>
      <c r="L14" s="43">
        <v>20922.3</v>
      </c>
      <c r="M14" s="43">
        <v>-999</v>
      </c>
      <c r="N14" s="43">
        <f t="shared" si="1"/>
        <v>20922.3</v>
      </c>
      <c r="O14" s="43">
        <v>38140.9</v>
      </c>
      <c r="P14" s="43">
        <v>-999</v>
      </c>
      <c r="Q14" s="43">
        <f t="shared" si="2"/>
        <v>38140.9</v>
      </c>
      <c r="R14" s="43">
        <v>14152.3</v>
      </c>
      <c r="S14" s="43">
        <v>-999</v>
      </c>
      <c r="T14" s="43">
        <f t="shared" si="3"/>
        <v>14152.3</v>
      </c>
      <c r="U14" s="43">
        <v>12675.8</v>
      </c>
      <c r="V14" s="43">
        <v>-999</v>
      </c>
      <c r="W14" s="43">
        <f t="shared" si="4"/>
        <v>12675.8</v>
      </c>
      <c r="X14" s="43">
        <v>23107.7</v>
      </c>
      <c r="Y14" s="43">
        <v>-999</v>
      </c>
      <c r="Z14" s="43">
        <f t="shared" si="5"/>
        <v>23107.7</v>
      </c>
      <c r="AA14" s="22">
        <v>252240.1</v>
      </c>
      <c r="AB14">
        <v>-999</v>
      </c>
      <c r="AC14">
        <v>252240.1</v>
      </c>
      <c r="AD14">
        <v>225925</v>
      </c>
      <c r="AE14">
        <v>-999</v>
      </c>
      <c r="AF14">
        <v>225925</v>
      </c>
      <c r="AG14">
        <v>411856.1</v>
      </c>
      <c r="AH14">
        <v>-999</v>
      </c>
      <c r="AI14">
        <v>411856.1</v>
      </c>
      <c r="AJ14">
        <v>152820</v>
      </c>
      <c r="AK14">
        <v>-999</v>
      </c>
      <c r="AL14">
        <v>152820</v>
      </c>
      <c r="AM14">
        <v>136876.9</v>
      </c>
      <c r="AN14">
        <v>-999</v>
      </c>
      <c r="AO14">
        <v>136876.9</v>
      </c>
      <c r="AP14">
        <v>249523.5</v>
      </c>
      <c r="AQ14">
        <v>-999</v>
      </c>
      <c r="AR14">
        <v>249523.5</v>
      </c>
      <c r="AS14">
        <v>1429241.66</v>
      </c>
      <c r="AT14" s="22">
        <f t="shared" si="6"/>
        <v>419900.1784424475</v>
      </c>
      <c r="AU14">
        <f t="shared" si="6"/>
        <v>-999</v>
      </c>
      <c r="AV14">
        <f t="shared" si="6"/>
        <v>419900.1784424475</v>
      </c>
      <c r="AW14">
        <f t="shared" si="6"/>
        <v>376093.84001437499</v>
      </c>
      <c r="AX14">
        <f t="shared" si="6"/>
        <v>-999</v>
      </c>
      <c r="AY14">
        <f t="shared" si="6"/>
        <v>376093.84001437499</v>
      </c>
      <c r="AZ14">
        <f t="shared" si="6"/>
        <v>685610.4556040474</v>
      </c>
      <c r="BA14">
        <f t="shared" si="6"/>
        <v>-999</v>
      </c>
      <c r="BB14">
        <f t="shared" si="6"/>
        <v>685610.4556040474</v>
      </c>
      <c r="BC14">
        <f t="shared" si="6"/>
        <v>254397.08146950003</v>
      </c>
      <c r="BD14">
        <f t="shared" si="6"/>
        <v>-999</v>
      </c>
      <c r="BE14">
        <f t="shared" si="6"/>
        <v>254397.08146950003</v>
      </c>
      <c r="BF14">
        <f t="shared" si="6"/>
        <v>227856.85041612748</v>
      </c>
      <c r="BG14">
        <f t="shared" si="6"/>
        <v>-999</v>
      </c>
      <c r="BH14">
        <f t="shared" si="6"/>
        <v>227856.85041612748</v>
      </c>
      <c r="BI14">
        <f t="shared" si="6"/>
        <v>415377.89659766253</v>
      </c>
      <c r="BJ14">
        <f t="shared" si="7"/>
        <v>-999</v>
      </c>
      <c r="BK14">
        <f t="shared" si="7"/>
        <v>415377.89659766253</v>
      </c>
      <c r="BL14">
        <f t="shared" si="7"/>
        <v>2379236.4024252286</v>
      </c>
      <c r="BM14" s="22">
        <f>-17.17-(0.1023*E14)+F14*(100-8.576-13.681)</f>
        <v>21.828048666183435</v>
      </c>
      <c r="BN14">
        <f>IF(AT14&lt;&gt;-999,AT14*$BM14, -999)</f>
        <v>9165601.5299808532</v>
      </c>
      <c r="BO14">
        <f>IF(AU14&lt;&gt;-999,AU14*$BM14, -999)</f>
        <v>-999</v>
      </c>
      <c r="BP14" s="25">
        <f>IF(AV14&lt;&gt;-999,AV14*$BM14, -999)</f>
        <v>9165601.5299808532</v>
      </c>
      <c r="BQ14">
        <f>-19.943-(0.1023*E14)+F14*(100-8.576-13.681)</f>
        <v>19.055048666183438</v>
      </c>
      <c r="BR14">
        <f>IF(AW14&lt;&gt;-999,AW14*$BQ14, -999)</f>
        <v>7166486.4245257238</v>
      </c>
      <c r="BS14">
        <f>IF(AX14&lt;&gt;-999,AX14*$BQ14, -999)</f>
        <v>-999</v>
      </c>
      <c r="BT14" s="25">
        <f>IF(AY14&lt;&gt;-999,AY14*$BQ14, -999)</f>
        <v>7166486.4245257238</v>
      </c>
      <c r="BU14">
        <f>-25.871-(0.1023*E14)+F14*(100-8.576-13.681)</f>
        <v>13.127048666183441</v>
      </c>
      <c r="BV14">
        <f>IF(AZ14&lt;&gt;-999,AZ14*$BU14, -999)</f>
        <v>9000041.8167585321</v>
      </c>
      <c r="BW14">
        <f>IF(BA14&lt;&gt;-999,BA14*$BU14, -999)</f>
        <v>-999</v>
      </c>
      <c r="BX14" s="25">
        <f>IF(BB14&lt;&gt;-999,BB14*$BU14, -999)</f>
        <v>9000041.8167585321</v>
      </c>
      <c r="BY14">
        <f>-25.245-(0.1023*E14)+F14*(100-8.576-13.681)</f>
        <v>13.753048666183432</v>
      </c>
      <c r="BZ14">
        <f>IF(BC14&lt;&gt;-999,BC14*$BY14, -999)</f>
        <v>3498735.4419850651</v>
      </c>
      <c r="CA14">
        <f>IF(BD14&lt;&gt;-999,BD14*$BY14, -999)</f>
        <v>-999</v>
      </c>
      <c r="CB14" s="25">
        <f>IF(BE14&lt;&gt;-999,BE14*$BY14, -999)</f>
        <v>3498735.4419850651</v>
      </c>
      <c r="CC14">
        <f>-29.317-(0.1023*E14)+F14*(100-8.576-13.681)</f>
        <v>9.6810486661834361</v>
      </c>
      <c r="CD14">
        <f>IF(BF14&lt;&gt;-999,BF14*$CC14, -999)</f>
        <v>2205893.2578018098</v>
      </c>
      <c r="CE14">
        <f>IF(BG14&lt;&gt;-999,BG14*$CC14, -999)</f>
        <v>-999</v>
      </c>
      <c r="CF14" s="25">
        <f>IF(BH14&lt;&gt;-999,BH14*$CC14, -999)</f>
        <v>2205893.2578018098</v>
      </c>
      <c r="CG14">
        <f>-38.03-(0.1023*E14)+F14*(100-8.576-13.681)</f>
        <v>0.9680486661834351</v>
      </c>
      <c r="CH14">
        <f>IF(BI14&lt;&gt;-999,BI14*$CG14, -999)</f>
        <v>402106.01876344805</v>
      </c>
      <c r="CI14">
        <f>IF(BJ14&lt;&gt;-999,BJ14*$CG14, -999)</f>
        <v>-999</v>
      </c>
      <c r="CJ14" s="25">
        <f>IF(BK14&lt;&gt;-999,BK14*$CG14, -999)</f>
        <v>402106.01876344805</v>
      </c>
      <c r="CK14" s="26">
        <f t="shared" si="8"/>
        <v>31438864.489815433</v>
      </c>
      <c r="CL14">
        <f t="shared" si="9"/>
        <v>-21.739467917941219</v>
      </c>
      <c r="CM14">
        <f t="shared" si="10"/>
        <v>36.605525175535078</v>
      </c>
      <c r="CN14">
        <f t="shared" si="11"/>
        <v>-79.076631336461432</v>
      </c>
      <c r="CO14" s="22">
        <f t="shared" si="12"/>
        <v>-40.08</v>
      </c>
      <c r="CP14">
        <f>IF(AT14&lt;&gt;-999,AT14*$CO14, -999)</f>
        <v>-16829599.151973296</v>
      </c>
      <c r="CQ14">
        <f>IF(AU14&lt;&gt;-999,AU14*$CO14, -999)</f>
        <v>-999</v>
      </c>
      <c r="CR14" s="27">
        <f>IF(AV14&lt;&gt;-999,AV14*$CO14, -999)</f>
        <v>-16829599.151973296</v>
      </c>
      <c r="CS14">
        <f t="shared" si="13"/>
        <v>-42.853000000000002</v>
      </c>
      <c r="CT14">
        <f>IF(AW14&lt;&gt;-999,AW14*$CS14, -999)</f>
        <v>-16116749.326136012</v>
      </c>
      <c r="CU14">
        <f>IF(AX14&lt;&gt;-999,AX14*$CS14, -999)</f>
        <v>-999</v>
      </c>
      <c r="CV14" s="27">
        <f>IF(AY14&lt;&gt;-999,AY14*$CS14, -999)</f>
        <v>-16116749.326136012</v>
      </c>
      <c r="CW14">
        <f t="shared" si="14"/>
        <v>-48.780999999999999</v>
      </c>
      <c r="CX14">
        <f>IF(AZ14&lt;&gt;-999,AZ14*$CO14, -999)</f>
        <v>-27479267.06061022</v>
      </c>
      <c r="CY14">
        <f>IF(BA14&lt;&gt;-999,BA14*$CO14, -999)</f>
        <v>-999</v>
      </c>
      <c r="CZ14" s="27">
        <f>IF(BB14&lt;&gt;-999,BB14*$CO14, -999)</f>
        <v>-27479267.06061022</v>
      </c>
      <c r="DA14">
        <f t="shared" si="15"/>
        <v>-48.155000000000001</v>
      </c>
      <c r="DB14">
        <f>IF(BC14&lt;&gt;-999,BC14*$DA14, -999)</f>
        <v>-12250491.458163774</v>
      </c>
      <c r="DC14">
        <f>IF(BD14&lt;&gt;-999,BD14*$DA14, -999)</f>
        <v>-999</v>
      </c>
      <c r="DD14" s="27">
        <f>IF(BE14&lt;&gt;-999,BE14*$DA14, -999)</f>
        <v>-12250491.458163774</v>
      </c>
      <c r="DE14">
        <f t="shared" si="16"/>
        <v>-52.227000000000004</v>
      </c>
      <c r="DF14">
        <f>IF(BF14&lt;&gt;-999,BF14*$DE14, -999)</f>
        <v>-11900279.726683091</v>
      </c>
      <c r="DG14">
        <f>IF(BG14&lt;&gt;-999,BG14*$DE14, -999)</f>
        <v>-999</v>
      </c>
      <c r="DH14" s="27">
        <f>IF(BH14&lt;&gt;-999,BH14*$DE14, -999)</f>
        <v>-11900279.726683091</v>
      </c>
      <c r="DI14">
        <f t="shared" si="17"/>
        <v>-60.94</v>
      </c>
      <c r="DJ14">
        <f>IF(BI14&lt;&gt;-999,BI14*$DI14, -999)</f>
        <v>-25313129.018661555</v>
      </c>
      <c r="DK14">
        <f>IF(BJ14&lt;&gt;-999,BJ14*$DI14, -999)</f>
        <v>-999</v>
      </c>
      <c r="DL14" s="27">
        <f>IF(BK14&lt;&gt;-999,BK14*$DI14, -999)</f>
        <v>-25313129.018661555</v>
      </c>
      <c r="DM14" s="28">
        <f t="shared" si="18"/>
        <v>-109889515.74222796</v>
      </c>
      <c r="DN14" s="22">
        <f t="shared" si="19"/>
        <v>-17.170000000000002</v>
      </c>
      <c r="DO14">
        <f>IF(AT14&lt;&gt;-999,AT14*$DN14, -999)</f>
        <v>-7209686.0638568243</v>
      </c>
      <c r="DP14">
        <f>IF(AU14&lt;&gt;-999,AU14*$DN14, -999)</f>
        <v>-999</v>
      </c>
      <c r="DQ14" s="24">
        <f>IF(AV14&lt;&gt;-999,AV14*$DN14, -999)</f>
        <v>-7209686.0638568243</v>
      </c>
      <c r="DR14">
        <f t="shared" si="20"/>
        <v>-19.943000000000001</v>
      </c>
      <c r="DS14">
        <f>IF(AW14&lt;&gt;-999,AW14*$DR14, -999)</f>
        <v>-7500439.451406681</v>
      </c>
      <c r="DT14">
        <f>IF(AX14&lt;&gt;-999,AX14*$DR14, -999)</f>
        <v>-999</v>
      </c>
      <c r="DU14" s="24">
        <f>IF(AY14&lt;&gt;-999,AY14*$DR14, -999)</f>
        <v>-7500439.451406681</v>
      </c>
      <c r="DV14">
        <f t="shared" si="21"/>
        <v>-25.870999999999999</v>
      </c>
      <c r="DW14">
        <f>IF(AZ14&lt;&gt;-999,AZ14*$DV14, -999)</f>
        <v>-17737428.096932311</v>
      </c>
      <c r="DX14">
        <f>IF(BA14&lt;&gt;-999,BA14*$DV14, -999)</f>
        <v>-999</v>
      </c>
      <c r="DY14" s="24">
        <f>IF(BB14&lt;&gt;-999,BB14*$DV14, -999)</f>
        <v>-17737428.096932311</v>
      </c>
      <c r="DZ14">
        <f t="shared" si="22"/>
        <v>-25.245000000000001</v>
      </c>
      <c r="EA14">
        <f>IF(BC14&lt;&gt;-999, BC14*$DZ14, -999)</f>
        <v>-6422254.3216975285</v>
      </c>
      <c r="EB14">
        <f>IF(BD14&lt;&gt;-999, BD14*$DZ14, -999)</f>
        <v>-999</v>
      </c>
      <c r="EC14" s="24">
        <f>IF(BE14&lt;&gt;-999, BE14*$DZ14, -999)</f>
        <v>-6422254.3216975285</v>
      </c>
      <c r="ED14">
        <f t="shared" si="23"/>
        <v>-29.317</v>
      </c>
      <c r="EE14">
        <f>IF(BF14&lt;&gt;-999,BF14*$ED14, -999)</f>
        <v>-6680079.2836496094</v>
      </c>
      <c r="EF14">
        <f>IF(BG14&lt;&gt;-999,BG14*$ED14, -999)</f>
        <v>-999</v>
      </c>
      <c r="EG14" s="24">
        <f>IF(BH14&lt;&gt;-999,BH14*$ED14, -999)</f>
        <v>-6680079.2836496094</v>
      </c>
      <c r="EH14">
        <f t="shared" si="24"/>
        <v>-38.03</v>
      </c>
      <c r="EI14">
        <f>IF(BI14&lt;&gt;-999,BI14*$EH14, -999)</f>
        <v>-15796821.407609107</v>
      </c>
      <c r="EJ14">
        <f>IF(BJ14&lt;&gt;-999,BJ14*$EH14, -999)</f>
        <v>-999</v>
      </c>
      <c r="EK14" s="24">
        <f>IF(BK14&lt;&gt;-999,BK14*$EH14, -999)</f>
        <v>-15796821.407609107</v>
      </c>
      <c r="EL14" s="28">
        <f t="shared" si="25"/>
        <v>-61346708.625152059</v>
      </c>
      <c r="EM14" s="22">
        <f>-17.17-(0.1023*G14)+H14*(100+102.093-66.644-64.243)</f>
        <v>32.964123571237309</v>
      </c>
      <c r="EN14">
        <f>IF(AT14&lt;&gt;-999,AT14*$EM14, -999)</f>
        <v>13841641.369761435</v>
      </c>
      <c r="EO14">
        <f>IF(AU14&lt;&gt;-999,AU14*$EM14, -999)</f>
        <v>-999</v>
      </c>
      <c r="EP14" s="23">
        <f>IF(AV14&lt;&gt;-999,AV14*$EM14, -999)</f>
        <v>13841641.369761435</v>
      </c>
      <c r="EQ14">
        <f>-19.943-(0.1023*G14)+H14*(100+102.093-66.644-64.243)</f>
        <v>30.191123571237313</v>
      </c>
      <c r="ER14">
        <f>IF(AW14&lt;&gt;-999,AW14*$EQ14, -999)</f>
        <v>11354695.598255152</v>
      </c>
      <c r="ES14">
        <f>IF(AX14&lt;&gt;-999,AX14*$EQ14, -999)</f>
        <v>-999</v>
      </c>
      <c r="ET14" s="23">
        <f>IF(AY14&lt;&gt;-999,AY14*$EQ14, -999)</f>
        <v>11354695.598255152</v>
      </c>
      <c r="EU14">
        <f>-25.871-(0.1023*G14)+H14*(100+102.093-66.644-64.243)</f>
        <v>24.263123571237315</v>
      </c>
      <c r="EV14">
        <f>IF(AZ14&lt;&gt;-999,AZ14*$EU14, -999)</f>
        <v>16635051.206053317</v>
      </c>
      <c r="EW14">
        <f>IF(BA14&lt;&gt;-999,BA14*$EU14, -999)</f>
        <v>-999</v>
      </c>
      <c r="EX14" s="23">
        <f>IF(BB14&lt;&gt;-999,BB14*$EU14, -999)</f>
        <v>16635051.206053317</v>
      </c>
      <c r="EY14">
        <f>-25.245-(0.1023*G14)+H14*(100+102.093-66.644-64.243)</f>
        <v>24.889123571237313</v>
      </c>
      <c r="EZ14">
        <f>IF(BC14&lt;&gt;-999, BC14*$EY14, -999)</f>
        <v>6331720.3968565119</v>
      </c>
      <c r="FA14">
        <f>IF(BD14&lt;&gt;-999, BD14*$EY14, -999)</f>
        <v>-999</v>
      </c>
      <c r="FB14" s="23">
        <f>IF(BE14&lt;&gt;-999, BE14*$EY14, -999)</f>
        <v>6331720.3968565119</v>
      </c>
      <c r="FC14">
        <f>-29.317-(0.1023*G14)+H14*(100+102.093-66.644-64.243)</f>
        <v>20.81712357123731</v>
      </c>
      <c r="FD14">
        <f>IF(BF14&lt;&gt;-999,BF14*$FC14, -999)</f>
        <v>4743324.2116654608</v>
      </c>
      <c r="FE14">
        <f>IF(BG14&lt;&gt;-999,BG14*$FC14, -999)</f>
        <v>-999</v>
      </c>
      <c r="FF14" s="23">
        <f>IF(BH14&lt;&gt;-999,BH14*$FC14, -999)</f>
        <v>4743324.2116654608</v>
      </c>
      <c r="FG14">
        <f>-38.03-(0.1023*G14)+H14*(100+102.093-66.644-64.243)</f>
        <v>12.104123571237309</v>
      </c>
      <c r="FH14">
        <f>IF(BI14&lt;&gt;-999,BI14*$FG14, -999)</f>
        <v>5027785.3891787408</v>
      </c>
      <c r="FI14">
        <f>IF(BJ14&lt;&gt;-999,BJ14*$FG14, -999)</f>
        <v>-999</v>
      </c>
      <c r="FJ14" s="23">
        <f>IF(BK14&lt;&gt;-999,BK14*$FG14, -999)</f>
        <v>5027785.3891787408</v>
      </c>
      <c r="FK14" s="28">
        <f t="shared" si="26"/>
        <v>57934218.17177061</v>
      </c>
      <c r="FL14" s="22">
        <f t="shared" si="28"/>
        <v>10.012280000000011</v>
      </c>
      <c r="FM14">
        <f>IF(AT14&lt;&gt;-999,AT14*$FL14, -999)</f>
        <v>4204158.1586157531</v>
      </c>
      <c r="FN14">
        <f>IF(AU14&lt;&gt;-999,AU14*$FL14, -999)</f>
        <v>-999</v>
      </c>
      <c r="FO14" s="29">
        <f>IF(AV14&lt;&gt;-999,AV14*$FL14, -999)</f>
        <v>4204158.1586157531</v>
      </c>
      <c r="FP14">
        <f t="shared" si="29"/>
        <v>7.2392800000000115</v>
      </c>
      <c r="FQ14">
        <f>IF(AW14&lt;&gt;-999,AW14*$FP14, -999)</f>
        <v>2722648.6141392691</v>
      </c>
      <c r="FR14">
        <f>IF(AX14&lt;&gt;-999,AX14*$FP14, -999)</f>
        <v>-999</v>
      </c>
      <c r="FS14" s="29">
        <f>IF(AY14&lt;&gt;-999,AY14*$FP14, -999)</f>
        <v>2722648.6141392691</v>
      </c>
      <c r="FT14">
        <f t="shared" si="30"/>
        <v>1.3112800000000142</v>
      </c>
      <c r="FU14">
        <f>IF(AZ14&lt;&gt;-999,AZ14*$FT14, -999)</f>
        <v>899027.278224485</v>
      </c>
      <c r="FV14">
        <f>IF(BA14&lt;&gt;-999,BA14*$FT14, -999)</f>
        <v>-999</v>
      </c>
      <c r="FW14" s="29">
        <f>IF(BB14&lt;&gt;-999,BB14*$FT14, -999)</f>
        <v>899027.278224485</v>
      </c>
      <c r="FX14">
        <f t="shared" si="31"/>
        <v>1.9372800000000119</v>
      </c>
      <c r="FY14">
        <f>IF(BC14&lt;&gt;-999, BC14*$FX14, -999)</f>
        <v>492838.37798923603</v>
      </c>
      <c r="FZ14">
        <f>IF(BD14&lt;&gt;-999, BD14*$FX14, -999)</f>
        <v>-999</v>
      </c>
      <c r="GA14" s="29">
        <f>IF(BE14&lt;&gt;-999, BE14*$FX14, -999)</f>
        <v>492838.37798923603</v>
      </c>
      <c r="GB14">
        <f t="shared" si="32"/>
        <v>-2.1347199999999873</v>
      </c>
      <c r="GC14">
        <f>IF(BF14&lt;&gt;-999,BF14*$GB14, -999)</f>
        <v>-486410.57572031277</v>
      </c>
      <c r="GD14">
        <f>IF(BG14&lt;&gt;-999,BG14*$GB14, -999)</f>
        <v>-999</v>
      </c>
      <c r="GE14" s="29">
        <f>IF(BH14&lt;&gt;-999,BH14*$GB14, -999)</f>
        <v>-486410.57572031277</v>
      </c>
      <c r="GF14">
        <f t="shared" si="33"/>
        <v>-10.847719999999988</v>
      </c>
      <c r="GG14">
        <f>IF(BI14&lt;&gt;-999,BI14*$GF14, -999)</f>
        <v>-4505903.1164803905</v>
      </c>
      <c r="GH14">
        <f>IF(BJ14&lt;&gt;-999,BJ14*$GF14, -999)</f>
        <v>-999</v>
      </c>
      <c r="GI14" s="29">
        <f>IF(BK14&lt;&gt;-999,BK14*$GF14, -999)</f>
        <v>-4505903.1164803905</v>
      </c>
      <c r="GJ14" s="30">
        <f t="shared" si="27"/>
        <v>3326358.7367680399</v>
      </c>
    </row>
    <row r="15" spans="1:192">
      <c r="A15" s="48" t="s">
        <v>142</v>
      </c>
      <c r="B15" s="48" t="s">
        <v>155</v>
      </c>
      <c r="C15" s="49">
        <v>121</v>
      </c>
      <c r="D15" s="50">
        <v>0.98699999999999999</v>
      </c>
      <c r="E15" s="49">
        <v>134.73416450378099</v>
      </c>
      <c r="F15" s="49">
        <v>0.78782918795068302</v>
      </c>
      <c r="G15" s="49">
        <v>171.84503235867101</v>
      </c>
      <c r="H15" s="49">
        <v>0.81115696719958297</v>
      </c>
      <c r="I15" s="42">
        <v>66201.600000000006</v>
      </c>
      <c r="J15" s="43">
        <v>13348.1</v>
      </c>
      <c r="K15" s="43">
        <f t="shared" si="0"/>
        <v>79549.700000000012</v>
      </c>
      <c r="L15" s="43">
        <v>27354.6</v>
      </c>
      <c r="M15" s="43">
        <v>5515.4</v>
      </c>
      <c r="N15" s="43">
        <f t="shared" si="1"/>
        <v>32870</v>
      </c>
      <c r="O15" s="43">
        <v>69355.100000000006</v>
      </c>
      <c r="P15" s="43">
        <v>13983.9</v>
      </c>
      <c r="Q15" s="43">
        <f t="shared" si="2"/>
        <v>83339</v>
      </c>
      <c r="R15" s="43">
        <v>81792.800000000003</v>
      </c>
      <c r="S15" s="43">
        <v>16491.7</v>
      </c>
      <c r="T15" s="43">
        <f t="shared" si="3"/>
        <v>98284.5</v>
      </c>
      <c r="U15" s="43">
        <v>33796.9</v>
      </c>
      <c r="V15" s="43">
        <v>6814.4</v>
      </c>
      <c r="W15" s="43">
        <f t="shared" si="4"/>
        <v>40611.300000000003</v>
      </c>
      <c r="X15" s="43">
        <v>85689</v>
      </c>
      <c r="Y15" s="43">
        <v>17277.3</v>
      </c>
      <c r="Z15" s="43">
        <f t="shared" si="5"/>
        <v>102966.3</v>
      </c>
      <c r="AA15" s="22">
        <v>1195977.2</v>
      </c>
      <c r="AB15">
        <v>288361</v>
      </c>
      <c r="AC15">
        <v>1484338.2</v>
      </c>
      <c r="AD15">
        <v>494179.7</v>
      </c>
      <c r="AE15">
        <v>119151.2</v>
      </c>
      <c r="AF15">
        <v>613330.9</v>
      </c>
      <c r="AG15">
        <v>1252947.5</v>
      </c>
      <c r="AH15">
        <v>302097.09999999998</v>
      </c>
      <c r="AI15">
        <v>1555044.5</v>
      </c>
      <c r="AJ15">
        <v>1477643.6</v>
      </c>
      <c r="AK15">
        <v>356273.4</v>
      </c>
      <c r="AL15">
        <v>1833917</v>
      </c>
      <c r="AM15">
        <v>610564.69999999995</v>
      </c>
      <c r="AN15">
        <v>147212.70000000001</v>
      </c>
      <c r="AO15">
        <v>757777.4</v>
      </c>
      <c r="AP15">
        <v>1548031.1</v>
      </c>
      <c r="AQ15">
        <v>373244.4</v>
      </c>
      <c r="AR15">
        <v>1921275.5</v>
      </c>
      <c r="AS15">
        <v>8165683.5499999998</v>
      </c>
      <c r="AT15" s="22">
        <f t="shared" si="6"/>
        <v>1990924.67729397</v>
      </c>
      <c r="AU15">
        <f t="shared" si="6"/>
        <v>480030.07989547495</v>
      </c>
      <c r="AV15">
        <f t="shared" si="6"/>
        <v>2470954.7571894452</v>
      </c>
      <c r="AW15">
        <f t="shared" si="6"/>
        <v>822653.27445015754</v>
      </c>
      <c r="AX15">
        <f t="shared" si="6"/>
        <v>198349.15281761999</v>
      </c>
      <c r="AY15">
        <f t="shared" si="6"/>
        <v>1021002.4272677775</v>
      </c>
      <c r="AZ15">
        <f t="shared" si="6"/>
        <v>2085762.2512400625</v>
      </c>
      <c r="BA15">
        <f t="shared" si="6"/>
        <v>502896.35231252242</v>
      </c>
      <c r="BB15">
        <f t="shared" si="6"/>
        <v>2588658.4370841375</v>
      </c>
      <c r="BC15">
        <f t="shared" si="6"/>
        <v>2459810.3605031101</v>
      </c>
      <c r="BD15">
        <f t="shared" si="6"/>
        <v>593082.79783546505</v>
      </c>
      <c r="BE15">
        <f t="shared" si="6"/>
        <v>3052893.1583385747</v>
      </c>
      <c r="BF15">
        <f t="shared" si="6"/>
        <v>1016397.5770730323</v>
      </c>
      <c r="BG15">
        <f t="shared" si="6"/>
        <v>245062.69621283252</v>
      </c>
      <c r="BH15">
        <f t="shared" si="6"/>
        <v>1261460.2732858651</v>
      </c>
      <c r="BI15">
        <f t="shared" si="6"/>
        <v>2576983.3389871726</v>
      </c>
      <c r="BJ15">
        <f t="shared" si="7"/>
        <v>621334.15806069004</v>
      </c>
      <c r="BK15">
        <f t="shared" si="7"/>
        <v>3198317.4970478625</v>
      </c>
      <c r="BL15">
        <f t="shared" si="7"/>
        <v>13593286.633447886</v>
      </c>
      <c r="BM15" s="22">
        <f>-17.17-(0.1023*E15)+F15*(100-8.576-13.681)</f>
        <v>30.29489953011316</v>
      </c>
      <c r="BN15">
        <f>IF(AT15&lt;&gt;-999,AT15*$BM15, -999)</f>
        <v>60314863.070643783</v>
      </c>
      <c r="BO15">
        <f>IF(AU15&lt;&gt;-999,AU15*$BM15, -999)</f>
        <v>14542463.041865606</v>
      </c>
      <c r="BP15" s="25">
        <f>IF(AV15&lt;&gt;-999,AV15*$BM15, -999)</f>
        <v>74857326.1125094</v>
      </c>
      <c r="BQ15">
        <f>-19.943-(0.1023*E15)+F15*(100-8.576-13.681)</f>
        <v>27.52189953011316</v>
      </c>
      <c r="BR15">
        <f>IF(AW15&lt;&gt;-999,AW15*$BQ15, -999)</f>
        <v>22640980.767535843</v>
      </c>
      <c r="BS15">
        <f>IF(AX15&lt;&gt;-999,AX15*$BQ15, -999)</f>
        <v>5458945.4557295991</v>
      </c>
      <c r="BT15" s="25">
        <f>IF(AY15&lt;&gt;-999,AY15*$BQ15, -999)</f>
        <v>28099926.223265443</v>
      </c>
      <c r="BU15">
        <f>-25.871-(0.1023*E15)+F15*(100-8.576-13.681)</f>
        <v>21.593899530113163</v>
      </c>
      <c r="BV15">
        <f>IF(AZ15&lt;&gt;-999,AZ15*$BU15, -999)</f>
        <v>45039740.496980555</v>
      </c>
      <c r="BW15">
        <f>IF(BA15&lt;&gt;-999,BA15*$BU15, -999)</f>
        <v>10859493.305897001</v>
      </c>
      <c r="BX15" s="25">
        <f>IF(BB15&lt;&gt;-999,BB15*$BU15, -999)</f>
        <v>55899230.208174631</v>
      </c>
      <c r="BY15">
        <f>-25.245-(0.1023*E15)+F15*(100-8.576-13.681)</f>
        <v>22.21989953011316</v>
      </c>
      <c r="BZ15">
        <f>IF(BC15&lt;&gt;-999,BC15*$BY15, -999)</f>
        <v>54656739.073510543</v>
      </c>
      <c r="CA15">
        <f>IF(BD15&lt;&gt;-999,BD15*$BY15, -999)</f>
        <v>13178240.180942448</v>
      </c>
      <c r="CB15" s="25">
        <f>IF(BE15&lt;&gt;-999,BE15*$BY15, -999)</f>
        <v>67834979.254452974</v>
      </c>
      <c r="CC15">
        <f>-29.317-(0.1023*E15)+F15*(100-8.576-13.681)</f>
        <v>18.147899530113158</v>
      </c>
      <c r="CD15">
        <f>IF(BF15&lt;&gt;-999,BF15*$CC15, -999)</f>
        <v>18445481.111371834</v>
      </c>
      <c r="CE15">
        <f>IF(BG15&lt;&gt;-999,BG15*$CC15, -999)</f>
        <v>4447373.1894491268</v>
      </c>
      <c r="CF15" s="25">
        <f>IF(BH15&lt;&gt;-999,BH15*$CC15, -999)</f>
        <v>22892854.300820965</v>
      </c>
      <c r="CG15">
        <f>-38.03-(0.1023*E15)+F15*(100-8.576-13.681)</f>
        <v>9.4348995301131637</v>
      </c>
      <c r="CH15">
        <f>IF(BI15&lt;&gt;-999,BI15*$CG15, -999)</f>
        <v>24313578.894119527</v>
      </c>
      <c r="CI15">
        <f>IF(BJ15&lt;&gt;-999,BJ15*$CG15, -999)</f>
        <v>5862225.3559300629</v>
      </c>
      <c r="CJ15" s="25">
        <f>IF(BK15&lt;&gt;-999,BK15*$CG15, -999)</f>
        <v>30175804.250049587</v>
      </c>
      <c r="CK15" s="26">
        <f t="shared" si="8"/>
        <v>279760120.34927303</v>
      </c>
      <c r="CL15">
        <f t="shared" si="9"/>
        <v>-31.106972310575223</v>
      </c>
      <c r="CM15">
        <f t="shared" si="10"/>
        <v>26.576851410417454</v>
      </c>
      <c r="CN15">
        <f t="shared" si="11"/>
        <v>-87.794387150041231</v>
      </c>
      <c r="CO15" s="22">
        <f t="shared" si="12"/>
        <v>-40.08</v>
      </c>
      <c r="CP15">
        <f>IF(AT15&lt;&gt;-999,AT15*$CO15, -999)</f>
        <v>-79796261.065942317</v>
      </c>
      <c r="CQ15">
        <f>IF(AU15&lt;&gt;-999,AU15*$CO15, -999)</f>
        <v>-19239605.602210633</v>
      </c>
      <c r="CR15" s="27">
        <f>IF(AV15&lt;&gt;-999,AV15*$CO15, -999)</f>
        <v>-99035866.668152958</v>
      </c>
      <c r="CS15">
        <f t="shared" si="13"/>
        <v>-42.853000000000002</v>
      </c>
      <c r="CT15">
        <f>IF(AW15&lt;&gt;-999,AW15*$CS15, -999)</f>
        <v>-35253160.770012602</v>
      </c>
      <c r="CU15">
        <f>IF(AX15&lt;&gt;-999,AX15*$CS15, -999)</f>
        <v>-8499856.2456934694</v>
      </c>
      <c r="CV15" s="27">
        <f>IF(AY15&lt;&gt;-999,AY15*$CS15, -999)</f>
        <v>-43753017.01570607</v>
      </c>
      <c r="CW15">
        <f t="shared" si="14"/>
        <v>-48.780999999999999</v>
      </c>
      <c r="CX15">
        <f>IF(AZ15&lt;&gt;-999,AZ15*$CO15, -999)</f>
        <v>-83597351.02970171</v>
      </c>
      <c r="CY15">
        <f>IF(BA15&lt;&gt;-999,BA15*$CO15, -999)</f>
        <v>-20156085.800685897</v>
      </c>
      <c r="CZ15" s="27">
        <f>IF(BB15&lt;&gt;-999,BB15*$CO15, -999)</f>
        <v>-103753430.15833223</v>
      </c>
      <c r="DA15">
        <f t="shared" si="15"/>
        <v>-48.155000000000001</v>
      </c>
      <c r="DB15">
        <f>IF(BC15&lt;&gt;-999,BC15*$DA15, -999)</f>
        <v>-118452167.91002727</v>
      </c>
      <c r="DC15">
        <f>IF(BD15&lt;&gt;-999,BD15*$DA15, -999)</f>
        <v>-28559902.129766822</v>
      </c>
      <c r="DD15" s="27">
        <f>IF(BE15&lt;&gt;-999,BE15*$DA15, -999)</f>
        <v>-147012070.03979406</v>
      </c>
      <c r="DE15">
        <f t="shared" si="16"/>
        <v>-52.227000000000004</v>
      </c>
      <c r="DF15">
        <f>IF(BF15&lt;&gt;-999,BF15*$DE15, -999)</f>
        <v>-53083396.257793263</v>
      </c>
      <c r="DG15">
        <f>IF(BG15&lt;&gt;-999,BG15*$DE15, -999)</f>
        <v>-12798889.435107606</v>
      </c>
      <c r="DH15" s="27">
        <f>IF(BH15&lt;&gt;-999,BH15*$DE15, -999)</f>
        <v>-65882285.692900881</v>
      </c>
      <c r="DI15">
        <f t="shared" si="17"/>
        <v>-60.94</v>
      </c>
      <c r="DJ15">
        <f>IF(BI15&lt;&gt;-999,BI15*$DI15, -999)</f>
        <v>-157041364.67787829</v>
      </c>
      <c r="DK15">
        <f>IF(BJ15&lt;&gt;-999,BJ15*$DI15, -999)</f>
        <v>-37864103.592218451</v>
      </c>
      <c r="DL15" s="27">
        <f>IF(BK15&lt;&gt;-999,BK15*$DI15, -999)</f>
        <v>-194905468.27009672</v>
      </c>
      <c r="DM15" s="28">
        <f t="shared" si="18"/>
        <v>-654342137.84498286</v>
      </c>
      <c r="DN15" s="22">
        <f t="shared" si="19"/>
        <v>-17.170000000000002</v>
      </c>
      <c r="DO15">
        <f>IF(AT15&lt;&gt;-999,AT15*$DN15, -999)</f>
        <v>-34184176.70913747</v>
      </c>
      <c r="DP15">
        <f>IF(AU15&lt;&gt;-999,AU15*$DN15, -999)</f>
        <v>-8242116.4718053052</v>
      </c>
      <c r="DQ15" s="24">
        <f>IF(AV15&lt;&gt;-999,AV15*$DN15, -999)</f>
        <v>-42426293.180942781</v>
      </c>
      <c r="DR15">
        <f t="shared" si="20"/>
        <v>-19.943000000000001</v>
      </c>
      <c r="DS15">
        <f>IF(AW15&lt;&gt;-999,AW15*$DR15, -999)</f>
        <v>-16406174.252359493</v>
      </c>
      <c r="DT15">
        <f>IF(AX15&lt;&gt;-999,AX15*$DR15, -999)</f>
        <v>-3955677.1546417959</v>
      </c>
      <c r="DU15" s="24">
        <f>IF(AY15&lt;&gt;-999,AY15*$DR15, -999)</f>
        <v>-20361851.407001287</v>
      </c>
      <c r="DV15">
        <f t="shared" si="21"/>
        <v>-25.870999999999999</v>
      </c>
      <c r="DW15">
        <f>IF(AZ15&lt;&gt;-999,AZ15*$DV15, -999)</f>
        <v>-53960755.201831654</v>
      </c>
      <c r="DX15">
        <f>IF(BA15&lt;&gt;-999,BA15*$DV15, -999)</f>
        <v>-13010431.530677266</v>
      </c>
      <c r="DY15" s="24">
        <f>IF(BB15&lt;&gt;-999,BB15*$DV15, -999)</f>
        <v>-66971182.425803714</v>
      </c>
      <c r="DZ15">
        <f t="shared" si="22"/>
        <v>-25.245000000000001</v>
      </c>
      <c r="EA15">
        <f>IF(BC15&lt;&gt;-999, BC15*$DZ15, -999)</f>
        <v>-62097912.550901018</v>
      </c>
      <c r="EB15">
        <f>IF(BD15&lt;&gt;-999, BD15*$DZ15, -999)</f>
        <v>-14972375.231356315</v>
      </c>
      <c r="EC15" s="24">
        <f>IF(BE15&lt;&gt;-999, BE15*$DZ15, -999)</f>
        <v>-77070287.782257318</v>
      </c>
      <c r="ED15">
        <f t="shared" si="23"/>
        <v>-29.317</v>
      </c>
      <c r="EE15">
        <f>IF(BF15&lt;&gt;-999,BF15*$ED15, -999)</f>
        <v>-29797727.767050087</v>
      </c>
      <c r="EF15">
        <f>IF(BG15&lt;&gt;-999,BG15*$ED15, -999)</f>
        <v>-7184503.0648716111</v>
      </c>
      <c r="EG15" s="24">
        <f>IF(BH15&lt;&gt;-999,BH15*$ED15, -999)</f>
        <v>-36982230.831921704</v>
      </c>
      <c r="EH15">
        <f t="shared" si="24"/>
        <v>-38.03</v>
      </c>
      <c r="EI15">
        <f>IF(BI15&lt;&gt;-999,BI15*$EH15, -999)</f>
        <v>-98002676.381682172</v>
      </c>
      <c r="EJ15">
        <f>IF(BJ15&lt;&gt;-999,BJ15*$EH15, -999)</f>
        <v>-23629338.031048045</v>
      </c>
      <c r="EK15" s="24">
        <f>IF(BK15&lt;&gt;-999,BK15*$EH15, -999)</f>
        <v>-121632014.41273022</v>
      </c>
      <c r="EL15" s="28">
        <f t="shared" si="25"/>
        <v>-365443860.04065704</v>
      </c>
      <c r="EM15" s="22">
        <f>-17.17-(0.1023*G15)+H15*(100+102.093-66.644-64.243)</f>
        <v>23.009496196121475</v>
      </c>
      <c r="EN15">
        <f>IF(AT15&lt;&gt;-999,AT15*$EM15, -999)</f>
        <v>45810173.78895998</v>
      </c>
      <c r="EO15">
        <f>IF(AU15&lt;&gt;-999,AU15*$EM15, -999)</f>
        <v>11045250.297378819</v>
      </c>
      <c r="EP15" s="23">
        <f>IF(AV15&lt;&gt;-999,AV15*$EM15, -999)</f>
        <v>56855424.086338803</v>
      </c>
      <c r="EQ15">
        <f>-19.943-(0.1023*G15)+H15*(100+102.093-66.644-64.243)</f>
        <v>20.236496196121472</v>
      </c>
      <c r="ER15">
        <f>IF(AW15&lt;&gt;-999,AW15*$EQ15, -999)</f>
        <v>16647619.859137487</v>
      </c>
      <c r="ES15">
        <f>IF(AX15&lt;&gt;-999,AX15*$EQ15, -999)</f>
        <v>4013891.8764976836</v>
      </c>
      <c r="ET15" s="23">
        <f>IF(AY15&lt;&gt;-999,AY15*$EQ15, -999)</f>
        <v>20661511.735635169</v>
      </c>
      <c r="EU15">
        <f>-25.871-(0.1023*G15)+H15*(100+102.093-66.644-64.243)</f>
        <v>14.308496196121474</v>
      </c>
      <c r="EV15">
        <f>IF(AZ15&lt;&gt;-999,AZ15*$EU15, -999)</f>
        <v>29844121.237882197</v>
      </c>
      <c r="EW15">
        <f>IF(BA15&lt;&gt;-999,BA15*$EU15, -999)</f>
        <v>7195690.5441070916</v>
      </c>
      <c r="EX15" s="23">
        <f>IF(BB15&lt;&gt;-999,BB15*$EU15, -999)</f>
        <v>37039809.400076143</v>
      </c>
      <c r="EY15">
        <f>-25.245-(0.1023*G15)+H15*(100+102.093-66.644-64.243)</f>
        <v>14.934496196121479</v>
      </c>
      <c r="EZ15">
        <f>IF(BC15&lt;&gt;-999, BC15*$EY15, -999)</f>
        <v>36736028.4721139</v>
      </c>
      <c r="FA15">
        <f>IF(BD15&lt;&gt;-999, BD15*$EY15, -999)</f>
        <v>8857392.7882588375</v>
      </c>
      <c r="FB15" s="23">
        <f>IF(BE15&lt;&gt;-999, BE15*$EY15, -999)</f>
        <v>45593421.260372736</v>
      </c>
      <c r="FC15">
        <f>-29.317-(0.1023*G15)+H15*(100+102.093-66.644-64.243)</f>
        <v>10.862496196121477</v>
      </c>
      <c r="FD15">
        <f>IF(BF15&lt;&gt;-999,BF15*$FC15, -999)</f>
        <v>11040614.814702898</v>
      </c>
      <c r="FE15">
        <f>IF(BG15&lt;&gt;-999,BG15*$FC15, -999)</f>
        <v>2661992.6054231664</v>
      </c>
      <c r="FF15" s="23">
        <f>IF(BH15&lt;&gt;-999,BH15*$FC15, -999)</f>
        <v>13702607.420126067</v>
      </c>
      <c r="FG15">
        <f>-38.03-(0.1023*G15)+H15*(100+102.093-66.644-64.243)</f>
        <v>2.1494961961214756</v>
      </c>
      <c r="FH15">
        <f>IF(BI15&lt;&gt;-999,BI15*$FG15, -999)</f>
        <v>5539215.8846213464</v>
      </c>
      <c r="FI15">
        <f>IF(BJ15&lt;&gt;-999,BJ15*$FG15, -999)</f>
        <v>1335555.409271793</v>
      </c>
      <c r="FJ15" s="23">
        <f>IF(BK15&lt;&gt;-999,BK15*$FG15, -999)</f>
        <v>6874771.2938931389</v>
      </c>
      <c r="FK15" s="28">
        <f t="shared" si="26"/>
        <v>180727545.19644207</v>
      </c>
      <c r="FL15" s="22">
        <f t="shared" si="28"/>
        <v>10.012280000000011</v>
      </c>
      <c r="FM15">
        <f>IF(AT15&lt;&gt;-999,AT15*$FL15, -999)</f>
        <v>19933695.327976894</v>
      </c>
      <c r="FN15">
        <f>IF(AU15&lt;&gt;-999,AU15*$FL15, -999)</f>
        <v>4806195.5683358712</v>
      </c>
      <c r="FO15" s="29">
        <f>IF(AV15&lt;&gt;-999,AV15*$FL15, -999)</f>
        <v>24739890.896312766</v>
      </c>
      <c r="FP15">
        <f t="shared" si="29"/>
        <v>7.2392800000000115</v>
      </c>
      <c r="FQ15">
        <f>IF(AW15&lt;&gt;-999,AW15*$FP15, -999)</f>
        <v>5955417.3966615461</v>
      </c>
      <c r="FR15">
        <f>IF(AX15&lt;&gt;-999,AX15*$FP15, -999)</f>
        <v>1435905.0550095423</v>
      </c>
      <c r="FS15" s="29">
        <f>IF(AY15&lt;&gt;-999,AY15*$FP15, -999)</f>
        <v>7391322.4516710881</v>
      </c>
      <c r="FT15">
        <f t="shared" si="30"/>
        <v>1.3112800000000142</v>
      </c>
      <c r="FU15">
        <f>IF(AZ15&lt;&gt;-999,AZ15*$FT15, -999)</f>
        <v>2735018.3248060988</v>
      </c>
      <c r="FV15">
        <f>IF(BA15&lt;&gt;-999,BA15*$FT15, -999)</f>
        <v>659437.92886037158</v>
      </c>
      <c r="FW15" s="29">
        <f>IF(BB15&lt;&gt;-999,BB15*$FT15, -999)</f>
        <v>3394456.0353797246</v>
      </c>
      <c r="FX15">
        <f t="shared" si="31"/>
        <v>1.9372800000000119</v>
      </c>
      <c r="FY15">
        <f>IF(BC15&lt;&gt;-999, BC15*$FX15, -999)</f>
        <v>4765341.415195494</v>
      </c>
      <c r="FZ15">
        <f>IF(BD15&lt;&gt;-999, BD15*$FX15, -999)</f>
        <v>1148967.4425906967</v>
      </c>
      <c r="GA15" s="29">
        <f>IF(BE15&lt;&gt;-999, BE15*$FX15, -999)</f>
        <v>5914308.8577861907</v>
      </c>
      <c r="GB15">
        <f t="shared" si="32"/>
        <v>-2.1347199999999873</v>
      </c>
      <c r="GC15">
        <f>IF(BF15&lt;&gt;-999,BF15*$GB15, -999)</f>
        <v>-2169724.2357293307</v>
      </c>
      <c r="GD15">
        <f>IF(BG15&lt;&gt;-999,BG15*$GB15, -999)</f>
        <v>-523140.23885945475</v>
      </c>
      <c r="GE15" s="29">
        <f>IF(BH15&lt;&gt;-999,BH15*$GB15, -999)</f>
        <v>-2692864.4745887858</v>
      </c>
      <c r="GF15">
        <f t="shared" si="33"/>
        <v>-10.847719999999988</v>
      </c>
      <c r="GG15">
        <f>IF(BI15&lt;&gt;-999,BI15*$GF15, -999)</f>
        <v>-27954393.705997903</v>
      </c>
      <c r="GH15">
        <f>IF(BJ15&lt;&gt;-999,BJ15*$GF15, -999)</f>
        <v>-6740058.9730781009</v>
      </c>
      <c r="GI15" s="29">
        <f>IF(BK15&lt;&gt;-999,BK15*$GF15, -999)</f>
        <v>-34694452.679076001</v>
      </c>
      <c r="GJ15" s="30">
        <f t="shared" si="27"/>
        <v>4052661.0874849781</v>
      </c>
    </row>
    <row r="16" spans="1:192">
      <c r="A16" s="48" t="s">
        <v>138</v>
      </c>
      <c r="B16" s="48" t="s">
        <v>156</v>
      </c>
      <c r="C16" s="49">
        <v>169</v>
      </c>
      <c r="D16" s="50">
        <v>0.98699999999999999</v>
      </c>
      <c r="E16" s="49">
        <v>107.566428927467</v>
      </c>
      <c r="F16" s="49">
        <v>0.77358599621081803</v>
      </c>
      <c r="G16" s="49">
        <v>14.334619329953901</v>
      </c>
      <c r="H16" s="49">
        <v>0.82211757583827805</v>
      </c>
      <c r="I16" s="42">
        <v>13592.2</v>
      </c>
      <c r="J16" s="43">
        <v>-999</v>
      </c>
      <c r="K16" s="43">
        <f t="shared" si="0"/>
        <v>13592.2</v>
      </c>
      <c r="L16" s="43">
        <v>14361.8</v>
      </c>
      <c r="M16" s="43">
        <v>-999</v>
      </c>
      <c r="N16" s="43">
        <f t="shared" si="1"/>
        <v>14361.8</v>
      </c>
      <c r="O16" s="43">
        <v>31520.799999999999</v>
      </c>
      <c r="P16" s="43">
        <v>-999</v>
      </c>
      <c r="Q16" s="43">
        <f t="shared" si="2"/>
        <v>31520.799999999999</v>
      </c>
      <c r="R16" s="43">
        <v>23700.799999999999</v>
      </c>
      <c r="S16" s="43">
        <v>-999</v>
      </c>
      <c r="T16" s="43">
        <f t="shared" si="3"/>
        <v>23700.799999999999</v>
      </c>
      <c r="U16" s="43">
        <v>25042.7</v>
      </c>
      <c r="V16" s="43">
        <v>-999</v>
      </c>
      <c r="W16" s="43">
        <f t="shared" si="4"/>
        <v>25042.7</v>
      </c>
      <c r="X16" s="43">
        <v>54962.8</v>
      </c>
      <c r="Y16" s="43">
        <v>-999</v>
      </c>
      <c r="Z16" s="43">
        <f t="shared" si="5"/>
        <v>54962.8</v>
      </c>
      <c r="AA16" s="22">
        <v>134639.70000000001</v>
      </c>
      <c r="AB16">
        <v>-999</v>
      </c>
      <c r="AC16">
        <v>134639.70000000001</v>
      </c>
      <c r="AD16">
        <v>142263</v>
      </c>
      <c r="AE16">
        <v>-999</v>
      </c>
      <c r="AF16">
        <v>142263</v>
      </c>
      <c r="AG16">
        <v>312233.7</v>
      </c>
      <c r="AH16">
        <v>-999</v>
      </c>
      <c r="AI16">
        <v>312233.7</v>
      </c>
      <c r="AJ16">
        <v>234771.5</v>
      </c>
      <c r="AK16">
        <v>-999</v>
      </c>
      <c r="AL16">
        <v>234771.5</v>
      </c>
      <c r="AM16">
        <v>248064.3</v>
      </c>
      <c r="AN16">
        <v>-999</v>
      </c>
      <c r="AO16">
        <v>248064.3</v>
      </c>
      <c r="AP16">
        <v>544442.5</v>
      </c>
      <c r="AQ16">
        <v>-999</v>
      </c>
      <c r="AR16">
        <v>544442.5</v>
      </c>
      <c r="AS16">
        <v>1616414.67</v>
      </c>
      <c r="AT16" s="22">
        <f t="shared" si="6"/>
        <v>224132.61830865752</v>
      </c>
      <c r="AU16">
        <f t="shared" si="6"/>
        <v>-999</v>
      </c>
      <c r="AV16">
        <f t="shared" si="6"/>
        <v>224132.61830865752</v>
      </c>
      <c r="AW16">
        <f t="shared" si="6"/>
        <v>236823.00746692499</v>
      </c>
      <c r="AX16">
        <f t="shared" si="6"/>
        <v>-999</v>
      </c>
      <c r="AY16">
        <f t="shared" si="6"/>
        <v>236823.00746692499</v>
      </c>
      <c r="AZ16">
        <f t="shared" si="6"/>
        <v>519770.5929618075</v>
      </c>
      <c r="BA16">
        <f t="shared" si="6"/>
        <v>-999</v>
      </c>
      <c r="BB16">
        <f t="shared" si="6"/>
        <v>519770.5929618075</v>
      </c>
      <c r="BC16">
        <f t="shared" si="6"/>
        <v>390820.47122246254</v>
      </c>
      <c r="BD16">
        <f t="shared" si="6"/>
        <v>-999</v>
      </c>
      <c r="BE16">
        <f t="shared" si="6"/>
        <v>390820.47122246254</v>
      </c>
      <c r="BF16">
        <f t="shared" si="6"/>
        <v>412948.78901174245</v>
      </c>
      <c r="BG16">
        <f t="shared" si="6"/>
        <v>-999</v>
      </c>
      <c r="BH16">
        <f t="shared" si="6"/>
        <v>412948.78901174245</v>
      </c>
      <c r="BI16">
        <f t="shared" si="6"/>
        <v>906324.97728018742</v>
      </c>
      <c r="BJ16">
        <f t="shared" si="7"/>
        <v>-999</v>
      </c>
      <c r="BK16">
        <f t="shared" si="7"/>
        <v>906324.97728018742</v>
      </c>
      <c r="BL16">
        <f t="shared" si="7"/>
        <v>2690820.4063112484</v>
      </c>
      <c r="BM16" s="22">
        <f>-17.17-(0.1023*E16)+F16*(100-8.576-13.681)</f>
        <v>31.966850424137753</v>
      </c>
      <c r="BN16">
        <f>IF(AT16&lt;&gt;-999,AT16*$BM16, -999)</f>
        <v>7164813.8846432138</v>
      </c>
      <c r="BO16">
        <f>IF(AU16&lt;&gt;-999,AU16*$BM16, -999)</f>
        <v>-999</v>
      </c>
      <c r="BP16" s="25">
        <f>IF(AV16&lt;&gt;-999,AV16*$BM16, -999)</f>
        <v>7164813.8846432138</v>
      </c>
      <c r="BQ16">
        <f>-19.943-(0.1023*E16)+F16*(100-8.576-13.681)</f>
        <v>29.193850424137757</v>
      </c>
      <c r="BR16">
        <f>IF(AW16&lt;&gt;-999,AW16*$BQ16, -999)</f>
        <v>6913775.4569838671</v>
      </c>
      <c r="BS16">
        <f>IF(AX16&lt;&gt;-999,AX16*$BQ16, -999)</f>
        <v>-999</v>
      </c>
      <c r="BT16" s="25">
        <f>IF(AY16&lt;&gt;-999,AY16*$BQ16, -999)</f>
        <v>6913775.4569838671</v>
      </c>
      <c r="BU16">
        <f>-25.871-(0.1023*E16)+F16*(100-8.576-13.681)</f>
        <v>23.26585042413776</v>
      </c>
      <c r="BV16">
        <f>IF(AZ16&lt;&gt;-999,AZ16*$BU16, -999)</f>
        <v>12092904.870714804</v>
      </c>
      <c r="BW16">
        <f>IF(BA16&lt;&gt;-999,BA16*$BU16, -999)</f>
        <v>-999</v>
      </c>
      <c r="BX16" s="25">
        <f>IF(BB16&lt;&gt;-999,BB16*$BU16, -999)</f>
        <v>12092904.870714804</v>
      </c>
      <c r="BY16">
        <f>-25.245-(0.1023*E16)+F16*(100-8.576-13.681)</f>
        <v>23.891850424137758</v>
      </c>
      <c r="BZ16">
        <f>IF(BC16&lt;&gt;-999,BC16*$BY16, -999)</f>
        <v>9337424.2411381099</v>
      </c>
      <c r="CA16">
        <f>IF(BD16&lt;&gt;-999,BD16*$BY16, -999)</f>
        <v>-999</v>
      </c>
      <c r="CB16" s="25">
        <f>IF(BE16&lt;&gt;-999,BE16*$BY16, -999)</f>
        <v>9337424.2411381099</v>
      </c>
      <c r="CC16">
        <f>-29.317-(0.1023*E16)+F16*(100-8.576-13.681)</f>
        <v>19.819850424137755</v>
      </c>
      <c r="CD16">
        <f>IF(BF16&lt;&gt;-999,BF16*$CC16, -999)</f>
        <v>8184583.2310415562</v>
      </c>
      <c r="CE16">
        <f>IF(BG16&lt;&gt;-999,BG16*$CC16, -999)</f>
        <v>-999</v>
      </c>
      <c r="CF16" s="25">
        <f>IF(BH16&lt;&gt;-999,BH16*$CC16, -999)</f>
        <v>8184583.2310415562</v>
      </c>
      <c r="CG16">
        <f>-38.03-(0.1023*E16)+F16*(100-8.576-13.681)</f>
        <v>11.106850424137754</v>
      </c>
      <c r="CH16">
        <f>IF(BI16&lt;&gt;-999,BI16*$CG16, -999)</f>
        <v>10066415.95831109</v>
      </c>
      <c r="CI16">
        <f>IF(BJ16&lt;&gt;-999,BJ16*$CG16, -999)</f>
        <v>-999</v>
      </c>
      <c r="CJ16" s="25">
        <f>IF(BK16&lt;&gt;-999,BK16*$CG16, -999)</f>
        <v>10066415.95831109</v>
      </c>
      <c r="CK16" s="26">
        <f t="shared" si="8"/>
        <v>53759917.642832637</v>
      </c>
      <c r="CL16">
        <f t="shared" si="9"/>
        <v>-35.682200735616085</v>
      </c>
      <c r="CM16">
        <f t="shared" si="10"/>
        <v>23.063692057943882</v>
      </c>
      <c r="CN16">
        <f t="shared" si="11"/>
        <v>-93.413338862151207</v>
      </c>
      <c r="CO16" s="22">
        <f t="shared" si="12"/>
        <v>-40.08</v>
      </c>
      <c r="CP16">
        <f>IF(AT16&lt;&gt;-999,AT16*$CO16, -999)</f>
        <v>-8983235.3418109939</v>
      </c>
      <c r="CQ16">
        <f>IF(AU16&lt;&gt;-999,AU16*$CO16, -999)</f>
        <v>-999</v>
      </c>
      <c r="CR16" s="27">
        <f>IF(AV16&lt;&gt;-999,AV16*$CO16, -999)</f>
        <v>-8983235.3418109939</v>
      </c>
      <c r="CS16">
        <f t="shared" si="13"/>
        <v>-42.853000000000002</v>
      </c>
      <c r="CT16">
        <f>IF(AW16&lt;&gt;-999,AW16*$CS16, -999)</f>
        <v>-10148576.338980136</v>
      </c>
      <c r="CU16">
        <f>IF(AX16&lt;&gt;-999,AX16*$CS16, -999)</f>
        <v>-999</v>
      </c>
      <c r="CV16" s="27">
        <f>IF(AY16&lt;&gt;-999,AY16*$CS16, -999)</f>
        <v>-10148576.338980136</v>
      </c>
      <c r="CW16">
        <f t="shared" si="14"/>
        <v>-48.780999999999999</v>
      </c>
      <c r="CX16">
        <f>IF(AZ16&lt;&gt;-999,AZ16*$CO16, -999)</f>
        <v>-20832405.365909245</v>
      </c>
      <c r="CY16">
        <f>IF(BA16&lt;&gt;-999,BA16*$CO16, -999)</f>
        <v>-999</v>
      </c>
      <c r="CZ16" s="27">
        <f>IF(BB16&lt;&gt;-999,BB16*$CO16, -999)</f>
        <v>-20832405.365909245</v>
      </c>
      <c r="DA16">
        <f t="shared" si="15"/>
        <v>-48.155000000000001</v>
      </c>
      <c r="DB16">
        <f>IF(BC16&lt;&gt;-999,BC16*$DA16, -999)</f>
        <v>-18819959.791717686</v>
      </c>
      <c r="DC16">
        <f>IF(BD16&lt;&gt;-999,BD16*$DA16, -999)</f>
        <v>-999</v>
      </c>
      <c r="DD16" s="27">
        <f>IF(BE16&lt;&gt;-999,BE16*$DA16, -999)</f>
        <v>-18819959.791717686</v>
      </c>
      <c r="DE16">
        <f t="shared" si="16"/>
        <v>-52.227000000000004</v>
      </c>
      <c r="DF16">
        <f>IF(BF16&lt;&gt;-999,BF16*$DE16, -999)</f>
        <v>-21567076.403716274</v>
      </c>
      <c r="DG16">
        <f>IF(BG16&lt;&gt;-999,BG16*$DE16, -999)</f>
        <v>-999</v>
      </c>
      <c r="DH16" s="27">
        <f>IF(BH16&lt;&gt;-999,BH16*$DE16, -999)</f>
        <v>-21567076.403716274</v>
      </c>
      <c r="DI16">
        <f t="shared" si="17"/>
        <v>-60.94</v>
      </c>
      <c r="DJ16">
        <f>IF(BI16&lt;&gt;-999,BI16*$DI16, -999)</f>
        <v>-55231444.115454622</v>
      </c>
      <c r="DK16">
        <f>IF(BJ16&lt;&gt;-999,BJ16*$DI16, -999)</f>
        <v>-999</v>
      </c>
      <c r="DL16" s="27">
        <f>IF(BK16&lt;&gt;-999,BK16*$DI16, -999)</f>
        <v>-55231444.115454622</v>
      </c>
      <c r="DM16" s="28">
        <f t="shared" si="18"/>
        <v>-135582697.35758895</v>
      </c>
      <c r="DN16" s="22">
        <f t="shared" si="19"/>
        <v>-17.170000000000002</v>
      </c>
      <c r="DO16">
        <f>IF(AT16&lt;&gt;-999,AT16*$DN16, -999)</f>
        <v>-3848357.0563596501</v>
      </c>
      <c r="DP16">
        <f>IF(AU16&lt;&gt;-999,AU16*$DN16, -999)</f>
        <v>-999</v>
      </c>
      <c r="DQ16" s="24">
        <f>IF(AV16&lt;&gt;-999,AV16*$DN16, -999)</f>
        <v>-3848357.0563596501</v>
      </c>
      <c r="DR16">
        <f t="shared" si="20"/>
        <v>-19.943000000000001</v>
      </c>
      <c r="DS16">
        <f>IF(AW16&lt;&gt;-999,AW16*$DR16, -999)</f>
        <v>-4722961.2379128849</v>
      </c>
      <c r="DT16">
        <f>IF(AX16&lt;&gt;-999,AX16*$DR16, -999)</f>
        <v>-999</v>
      </c>
      <c r="DU16" s="24">
        <f>IF(AY16&lt;&gt;-999,AY16*$DR16, -999)</f>
        <v>-4722961.2379128849</v>
      </c>
      <c r="DV16">
        <f t="shared" si="21"/>
        <v>-25.870999999999999</v>
      </c>
      <c r="DW16">
        <f>IF(AZ16&lt;&gt;-999,AZ16*$DV16, -999)</f>
        <v>-13446985.010514921</v>
      </c>
      <c r="DX16">
        <f>IF(BA16&lt;&gt;-999,BA16*$DV16, -999)</f>
        <v>-999</v>
      </c>
      <c r="DY16" s="24">
        <f>IF(BB16&lt;&gt;-999,BB16*$DV16, -999)</f>
        <v>-13446985.010514921</v>
      </c>
      <c r="DZ16">
        <f t="shared" si="22"/>
        <v>-25.245000000000001</v>
      </c>
      <c r="EA16">
        <f>IF(BC16&lt;&gt;-999, BC16*$DZ16, -999)</f>
        <v>-9866262.7960110679</v>
      </c>
      <c r="EB16">
        <f>IF(BD16&lt;&gt;-999, BD16*$DZ16, -999)</f>
        <v>-999</v>
      </c>
      <c r="EC16" s="24">
        <f>IF(BE16&lt;&gt;-999, BE16*$DZ16, -999)</f>
        <v>-9866262.7960110679</v>
      </c>
      <c r="ED16">
        <f t="shared" si="23"/>
        <v>-29.317</v>
      </c>
      <c r="EE16">
        <f>IF(BF16&lt;&gt;-999,BF16*$ED16, -999)</f>
        <v>-12106419.647457253</v>
      </c>
      <c r="EF16">
        <f>IF(BG16&lt;&gt;-999,BG16*$ED16, -999)</f>
        <v>-999</v>
      </c>
      <c r="EG16" s="24">
        <f>IF(BH16&lt;&gt;-999,BH16*$ED16, -999)</f>
        <v>-12106419.647457253</v>
      </c>
      <c r="EH16">
        <f t="shared" si="24"/>
        <v>-38.03</v>
      </c>
      <c r="EI16">
        <f>IF(BI16&lt;&gt;-999,BI16*$EH16, -999)</f>
        <v>-34467538.885965526</v>
      </c>
      <c r="EJ16">
        <f>IF(BJ16&lt;&gt;-999,BJ16*$EH16, -999)</f>
        <v>-999</v>
      </c>
      <c r="EK16" s="24">
        <f>IF(BK16&lt;&gt;-999,BK16*$EH16, -999)</f>
        <v>-34467538.885965526</v>
      </c>
      <c r="EL16" s="28">
        <f t="shared" si="25"/>
        <v>-78458524.6342213</v>
      </c>
      <c r="EM16" s="22">
        <f>-17.17-(0.1023*G16)+H16*(100+102.093-66.644-64.243)</f>
        <v>39.903272547686157</v>
      </c>
      <c r="EN16">
        <f>IF(AT16&lt;&gt;-999,AT16*$EM16, -999)</f>
        <v>8943624.9551968742</v>
      </c>
      <c r="EO16">
        <f>IF(AU16&lt;&gt;-999,AU16*$EM16, -999)</f>
        <v>-999</v>
      </c>
      <c r="EP16" s="23">
        <f>IF(AV16&lt;&gt;-999,AV16*$EM16, -999)</f>
        <v>8943624.9551968742</v>
      </c>
      <c r="EQ16">
        <f>-19.943-(0.1023*G16)+H16*(100+102.093-66.644-64.243)</f>
        <v>37.130272547686161</v>
      </c>
      <c r="ER16">
        <f>IF(AW16&lt;&gt;-999,AW16*$EQ16, -999)</f>
        <v>8793302.8128096405</v>
      </c>
      <c r="ES16">
        <f>IF(AX16&lt;&gt;-999,AX16*$EQ16, -999)</f>
        <v>-999</v>
      </c>
      <c r="ET16" s="23">
        <f>IF(AY16&lt;&gt;-999,AY16*$EQ16, -999)</f>
        <v>8793302.8128096405</v>
      </c>
      <c r="EU16">
        <f>-25.871-(0.1023*G16)+H16*(100+102.093-66.644-64.243)</f>
        <v>31.20227254768616</v>
      </c>
      <c r="EV16">
        <f>IF(AZ16&lt;&gt;-999,AZ16*$EU16, -999)</f>
        <v>16218023.703866763</v>
      </c>
      <c r="EW16">
        <f>IF(BA16&lt;&gt;-999,BA16*$EU16, -999)</f>
        <v>-999</v>
      </c>
      <c r="EX16" s="23">
        <f>IF(BB16&lt;&gt;-999,BB16*$EU16, -999)</f>
        <v>16218023.703866763</v>
      </c>
      <c r="EY16">
        <f>-25.245-(0.1023*G16)+H16*(100+102.093-66.644-64.243)</f>
        <v>31.828272547686158</v>
      </c>
      <c r="EZ16">
        <f>IF(BC16&lt;&gt;-999, BC16*$EY16, -999)</f>
        <v>12439140.475283673</v>
      </c>
      <c r="FA16">
        <f>IF(BD16&lt;&gt;-999, BD16*$EY16, -999)</f>
        <v>-999</v>
      </c>
      <c r="FB16" s="23">
        <f>IF(BE16&lt;&gt;-999, BE16*$EY16, -999)</f>
        <v>12439140.475283673</v>
      </c>
      <c r="FC16">
        <f>-29.317-(0.1023*G16)+H16*(100+102.093-66.644-64.243)</f>
        <v>27.756272547686159</v>
      </c>
      <c r="FD16">
        <f>IF(BF16&lt;&gt;-999,BF16*$FC16, -999)</f>
        <v>11461919.136046872</v>
      </c>
      <c r="FE16">
        <f>IF(BG16&lt;&gt;-999,BG16*$FC16, -999)</f>
        <v>-999</v>
      </c>
      <c r="FF16" s="23">
        <f>IF(BH16&lt;&gt;-999,BH16*$FC16, -999)</f>
        <v>11461919.136046872</v>
      </c>
      <c r="FG16">
        <f>-38.03-(0.1023*G16)+H16*(100+102.093-66.644-64.243)</f>
        <v>19.043272547686158</v>
      </c>
      <c r="FH16">
        <f>IF(BI16&lt;&gt;-999,BI16*$FG16, -999)</f>
        <v>17259393.559122074</v>
      </c>
      <c r="FI16">
        <f>IF(BJ16&lt;&gt;-999,BJ16*$FG16, -999)</f>
        <v>-999</v>
      </c>
      <c r="FJ16" s="23">
        <f>IF(BK16&lt;&gt;-999,BK16*$FG16, -999)</f>
        <v>17259393.559122074</v>
      </c>
      <c r="FK16" s="28">
        <f t="shared" si="26"/>
        <v>75115404.642325893</v>
      </c>
      <c r="FL16" s="22">
        <f t="shared" si="28"/>
        <v>10.012280000000011</v>
      </c>
      <c r="FM16">
        <f>IF(AT16&lt;&gt;-999,AT16*$FL16, -999)</f>
        <v>2244078.5316394079</v>
      </c>
      <c r="FN16">
        <f>IF(AU16&lt;&gt;-999,AU16*$FL16, -999)</f>
        <v>-999</v>
      </c>
      <c r="FO16" s="29">
        <f>IF(AV16&lt;&gt;-999,AV16*$FL16, -999)</f>
        <v>2244078.5316394079</v>
      </c>
      <c r="FP16">
        <f t="shared" si="29"/>
        <v>7.2392800000000115</v>
      </c>
      <c r="FQ16">
        <f>IF(AW16&lt;&gt;-999,AW16*$FP16, -999)</f>
        <v>1714428.0614951635</v>
      </c>
      <c r="FR16">
        <f>IF(AX16&lt;&gt;-999,AX16*$FP16, -999)</f>
        <v>-999</v>
      </c>
      <c r="FS16" s="29">
        <f>IF(AY16&lt;&gt;-999,AY16*$FP16, -999)</f>
        <v>1714428.0614951635</v>
      </c>
      <c r="FT16">
        <f t="shared" si="30"/>
        <v>1.3112800000000142</v>
      </c>
      <c r="FU16">
        <f>IF(AZ16&lt;&gt;-999,AZ16*$FT16, -999)</f>
        <v>681564.7831389663</v>
      </c>
      <c r="FV16">
        <f>IF(BA16&lt;&gt;-999,BA16*$FT16, -999)</f>
        <v>-999</v>
      </c>
      <c r="FW16" s="29">
        <f>IF(BB16&lt;&gt;-999,BB16*$FT16, -999)</f>
        <v>681564.7831389663</v>
      </c>
      <c r="FX16">
        <f t="shared" si="31"/>
        <v>1.9372800000000119</v>
      </c>
      <c r="FY16">
        <f>IF(BC16&lt;&gt;-999, BC16*$FX16, -999)</f>
        <v>757128.68248985684</v>
      </c>
      <c r="FZ16">
        <f>IF(BD16&lt;&gt;-999, BD16*$FX16, -999)</f>
        <v>-999</v>
      </c>
      <c r="GA16" s="29">
        <f>IF(BE16&lt;&gt;-999, BE16*$FX16, -999)</f>
        <v>757128.68248985684</v>
      </c>
      <c r="GB16">
        <f t="shared" si="32"/>
        <v>-2.1347199999999873</v>
      </c>
      <c r="GC16">
        <f>IF(BF16&lt;&gt;-999,BF16*$GB16, -999)</f>
        <v>-881530.03887914156</v>
      </c>
      <c r="GD16">
        <f>IF(BG16&lt;&gt;-999,BG16*$GB16, -999)</f>
        <v>-999</v>
      </c>
      <c r="GE16" s="29">
        <f>IF(BH16&lt;&gt;-999,BH16*$GB16, -999)</f>
        <v>-881530.03887914156</v>
      </c>
      <c r="GF16">
        <f t="shared" si="33"/>
        <v>-10.847719999999988</v>
      </c>
      <c r="GG16">
        <f>IF(BI16&lt;&gt;-999,BI16*$GF16, -999)</f>
        <v>-9831559.5825418234</v>
      </c>
      <c r="GH16">
        <f>IF(BJ16&lt;&gt;-999,BJ16*$GF16, -999)</f>
        <v>-999</v>
      </c>
      <c r="GI16" s="29">
        <f>IF(BK16&lt;&gt;-999,BK16*$GF16, -999)</f>
        <v>-9831559.5825418234</v>
      </c>
      <c r="GJ16" s="30">
        <f t="shared" si="27"/>
        <v>-5315889.5626575695</v>
      </c>
    </row>
    <row r="17" spans="1:192">
      <c r="A17" s="48" t="s">
        <v>138</v>
      </c>
      <c r="B17" s="48" t="s">
        <v>157</v>
      </c>
      <c r="C17" s="49">
        <v>158</v>
      </c>
      <c r="D17" s="50">
        <v>0.98399999999999999</v>
      </c>
      <c r="E17" s="49">
        <v>207.35586114709901</v>
      </c>
      <c r="F17" s="49">
        <v>0.78143280599489096</v>
      </c>
      <c r="G17" s="49">
        <v>63.532029264821198</v>
      </c>
      <c r="H17" s="49">
        <v>0.81839225377450997</v>
      </c>
      <c r="I17" s="42">
        <v>51302</v>
      </c>
      <c r="J17" s="43">
        <v>55490.6</v>
      </c>
      <c r="K17" s="43">
        <f t="shared" si="0"/>
        <v>106792.6</v>
      </c>
      <c r="L17" s="43">
        <v>24637.7</v>
      </c>
      <c r="M17" s="43">
        <v>26649.3</v>
      </c>
      <c r="N17" s="43">
        <f t="shared" si="1"/>
        <v>51287</v>
      </c>
      <c r="O17" s="43">
        <v>32402.400000000001</v>
      </c>
      <c r="P17" s="43">
        <v>35047.9</v>
      </c>
      <c r="Q17" s="43">
        <f t="shared" si="2"/>
        <v>67450.3</v>
      </c>
      <c r="R17" s="43">
        <v>74299.199999999997</v>
      </c>
      <c r="S17" s="43">
        <v>80365.5</v>
      </c>
      <c r="T17" s="43">
        <f t="shared" si="3"/>
        <v>154664.70000000001</v>
      </c>
      <c r="U17" s="43">
        <v>35682.1</v>
      </c>
      <c r="V17" s="43">
        <v>38595.5</v>
      </c>
      <c r="W17" s="43">
        <f t="shared" si="4"/>
        <v>74277.600000000006</v>
      </c>
      <c r="X17" s="43">
        <v>46927.5</v>
      </c>
      <c r="Y17" s="43">
        <v>50758.9</v>
      </c>
      <c r="Z17" s="43">
        <f t="shared" si="5"/>
        <v>97686.399999999994</v>
      </c>
      <c r="AA17" s="22">
        <v>1335291.1000000001</v>
      </c>
      <c r="AB17">
        <v>1281408.6000000001</v>
      </c>
      <c r="AC17">
        <v>2616699.7000000002</v>
      </c>
      <c r="AD17">
        <v>641272.6</v>
      </c>
      <c r="AE17">
        <v>615395.6</v>
      </c>
      <c r="AF17">
        <v>1256668.2</v>
      </c>
      <c r="AG17">
        <v>843371.8</v>
      </c>
      <c r="AH17">
        <v>809339.6</v>
      </c>
      <c r="AI17">
        <v>1652711.4</v>
      </c>
      <c r="AJ17">
        <v>1933864.4</v>
      </c>
      <c r="AK17">
        <v>1855827.8</v>
      </c>
      <c r="AL17">
        <v>3789692.2</v>
      </c>
      <c r="AM17">
        <v>928737</v>
      </c>
      <c r="AN17">
        <v>891260</v>
      </c>
      <c r="AO17">
        <v>1819997</v>
      </c>
      <c r="AP17">
        <v>1221431.6000000001</v>
      </c>
      <c r="AQ17">
        <v>1172143.6000000001</v>
      </c>
      <c r="AR17">
        <v>2393575.2000000002</v>
      </c>
      <c r="AS17">
        <v>13529343.67</v>
      </c>
      <c r="AT17" s="22">
        <f t="shared" si="6"/>
        <v>2222838.3637756729</v>
      </c>
      <c r="AU17">
        <f t="shared" si="6"/>
        <v>2133141.0025514849</v>
      </c>
      <c r="AV17">
        <f t="shared" si="6"/>
        <v>4355979.3663271572</v>
      </c>
      <c r="AW17">
        <f t="shared" si="6"/>
        <v>1067516.541462885</v>
      </c>
      <c r="AX17">
        <f t="shared" si="6"/>
        <v>1024439.50130331</v>
      </c>
      <c r="AY17">
        <f t="shared" si="6"/>
        <v>2091956.042766195</v>
      </c>
      <c r="AZ17">
        <f t="shared" si="6"/>
        <v>1403947.9421128051</v>
      </c>
      <c r="BA17">
        <f t="shared" si="6"/>
        <v>1347295.0671227099</v>
      </c>
      <c r="BB17">
        <f t="shared" si="6"/>
        <v>2751243.0092355148</v>
      </c>
      <c r="BC17">
        <f t="shared" si="6"/>
        <v>3219274.0434351899</v>
      </c>
      <c r="BD17">
        <f t="shared" si="6"/>
        <v>3089367.7269334048</v>
      </c>
      <c r="BE17">
        <f t="shared" si="6"/>
        <v>6308641.7703685947</v>
      </c>
      <c r="BF17">
        <f t="shared" si="6"/>
        <v>1546054.065258075</v>
      </c>
      <c r="BG17">
        <f t="shared" si="6"/>
        <v>1483666.6851885</v>
      </c>
      <c r="BH17">
        <f t="shared" si="6"/>
        <v>3029720.7504465752</v>
      </c>
      <c r="BI17">
        <f t="shared" si="6"/>
        <v>2033298.2217944101</v>
      </c>
      <c r="BJ17">
        <f t="shared" si="7"/>
        <v>1951249.25339061</v>
      </c>
      <c r="BK17">
        <f t="shared" si="7"/>
        <v>3984547.4751850204</v>
      </c>
      <c r="BL17">
        <f t="shared" si="7"/>
        <v>22522088.364388522</v>
      </c>
      <c r="BM17" s="22">
        <f>-17.17-(0.1023*E17)+F17*(100-8.576-13.681)</f>
        <v>22.368426041112585</v>
      </c>
      <c r="BN17">
        <f>IF(AT17&lt;&gt;-999,AT17*$BM17, -999)</f>
        <v>49721395.541463852</v>
      </c>
      <c r="BO17">
        <f>IF(AU17&lt;&gt;-999,AU17*$BM17, -999)</f>
        <v>47715006.750837639</v>
      </c>
      <c r="BP17" s="25">
        <f>IF(AV17&lt;&gt;-999,AV17*$BM17, -999)</f>
        <v>97436402.292301476</v>
      </c>
      <c r="BQ17">
        <f>-19.943-(0.1023*E17)+F17*(100-8.576-13.681)</f>
        <v>19.595426041112582</v>
      </c>
      <c r="BR17">
        <f>IF(AW17&lt;&gt;-999,AW17*$BQ17, -999)</f>
        <v>20918441.435900256</v>
      </c>
      <c r="BS17">
        <f>IF(AX17&lt;&gt;-999,AX17*$BQ17, -999)</f>
        <v>20074328.481383268</v>
      </c>
      <c r="BT17" s="25">
        <f>IF(AY17&lt;&gt;-999,AY17*$BQ17, -999)</f>
        <v>40992769.91728352</v>
      </c>
      <c r="BU17">
        <f>-25.871-(0.1023*E17)+F17*(100-8.576-13.681)</f>
        <v>13.667426041112584</v>
      </c>
      <c r="BV17">
        <f>IF(AZ17&lt;&gt;-999,AZ17*$BU17, -999)</f>
        <v>19188354.664398976</v>
      </c>
      <c r="BW17">
        <f>IF(BA17&lt;&gt;-999,BA17*$BU17, -999)</f>
        <v>18414055.685455453</v>
      </c>
      <c r="BX17" s="25">
        <f>IF(BB17&lt;&gt;-999,BB17*$BU17, -999)</f>
        <v>37602410.349854425</v>
      </c>
      <c r="BY17">
        <f>-25.245-(0.1023*E17)+F17*(100-8.576-13.681)</f>
        <v>14.293426041112589</v>
      </c>
      <c r="BZ17">
        <f>IF(BC17&lt;&gt;-999,BC17*$BY17, -999)</f>
        <v>46014455.445914365</v>
      </c>
      <c r="CA17">
        <f>IF(BD17&lt;&gt;-999,BD17*$BY17, -999)</f>
        <v>44157649.118722737</v>
      </c>
      <c r="CB17" s="25">
        <f>IF(BE17&lt;&gt;-999,BE17*$BY17, -999)</f>
        <v>90172104.564637095</v>
      </c>
      <c r="CC17">
        <f>-29.317-(0.1023*E17)+F17*(100-8.576-13.681)</f>
        <v>10.221426041112586</v>
      </c>
      <c r="CD17">
        <f>IF(BF17&lt;&gt;-999,BF17*$CC17, -999)</f>
        <v>15802877.283596866</v>
      </c>
      <c r="CE17">
        <f>IF(BG17&lt;&gt;-999,BG17*$CC17, -999)</f>
        <v>15165189.292316923</v>
      </c>
      <c r="CF17" s="25">
        <f>IF(BH17&lt;&gt;-999,BH17*$CC17, -999)</f>
        <v>30968066.575913791</v>
      </c>
      <c r="CG17">
        <f>-38.03-(0.1023*E17)+F17*(100-8.576-13.681)</f>
        <v>1.5084260411125854</v>
      </c>
      <c r="CH17">
        <f>IF(BI17&lt;&gt;-999,BI17*$CG17, -999)</f>
        <v>3067079.9871026017</v>
      </c>
      <c r="CI17">
        <f>IF(BJ17&lt;&gt;-999,BJ17*$CG17, -999)</f>
        <v>2943315.1865158859</v>
      </c>
      <c r="CJ17" s="25">
        <f>IF(BK17&lt;&gt;-999,BK17*$CG17, -999)</f>
        <v>6010395.173618488</v>
      </c>
      <c r="CK17" s="26">
        <f t="shared" si="8"/>
        <v>303182148.87360883</v>
      </c>
      <c r="CL17">
        <f t="shared" si="9"/>
        <v>-22.036629777399021</v>
      </c>
      <c r="CM17">
        <f t="shared" si="10"/>
        <v>36.119362204715337</v>
      </c>
      <c r="CN17">
        <f t="shared" si="11"/>
        <v>-79.188056819344823</v>
      </c>
      <c r="CO17" s="22">
        <f t="shared" si="12"/>
        <v>-40.08</v>
      </c>
      <c r="CP17">
        <f>IF(AT17&lt;&gt;-999,AT17*$CO17, -999)</f>
        <v>-89091361.620128959</v>
      </c>
      <c r="CQ17">
        <f>IF(AU17&lt;&gt;-999,AU17*$CO17, -999)</f>
        <v>-85496291.382263511</v>
      </c>
      <c r="CR17" s="27">
        <f>IF(AV17&lt;&gt;-999,AV17*$CO17, -999)</f>
        <v>-174587653.00239244</v>
      </c>
      <c r="CS17">
        <f t="shared" si="13"/>
        <v>-42.853000000000002</v>
      </c>
      <c r="CT17">
        <f>IF(AW17&lt;&gt;-999,AW17*$CS17, -999)</f>
        <v>-45746286.351309009</v>
      </c>
      <c r="CU17">
        <f>IF(AX17&lt;&gt;-999,AX17*$CS17, -999)</f>
        <v>-43900305.949350744</v>
      </c>
      <c r="CV17" s="27">
        <f>IF(AY17&lt;&gt;-999,AY17*$CS17, -999)</f>
        <v>-89646592.300659761</v>
      </c>
      <c r="CW17">
        <f t="shared" si="14"/>
        <v>-48.780999999999999</v>
      </c>
      <c r="CX17">
        <f>IF(AZ17&lt;&gt;-999,AZ17*$CO17, -999)</f>
        <v>-56270233.519881226</v>
      </c>
      <c r="CY17">
        <f>IF(BA17&lt;&gt;-999,BA17*$CO17, -999)</f>
        <v>-53999586.290278211</v>
      </c>
      <c r="CZ17" s="27">
        <f>IF(BB17&lt;&gt;-999,BB17*$CO17, -999)</f>
        <v>-110269819.81015943</v>
      </c>
      <c r="DA17">
        <f t="shared" si="15"/>
        <v>-48.155000000000001</v>
      </c>
      <c r="DB17">
        <f>IF(BC17&lt;&gt;-999,BC17*$DA17, -999)</f>
        <v>-155024141.56162158</v>
      </c>
      <c r="DC17">
        <f>IF(BD17&lt;&gt;-999,BD17*$DA17, -999)</f>
        <v>-148768502.8904781</v>
      </c>
      <c r="DD17" s="27">
        <f>IF(BE17&lt;&gt;-999,BE17*$DA17, -999)</f>
        <v>-303792644.45209968</v>
      </c>
      <c r="DE17">
        <f t="shared" si="16"/>
        <v>-52.227000000000004</v>
      </c>
      <c r="DF17">
        <f>IF(BF17&lt;&gt;-999,BF17*$DE17, -999)</f>
        <v>-80745765.666233495</v>
      </c>
      <c r="DG17">
        <f>IF(BG17&lt;&gt;-999,BG17*$DE17, -999)</f>
        <v>-77487459.967339799</v>
      </c>
      <c r="DH17" s="27">
        <f>IF(BH17&lt;&gt;-999,BH17*$DE17, -999)</f>
        <v>-158233225.63357329</v>
      </c>
      <c r="DI17">
        <f t="shared" si="17"/>
        <v>-60.94</v>
      </c>
      <c r="DJ17">
        <f>IF(BI17&lt;&gt;-999,BI17*$DI17, -999)</f>
        <v>-123909193.63615134</v>
      </c>
      <c r="DK17">
        <f>IF(BJ17&lt;&gt;-999,BJ17*$DI17, -999)</f>
        <v>-118909129.50162376</v>
      </c>
      <c r="DL17" s="27">
        <f>IF(BK17&lt;&gt;-999,BK17*$DI17, -999)</f>
        <v>-242818323.13777512</v>
      </c>
      <c r="DM17" s="28">
        <f t="shared" si="18"/>
        <v>-1079348258.3366597</v>
      </c>
      <c r="DN17" s="22">
        <f t="shared" si="19"/>
        <v>-17.170000000000002</v>
      </c>
      <c r="DO17">
        <f>IF(AT17&lt;&gt;-999,AT17*$DN17, -999)</f>
        <v>-38166134.706028305</v>
      </c>
      <c r="DP17">
        <f>IF(AU17&lt;&gt;-999,AU17*$DN17, -999)</f>
        <v>-36626031.013808995</v>
      </c>
      <c r="DQ17" s="24">
        <f>IF(AV17&lt;&gt;-999,AV17*$DN17, -999)</f>
        <v>-74792165.719837293</v>
      </c>
      <c r="DR17">
        <f t="shared" si="20"/>
        <v>-19.943000000000001</v>
      </c>
      <c r="DS17">
        <f>IF(AW17&lt;&gt;-999,AW17*$DR17, -999)</f>
        <v>-21289482.386394318</v>
      </c>
      <c r="DT17">
        <f>IF(AX17&lt;&gt;-999,AX17*$DR17, -999)</f>
        <v>-20430396.974491913</v>
      </c>
      <c r="DU17" s="24">
        <f>IF(AY17&lt;&gt;-999,AY17*$DR17, -999)</f>
        <v>-41719879.360886231</v>
      </c>
      <c r="DV17">
        <f t="shared" si="21"/>
        <v>-25.870999999999999</v>
      </c>
      <c r="DW17">
        <f>IF(AZ17&lt;&gt;-999,AZ17*$DV17, -999)</f>
        <v>-36321537.21040038</v>
      </c>
      <c r="DX17">
        <f>IF(BA17&lt;&gt;-999,BA17*$DV17, -999)</f>
        <v>-34855870.68153163</v>
      </c>
      <c r="DY17" s="24">
        <f>IF(BB17&lt;&gt;-999,BB17*$DV17, -999)</f>
        <v>-71177407.891931996</v>
      </c>
      <c r="DZ17">
        <f t="shared" si="22"/>
        <v>-25.245000000000001</v>
      </c>
      <c r="EA17">
        <f>IF(BC17&lt;&gt;-999, BC17*$DZ17, -999)</f>
        <v>-81270573.226521373</v>
      </c>
      <c r="EB17">
        <f>IF(BD17&lt;&gt;-999, BD17*$DZ17, -999)</f>
        <v>-77991088.266433805</v>
      </c>
      <c r="EC17" s="24">
        <f>IF(BE17&lt;&gt;-999, BE17*$DZ17, -999)</f>
        <v>-159261661.49295518</v>
      </c>
      <c r="ED17">
        <f t="shared" si="23"/>
        <v>-29.317</v>
      </c>
      <c r="EE17">
        <f>IF(BF17&lt;&gt;-999,BF17*$ED17, -999)</f>
        <v>-45325667.031170987</v>
      </c>
      <c r="EF17">
        <f>IF(BG17&lt;&gt;-999,BG17*$ED17, -999)</f>
        <v>-43496656.209671251</v>
      </c>
      <c r="EG17" s="24">
        <f>IF(BH17&lt;&gt;-999,BH17*$ED17, -999)</f>
        <v>-88822323.240842253</v>
      </c>
      <c r="EH17">
        <f t="shared" si="24"/>
        <v>-38.03</v>
      </c>
      <c r="EI17">
        <f>IF(BI17&lt;&gt;-999,BI17*$EH17, -999)</f>
        <v>-77326331.374841422</v>
      </c>
      <c r="EJ17">
        <f>IF(BJ17&lt;&gt;-999,BJ17*$EH17, -999)</f>
        <v>-74206009.106444895</v>
      </c>
      <c r="EK17" s="24">
        <f>IF(BK17&lt;&gt;-999,BK17*$EH17, -999)</f>
        <v>-151532340.48128632</v>
      </c>
      <c r="EL17" s="28">
        <f t="shared" si="25"/>
        <v>-587305778.18773925</v>
      </c>
      <c r="EM17" s="22">
        <f>-17.17-(0.1023*G17)+H17*(100+102.093-66.644-64.243)</f>
        <v>34.605112228476557</v>
      </c>
      <c r="EN17">
        <f>IF(AT17&lt;&gt;-999,AT17*$EM17, -999)</f>
        <v>76921571.044220358</v>
      </c>
      <c r="EO17">
        <f>IF(AU17&lt;&gt;-999,AU17*$EM17, -999)</f>
        <v>73817583.79245913</v>
      </c>
      <c r="EP17" s="23">
        <f>IF(AV17&lt;&gt;-999,AV17*$EM17, -999)</f>
        <v>150739154.83667946</v>
      </c>
      <c r="EQ17">
        <f>-19.943-(0.1023*G17)+H17*(100+102.093-66.644-64.243)</f>
        <v>31.832112228476557</v>
      </c>
      <c r="ER17">
        <f>IF(AW17&lt;&gt;-999,AW17*$EQ17, -999)</f>
        <v>33981306.353601702</v>
      </c>
      <c r="ES17">
        <f>IF(AX17&lt;&gt;-999,AX17*$EQ17, -999)</f>
        <v>32610073.176771522</v>
      </c>
      <c r="ET17" s="23">
        <f>IF(AY17&lt;&gt;-999,AY17*$EQ17, -999)</f>
        <v>66591379.530373223</v>
      </c>
      <c r="EU17">
        <f>-25.871-(0.1023*G17)+H17*(100+102.093-66.644-64.243)</f>
        <v>25.904112228476563</v>
      </c>
      <c r="EV17">
        <f>IF(AZ17&lt;&gt;-999,AZ17*$EU17, -999)</f>
        <v>36368025.055428818</v>
      </c>
      <c r="EW17">
        <f>IF(BA17&lt;&gt;-999,BA17*$EU17, -999)</f>
        <v>34900482.623619542</v>
      </c>
      <c r="EX17" s="23">
        <f>IF(BB17&lt;&gt;-999,BB17*$EU17, -999)</f>
        <v>71268507.679048359</v>
      </c>
      <c r="EY17">
        <f>-25.245-(0.1023*G17)+H17*(100+102.093-66.644-64.243)</f>
        <v>26.530112228476558</v>
      </c>
      <c r="EZ17">
        <f>IF(BC17&lt;&gt;-999, BC17*$EY17, -999)</f>
        <v>85407701.666557103</v>
      </c>
      <c r="FA17">
        <f>IF(BD17&lt;&gt;-999, BD17*$EY17, -999)</f>
        <v>81961272.510576755</v>
      </c>
      <c r="FB17" s="23">
        <f>IF(BE17&lt;&gt;-999, BE17*$EY17, -999)</f>
        <v>167368974.17713386</v>
      </c>
      <c r="FC17">
        <f>-29.317-(0.1023*G17)+H17*(100+102.093-66.644-64.243)</f>
        <v>22.458112228476558</v>
      </c>
      <c r="FD17">
        <f>IF(BF17&lt;&gt;-999,BF17*$FC17, -999)</f>
        <v>34721455.708858266</v>
      </c>
      <c r="FE17">
        <f>IF(BG17&lt;&gt;-999,BG17*$FC17, -999)</f>
        <v>33320352.925615132</v>
      </c>
      <c r="FF17" s="23">
        <f>IF(BH17&lt;&gt;-999,BH17*$FC17, -999)</f>
        <v>68041808.634473413</v>
      </c>
      <c r="FG17">
        <f>-38.03-(0.1023*G17)+H17*(100+102.093-66.644-64.243)</f>
        <v>13.745112228476557</v>
      </c>
      <c r="FH17">
        <f>IF(BI17&lt;&gt;-999,BI17*$FG17, -999)</f>
        <v>27947912.252525985</v>
      </c>
      <c r="FI17">
        <f>IF(BJ17&lt;&gt;-999,BJ17*$FG17, -999)</f>
        <v>26820139.973585024</v>
      </c>
      <c r="FJ17" s="23">
        <f>IF(BK17&lt;&gt;-999,BK17*$FG17, -999)</f>
        <v>54768052.226111017</v>
      </c>
      <c r="FK17" s="28">
        <f t="shared" si="26"/>
        <v>578777877.08381939</v>
      </c>
      <c r="FL17" s="22">
        <f t="shared" si="28"/>
        <v>10.012280000000011</v>
      </c>
      <c r="FM17">
        <f>IF(AT17&lt;&gt;-999,AT17*$FL17, -999)</f>
        <v>22255680.092863917</v>
      </c>
      <c r="FN17">
        <f>IF(AU17&lt;&gt;-999,AU17*$FL17, -999)</f>
        <v>21357604.997026205</v>
      </c>
      <c r="FO17" s="29">
        <f>IF(AV17&lt;&gt;-999,AV17*$FL17, -999)</f>
        <v>43613285.089890115</v>
      </c>
      <c r="FP17">
        <f t="shared" si="29"/>
        <v>7.2392800000000115</v>
      </c>
      <c r="FQ17">
        <f>IF(AW17&lt;&gt;-999,AW17*$FP17, -999)</f>
        <v>7728051.1482814467</v>
      </c>
      <c r="FR17">
        <f>IF(AX17&lt;&gt;-999,AX17*$FP17, -999)</f>
        <v>7416204.3929950381</v>
      </c>
      <c r="FS17" s="29">
        <f>IF(AY17&lt;&gt;-999,AY17*$FP17, -999)</f>
        <v>15144255.541276485</v>
      </c>
      <c r="FT17">
        <f t="shared" si="30"/>
        <v>1.3112800000000142</v>
      </c>
      <c r="FU17">
        <f>IF(AZ17&lt;&gt;-999,AZ17*$FT17, -999)</f>
        <v>1840968.8575336989</v>
      </c>
      <c r="FV17">
        <f>IF(BA17&lt;&gt;-999,BA17*$FT17, -999)</f>
        <v>1766681.0756166861</v>
      </c>
      <c r="FW17" s="29">
        <f>IF(BB17&lt;&gt;-999,BB17*$FT17, -999)</f>
        <v>3607649.933150385</v>
      </c>
      <c r="FX17">
        <f t="shared" si="31"/>
        <v>1.9372800000000119</v>
      </c>
      <c r="FY17">
        <f>IF(BC17&lt;&gt;-999, BC17*$FX17, -999)</f>
        <v>6236635.2188661629</v>
      </c>
      <c r="FZ17">
        <f>IF(BD17&lt;&gt;-999, BD17*$FX17, -999)</f>
        <v>5984970.3100335831</v>
      </c>
      <c r="GA17" s="29">
        <f>IF(BE17&lt;&gt;-999, BE17*$FX17, -999)</f>
        <v>12221605.528899746</v>
      </c>
      <c r="GB17">
        <f t="shared" si="32"/>
        <v>-2.1347199999999873</v>
      </c>
      <c r="GC17">
        <f>IF(BF17&lt;&gt;-999,BF17*$GB17, -999)</f>
        <v>-3300392.5341876983</v>
      </c>
      <c r="GD17">
        <f>IF(BG17&lt;&gt;-999,BG17*$GB17, -999)</f>
        <v>-3167212.946205576</v>
      </c>
      <c r="GE17" s="29">
        <f>IF(BH17&lt;&gt;-999,BH17*$GB17, -999)</f>
        <v>-6467605.4803932747</v>
      </c>
      <c r="GF17">
        <f t="shared" si="33"/>
        <v>-10.847719999999988</v>
      </c>
      <c r="GG17">
        <f>IF(BI17&lt;&gt;-999,BI17*$GF17, -999)</f>
        <v>-22056649.786523636</v>
      </c>
      <c r="GH17">
        <f>IF(BJ17&lt;&gt;-999,BJ17*$GF17, -999)</f>
        <v>-21166605.550990365</v>
      </c>
      <c r="GI17" s="29">
        <f>IF(BK17&lt;&gt;-999,BK17*$GF17, -999)</f>
        <v>-43223255.337514006</v>
      </c>
      <c r="GJ17" s="30">
        <f t="shared" si="27"/>
        <v>24895935.275309451</v>
      </c>
    </row>
    <row r="18" spans="1:192">
      <c r="A18" s="49" t="s">
        <v>136</v>
      </c>
      <c r="B18" s="49" t="s">
        <v>158</v>
      </c>
      <c r="C18" s="49">
        <v>17</v>
      </c>
      <c r="D18" s="50">
        <v>0.98299999999999998</v>
      </c>
      <c r="E18" s="49">
        <v>195.52301524071001</v>
      </c>
      <c r="F18" s="49">
        <v>0.78767624833970895</v>
      </c>
      <c r="G18" s="49">
        <v>346.08081895271602</v>
      </c>
      <c r="H18" s="49">
        <v>0.79694965793733397</v>
      </c>
      <c r="I18" s="42">
        <v>33340.300000000003</v>
      </c>
      <c r="J18" s="43">
        <v>-999</v>
      </c>
      <c r="K18" s="43">
        <f t="shared" si="0"/>
        <v>33340.300000000003</v>
      </c>
      <c r="L18" s="43">
        <v>11636.6</v>
      </c>
      <c r="M18" s="43">
        <v>-999</v>
      </c>
      <c r="N18" s="43">
        <f t="shared" si="1"/>
        <v>11636.6</v>
      </c>
      <c r="O18" s="43">
        <v>39641.699999999997</v>
      </c>
      <c r="P18" s="43">
        <v>-999</v>
      </c>
      <c r="Q18" s="43">
        <f t="shared" si="2"/>
        <v>39641.699999999997</v>
      </c>
      <c r="R18" s="43">
        <v>23192.2</v>
      </c>
      <c r="S18" s="43">
        <v>-999</v>
      </c>
      <c r="T18" s="43">
        <f t="shared" si="3"/>
        <v>23192.2</v>
      </c>
      <c r="U18" s="43">
        <v>8094.7</v>
      </c>
      <c r="V18" s="43">
        <v>-999</v>
      </c>
      <c r="W18" s="43">
        <f t="shared" si="4"/>
        <v>8094.7</v>
      </c>
      <c r="X18" s="43">
        <v>27575.599999999999</v>
      </c>
      <c r="Y18" s="43">
        <v>-999</v>
      </c>
      <c r="Z18" s="43">
        <f t="shared" si="5"/>
        <v>27575.599999999999</v>
      </c>
      <c r="AA18" s="22">
        <v>176314</v>
      </c>
      <c r="AB18">
        <v>-999</v>
      </c>
      <c r="AC18">
        <v>176314</v>
      </c>
      <c r="AD18">
        <v>61537.9</v>
      </c>
      <c r="AE18">
        <v>-999</v>
      </c>
      <c r="AF18">
        <v>61537.9</v>
      </c>
      <c r="AG18">
        <v>209637.5</v>
      </c>
      <c r="AH18">
        <v>-999</v>
      </c>
      <c r="AI18">
        <v>209637.5</v>
      </c>
      <c r="AJ18">
        <v>122647.7</v>
      </c>
      <c r="AK18">
        <v>-999</v>
      </c>
      <c r="AL18">
        <v>122647.7</v>
      </c>
      <c r="AM18">
        <v>42807</v>
      </c>
      <c r="AN18">
        <v>-999</v>
      </c>
      <c r="AO18">
        <v>42807</v>
      </c>
      <c r="AP18">
        <v>145828.1</v>
      </c>
      <c r="AQ18">
        <v>-999</v>
      </c>
      <c r="AR18">
        <v>145828.1</v>
      </c>
      <c r="AS18">
        <v>758772.28</v>
      </c>
      <c r="AT18" s="22">
        <f t="shared" ref="AT18:BI33" si="34">IF(AA18&lt;&gt;-999,AA18*0.5*3.67*0.907185, -999)</f>
        <v>293507.17852515</v>
      </c>
      <c r="AU18">
        <f t="shared" si="34"/>
        <v>-999</v>
      </c>
      <c r="AV18">
        <f t="shared" si="34"/>
        <v>293507.17852515</v>
      </c>
      <c r="AW18">
        <f t="shared" si="34"/>
        <v>102441.1867541025</v>
      </c>
      <c r="AX18">
        <f t="shared" si="34"/>
        <v>-999</v>
      </c>
      <c r="AY18">
        <f t="shared" si="34"/>
        <v>102441.1867541025</v>
      </c>
      <c r="AZ18">
        <f t="shared" si="34"/>
        <v>348980.29162781249</v>
      </c>
      <c r="BA18">
        <f t="shared" si="34"/>
        <v>-999</v>
      </c>
      <c r="BB18">
        <f t="shared" si="34"/>
        <v>348980.29162781249</v>
      </c>
      <c r="BC18">
        <f t="shared" si="34"/>
        <v>204169.72208445752</v>
      </c>
      <c r="BD18">
        <f t="shared" si="34"/>
        <v>-999</v>
      </c>
      <c r="BE18">
        <f t="shared" si="34"/>
        <v>204169.72208445752</v>
      </c>
      <c r="BF18">
        <f t="shared" si="34"/>
        <v>71260.148321325003</v>
      </c>
      <c r="BG18">
        <f t="shared" si="34"/>
        <v>-999</v>
      </c>
      <c r="BH18">
        <f t="shared" si="34"/>
        <v>71260.148321325003</v>
      </c>
      <c r="BI18">
        <f t="shared" si="34"/>
        <v>242757.77408874751</v>
      </c>
      <c r="BJ18">
        <f t="shared" si="7"/>
        <v>-999</v>
      </c>
      <c r="BK18">
        <f t="shared" si="7"/>
        <v>242757.77408874751</v>
      </c>
      <c r="BL18">
        <f t="shared" si="7"/>
        <v>1263116.4345763531</v>
      </c>
      <c r="BM18" s="22">
        <f>-17.17-(0.1023*E18)+F18*(100-8.576-13.681)</f>
        <v>24.064310115549361</v>
      </c>
      <c r="BN18">
        <f>IF(AT18&lt;&gt;-999,AT18*$BM18, -999)</f>
        <v>7063047.7651691195</v>
      </c>
      <c r="BO18">
        <f>IF(AU18&lt;&gt;-999,AU18*$BM18, -999)</f>
        <v>-999</v>
      </c>
      <c r="BP18" s="25">
        <f>IF(AV18&lt;&gt;-999,AV18*$BM18, -999)</f>
        <v>7063047.7651691195</v>
      </c>
      <c r="BQ18">
        <f>-19.943-(0.1023*E18)+F18*(100-8.576-13.681)</f>
        <v>21.291310115549365</v>
      </c>
      <c r="BR18">
        <f>IF(AW18&lt;&gt;-999,AW18*$BQ18, -999)</f>
        <v>2181107.075786504</v>
      </c>
      <c r="BS18">
        <f>IF(AX18&lt;&gt;-999,AX18*$BQ18, -999)</f>
        <v>-999</v>
      </c>
      <c r="BT18" s="25">
        <f>IF(AY18&lt;&gt;-999,AY18*$BQ18, -999)</f>
        <v>2181107.075786504</v>
      </c>
      <c r="BU18">
        <f>-25.871-(0.1023*E18)+F18*(100-8.576-13.681)</f>
        <v>15.363310115549368</v>
      </c>
      <c r="BV18">
        <f>IF(AZ18&lt;&gt;-999,AZ18*$BU18, -999)</f>
        <v>5361492.4444929399</v>
      </c>
      <c r="BW18">
        <f>IF(BA18&lt;&gt;-999,BA18*$BU18, -999)</f>
        <v>-999</v>
      </c>
      <c r="BX18" s="25">
        <f>IF(BB18&lt;&gt;-999,BB18*$BU18, -999)</f>
        <v>5361492.4444929399</v>
      </c>
      <c r="BY18">
        <f>-25.245-(0.1023*E18)+F18*(100-8.576-13.681)</f>
        <v>15.989310115549358</v>
      </c>
      <c r="BZ18">
        <f>IF(BC18&lt;&gt;-999,BC18*$BY18, -999)</f>
        <v>3264533.0026139179</v>
      </c>
      <c r="CA18">
        <f>IF(BD18&lt;&gt;-999,BD18*$BY18, -999)</f>
        <v>-999</v>
      </c>
      <c r="CB18" s="25">
        <f>IF(BE18&lt;&gt;-999,BE18*$BY18, -999)</f>
        <v>3264533.0026139179</v>
      </c>
      <c r="CC18">
        <f>-29.317-(0.1023*E18)+F18*(100-8.576-13.681)</f>
        <v>11.917310115549363</v>
      </c>
      <c r="CD18">
        <f>IF(BF18&lt;&gt;-999,BF18*$CC18, -999)</f>
        <v>849229.28642527433</v>
      </c>
      <c r="CE18">
        <f>IF(BG18&lt;&gt;-999,BG18*$CC18, -999)</f>
        <v>-999</v>
      </c>
      <c r="CF18" s="25">
        <f>IF(BH18&lt;&gt;-999,BH18*$CC18, -999)</f>
        <v>849229.28642527433</v>
      </c>
      <c r="CG18">
        <f>-38.03-(0.1023*E18)+F18*(100-8.576-13.681)</f>
        <v>3.2043101155493616</v>
      </c>
      <c r="CH18">
        <f>IF(BI18&lt;&gt;-999,BI18*$CG18, -999)</f>
        <v>777871.19114082039</v>
      </c>
      <c r="CI18">
        <f>IF(BJ18&lt;&gt;-999,BJ18*$CG18, -999)</f>
        <v>-999</v>
      </c>
      <c r="CJ18" s="25">
        <f>IF(BK18&lt;&gt;-999,BK18*$CG18, -999)</f>
        <v>777871.19114082039</v>
      </c>
      <c r="CK18" s="26">
        <f t="shared" si="8"/>
        <v>19497280.765628573</v>
      </c>
      <c r="CL18">
        <f t="shared" si="9"/>
        <v>-23.222339533703483</v>
      </c>
      <c r="CM18">
        <f t="shared" si="10"/>
        <v>34.472684400039007</v>
      </c>
      <c r="CN18">
        <f t="shared" si="11"/>
        <v>-79.920761117616777</v>
      </c>
      <c r="CO18" s="22">
        <f t="shared" si="12"/>
        <v>-40.08</v>
      </c>
      <c r="CP18">
        <f>IF(AT18&lt;&gt;-999,AT18*$CO18, -999)</f>
        <v>-11763767.715288011</v>
      </c>
      <c r="CQ18">
        <f>IF(AU18&lt;&gt;-999,AU18*$CO18, -999)</f>
        <v>-999</v>
      </c>
      <c r="CR18" s="27">
        <f>IF(AV18&lt;&gt;-999,AV18*$CO18, -999)</f>
        <v>-11763767.715288011</v>
      </c>
      <c r="CS18">
        <f t="shared" si="13"/>
        <v>-42.853000000000002</v>
      </c>
      <c r="CT18">
        <f>IF(AW18&lt;&gt;-999,AW18*$CS18, -999)</f>
        <v>-4389912.1759735541</v>
      </c>
      <c r="CU18">
        <f>IF(AX18&lt;&gt;-999,AX18*$CS18, -999)</f>
        <v>-999</v>
      </c>
      <c r="CV18" s="27">
        <f>IF(AY18&lt;&gt;-999,AY18*$CS18, -999)</f>
        <v>-4389912.1759735541</v>
      </c>
      <c r="CW18">
        <f t="shared" si="14"/>
        <v>-48.780999999999999</v>
      </c>
      <c r="CX18">
        <f>IF(AZ18&lt;&gt;-999,AZ18*$CO18, -999)</f>
        <v>-13987130.088442724</v>
      </c>
      <c r="CY18">
        <f>IF(BA18&lt;&gt;-999,BA18*$CO18, -999)</f>
        <v>-999</v>
      </c>
      <c r="CZ18" s="27">
        <f>IF(BB18&lt;&gt;-999,BB18*$CO18, -999)</f>
        <v>-13987130.088442724</v>
      </c>
      <c r="DA18">
        <f t="shared" si="15"/>
        <v>-48.155000000000001</v>
      </c>
      <c r="DB18">
        <f>IF(BC18&lt;&gt;-999,BC18*$DA18, -999)</f>
        <v>-9831792.9669770524</v>
      </c>
      <c r="DC18">
        <f>IF(BD18&lt;&gt;-999,BD18*$DA18, -999)</f>
        <v>-999</v>
      </c>
      <c r="DD18" s="27">
        <f>IF(BE18&lt;&gt;-999,BE18*$DA18, -999)</f>
        <v>-9831792.9669770524</v>
      </c>
      <c r="DE18">
        <f t="shared" si="16"/>
        <v>-52.227000000000004</v>
      </c>
      <c r="DF18">
        <f>IF(BF18&lt;&gt;-999,BF18*$DE18, -999)</f>
        <v>-3721703.7663778411</v>
      </c>
      <c r="DG18">
        <f>IF(BG18&lt;&gt;-999,BG18*$DE18, -999)</f>
        <v>-999</v>
      </c>
      <c r="DH18" s="27">
        <f>IF(BH18&lt;&gt;-999,BH18*$DE18, -999)</f>
        <v>-3721703.7663778411</v>
      </c>
      <c r="DI18">
        <f t="shared" si="17"/>
        <v>-60.94</v>
      </c>
      <c r="DJ18">
        <f>IF(BI18&lt;&gt;-999,BI18*$DI18, -999)</f>
        <v>-14793658.752968272</v>
      </c>
      <c r="DK18">
        <f>IF(BJ18&lt;&gt;-999,BJ18*$DI18, -999)</f>
        <v>-999</v>
      </c>
      <c r="DL18" s="27">
        <f>IF(BK18&lt;&gt;-999,BK18*$DI18, -999)</f>
        <v>-14793658.752968272</v>
      </c>
      <c r="DM18" s="28">
        <f t="shared" si="18"/>
        <v>-58487965.466027461</v>
      </c>
      <c r="DN18" s="22">
        <f t="shared" si="19"/>
        <v>-17.170000000000002</v>
      </c>
      <c r="DO18">
        <f>IF(AT18&lt;&gt;-999,AT18*$DN18, -999)</f>
        <v>-5039518.2552768262</v>
      </c>
      <c r="DP18">
        <f>IF(AU18&lt;&gt;-999,AU18*$DN18, -999)</f>
        <v>-999</v>
      </c>
      <c r="DQ18" s="24">
        <f>IF(AV18&lt;&gt;-999,AV18*$DN18, -999)</f>
        <v>-5039518.2552768262</v>
      </c>
      <c r="DR18">
        <f t="shared" si="20"/>
        <v>-19.943000000000001</v>
      </c>
      <c r="DS18">
        <f>IF(AW18&lt;&gt;-999,AW18*$DR18, -999)</f>
        <v>-2042984.5874370662</v>
      </c>
      <c r="DT18">
        <f>IF(AX18&lt;&gt;-999,AX18*$DR18, -999)</f>
        <v>-999</v>
      </c>
      <c r="DU18" s="24">
        <f>IF(AY18&lt;&gt;-999,AY18*$DR18, -999)</f>
        <v>-2042984.5874370662</v>
      </c>
      <c r="DV18">
        <f t="shared" si="21"/>
        <v>-25.870999999999999</v>
      </c>
      <c r="DW18">
        <f>IF(AZ18&lt;&gt;-999,AZ18*$DV18, -999)</f>
        <v>-9028469.1247031372</v>
      </c>
      <c r="DX18">
        <f>IF(BA18&lt;&gt;-999,BA18*$DV18, -999)</f>
        <v>-999</v>
      </c>
      <c r="DY18" s="24">
        <f>IF(BB18&lt;&gt;-999,BB18*$DV18, -999)</f>
        <v>-9028469.1247031372</v>
      </c>
      <c r="DZ18">
        <f t="shared" si="22"/>
        <v>-25.245000000000001</v>
      </c>
      <c r="EA18">
        <f>IF(BC18&lt;&gt;-999, BC18*$DZ18, -999)</f>
        <v>-5154264.6340221306</v>
      </c>
      <c r="EB18">
        <f>IF(BD18&lt;&gt;-999, BD18*$DZ18, -999)</f>
        <v>-999</v>
      </c>
      <c r="EC18" s="24">
        <f>IF(BE18&lt;&gt;-999, BE18*$DZ18, -999)</f>
        <v>-5154264.6340221306</v>
      </c>
      <c r="ED18">
        <f t="shared" si="23"/>
        <v>-29.317</v>
      </c>
      <c r="EE18">
        <f>IF(BF18&lt;&gt;-999,BF18*$ED18, -999)</f>
        <v>-2089133.7683362851</v>
      </c>
      <c r="EF18">
        <f>IF(BG18&lt;&gt;-999,BG18*$ED18, -999)</f>
        <v>-999</v>
      </c>
      <c r="EG18" s="24">
        <f>IF(BH18&lt;&gt;-999,BH18*$ED18, -999)</f>
        <v>-2089133.7683362851</v>
      </c>
      <c r="EH18">
        <f t="shared" si="24"/>
        <v>-38.03</v>
      </c>
      <c r="EI18">
        <f>IF(BI18&lt;&gt;-999,BI18*$EH18, -999)</f>
        <v>-9232078.1485950686</v>
      </c>
      <c r="EJ18">
        <f>IF(BJ18&lt;&gt;-999,BJ18*$EH18, -999)</f>
        <v>-999</v>
      </c>
      <c r="EK18" s="24">
        <f>IF(BK18&lt;&gt;-999,BK18*$EH18, -999)</f>
        <v>-9232078.1485950686</v>
      </c>
      <c r="EL18" s="28">
        <f t="shared" si="25"/>
        <v>-32586448.518370513</v>
      </c>
      <c r="EM18" s="22">
        <f>-17.17-(0.1023*G18)+H18*(100+102.093-66.644-64.243)</f>
        <v>4.1735295642229673</v>
      </c>
      <c r="EN18">
        <f>IF(AT18&lt;&gt;-999,AT18*$EM18, -999)</f>
        <v>1224960.886886382</v>
      </c>
      <c r="EO18">
        <f>IF(AU18&lt;&gt;-999,AU18*$EM18, -999)</f>
        <v>-999</v>
      </c>
      <c r="EP18" s="23">
        <f>IF(AV18&lt;&gt;-999,AV18*$EM18, -999)</f>
        <v>1224960.886886382</v>
      </c>
      <c r="EQ18">
        <f>-19.943-(0.1023*G18)+H18*(100+102.093-66.644-64.243)</f>
        <v>1.400529564222964</v>
      </c>
      <c r="ER18">
        <f>IF(AW18&lt;&gt;-999,AW18*$EQ18, -999)</f>
        <v>143471.91064320644</v>
      </c>
      <c r="ES18">
        <f>IF(AX18&lt;&gt;-999,AX18*$EQ18, -999)</f>
        <v>-999</v>
      </c>
      <c r="ET18" s="23">
        <f>IF(AY18&lt;&gt;-999,AY18*$EQ18, -999)</f>
        <v>143471.91064320644</v>
      </c>
      <c r="EU18">
        <f>-25.871-(0.1023*G18)+H18*(100+102.093-66.644-64.243)</f>
        <v>-4.5274704357770332</v>
      </c>
      <c r="EV18">
        <f>IF(AZ18&lt;&gt;-999,AZ18*$EU18, -999)</f>
        <v>-1579997.9530137684</v>
      </c>
      <c r="EW18">
        <f>IF(BA18&lt;&gt;-999,BA18*$EU18, -999)</f>
        <v>-999</v>
      </c>
      <c r="EX18" s="23">
        <f>IF(BB18&lt;&gt;-999,BB18*$EU18, -999)</f>
        <v>-1579997.9530137684</v>
      </c>
      <c r="EY18">
        <f>-25.245-(0.1023*G18)+H18*(100+102.093-66.644-64.243)</f>
        <v>-3.9014704357770285</v>
      </c>
      <c r="EZ18">
        <f>IF(BC18&lt;&gt;-999, BC18*$EY18, -999)</f>
        <v>-796562.13459332322</v>
      </c>
      <c r="FA18">
        <f>IF(BD18&lt;&gt;-999, BD18*$EY18, -999)</f>
        <v>-999</v>
      </c>
      <c r="FB18" s="23">
        <f>IF(BE18&lt;&gt;-999, BE18*$EY18, -999)</f>
        <v>-796562.13459332322</v>
      </c>
      <c r="FC18">
        <f>-29.317-(0.1023*G18)+H18*(100+102.093-66.644-64.243)</f>
        <v>-7.9734704357770312</v>
      </c>
      <c r="FD18">
        <f>IF(BF18&lt;&gt;-999,BF18*$FC18, -999)</f>
        <v>-568190.6858891712</v>
      </c>
      <c r="FE18">
        <f>IF(BG18&lt;&gt;-999,BG18*$FC18, -999)</f>
        <v>-999</v>
      </c>
      <c r="FF18" s="23">
        <f>IF(BH18&lt;&gt;-999,BH18*$FC18, -999)</f>
        <v>-568190.6858891712</v>
      </c>
      <c r="FG18">
        <f>-38.03-(0.1023*G18)+H18*(100+102.093-66.644-64.243)</f>
        <v>-16.686470435777025</v>
      </c>
      <c r="FH18">
        <f>IF(BI18&lt;&gt;-999,BI18*$FG18, -999)</f>
        <v>-4050770.420386923</v>
      </c>
      <c r="FI18">
        <f>IF(BJ18&lt;&gt;-999,BJ18*$FG18, -999)</f>
        <v>-999</v>
      </c>
      <c r="FJ18" s="23">
        <f>IF(BK18&lt;&gt;-999,BK18*$FG18, -999)</f>
        <v>-4050770.420386923</v>
      </c>
      <c r="FK18" s="28">
        <f t="shared" si="26"/>
        <v>-5627088.3963535968</v>
      </c>
      <c r="FL18" s="22">
        <f t="shared" si="28"/>
        <v>10.012280000000011</v>
      </c>
      <c r="FM18">
        <f>IF(AT18&lt;&gt;-999,AT18*$FL18, -999)</f>
        <v>2938676.053403792</v>
      </c>
      <c r="FN18">
        <f>IF(AU18&lt;&gt;-999,AU18*$FL18, -999)</f>
        <v>-999</v>
      </c>
      <c r="FO18" s="29">
        <f>IF(AV18&lt;&gt;-999,AV18*$FL18, -999)</f>
        <v>2938676.053403792</v>
      </c>
      <c r="FP18">
        <f t="shared" si="29"/>
        <v>7.2392800000000115</v>
      </c>
      <c r="FQ18">
        <f>IF(AW18&lt;&gt;-999,AW18*$FP18, -999)</f>
        <v>741600.4344452403</v>
      </c>
      <c r="FR18">
        <f>IF(AX18&lt;&gt;-999,AX18*$FP18, -999)</f>
        <v>-999</v>
      </c>
      <c r="FS18" s="29">
        <f>IF(AY18&lt;&gt;-999,AY18*$FP18, -999)</f>
        <v>741600.4344452403</v>
      </c>
      <c r="FT18">
        <f t="shared" si="30"/>
        <v>1.3112800000000142</v>
      </c>
      <c r="FU18">
        <f>IF(AZ18&lt;&gt;-999,AZ18*$FT18, -999)</f>
        <v>457610.87680572295</v>
      </c>
      <c r="FV18">
        <f>IF(BA18&lt;&gt;-999,BA18*$FT18, -999)</f>
        <v>-999</v>
      </c>
      <c r="FW18" s="29">
        <f>IF(BB18&lt;&gt;-999,BB18*$FT18, -999)</f>
        <v>457610.87680572295</v>
      </c>
      <c r="FX18">
        <f t="shared" si="31"/>
        <v>1.9372800000000119</v>
      </c>
      <c r="FY18">
        <f>IF(BC18&lt;&gt;-999, BC18*$FX18, -999)</f>
        <v>395533.91919978027</v>
      </c>
      <c r="FZ18">
        <f>IF(BD18&lt;&gt;-999, BD18*$FX18, -999)</f>
        <v>-999</v>
      </c>
      <c r="GA18" s="29">
        <f>IF(BE18&lt;&gt;-999, BE18*$FX18, -999)</f>
        <v>395533.91919978027</v>
      </c>
      <c r="GB18">
        <f t="shared" si="32"/>
        <v>-2.1347199999999873</v>
      </c>
      <c r="GC18">
        <f>IF(BF18&lt;&gt;-999,BF18*$GB18, -999)</f>
        <v>-152120.463824498</v>
      </c>
      <c r="GD18">
        <f>IF(BG18&lt;&gt;-999,BG18*$GB18, -999)</f>
        <v>-999</v>
      </c>
      <c r="GE18" s="29">
        <f>IF(BH18&lt;&gt;-999,BH18*$GB18, -999)</f>
        <v>-152120.463824498</v>
      </c>
      <c r="GF18">
        <f t="shared" si="33"/>
        <v>-10.847719999999988</v>
      </c>
      <c r="GG18">
        <f>IF(BI18&lt;&gt;-999,BI18*$GF18, -999)</f>
        <v>-2633368.3611379853</v>
      </c>
      <c r="GH18">
        <f>IF(BJ18&lt;&gt;-999,BJ18*$GF18, -999)</f>
        <v>-999</v>
      </c>
      <c r="GI18" s="29">
        <f>IF(BK18&lt;&gt;-999,BK18*$GF18, -999)</f>
        <v>-2633368.3611379853</v>
      </c>
      <c r="GJ18" s="30">
        <f t="shared" si="27"/>
        <v>1747932.4588920521</v>
      </c>
    </row>
    <row r="19" spans="1:192">
      <c r="A19" s="48" t="s">
        <v>138</v>
      </c>
      <c r="B19" s="48" t="s">
        <v>136</v>
      </c>
      <c r="C19" s="49">
        <v>138</v>
      </c>
      <c r="D19" s="50">
        <v>0.98299999999999998</v>
      </c>
      <c r="E19" s="49">
        <v>229.75576777612599</v>
      </c>
      <c r="F19" s="49">
        <v>0.78068710137530795</v>
      </c>
      <c r="G19" s="49">
        <v>125.04871270606201</v>
      </c>
      <c r="H19" s="49">
        <v>0.81436505399763004</v>
      </c>
      <c r="I19" s="42">
        <v>8855.2999999999993</v>
      </c>
      <c r="J19" s="43">
        <v>398.3</v>
      </c>
      <c r="K19" s="43">
        <f t="shared" si="0"/>
        <v>9253.5999999999985</v>
      </c>
      <c r="L19" s="43">
        <v>6050.2</v>
      </c>
      <c r="M19" s="43">
        <v>272.10000000000002</v>
      </c>
      <c r="N19" s="43">
        <f t="shared" si="1"/>
        <v>6322.3</v>
      </c>
      <c r="O19" s="43">
        <v>18450.5</v>
      </c>
      <c r="P19" s="43">
        <v>829.9</v>
      </c>
      <c r="Q19" s="43">
        <f t="shared" si="2"/>
        <v>19280.400000000001</v>
      </c>
      <c r="R19" s="43">
        <v>9490.1</v>
      </c>
      <c r="S19" s="43">
        <v>426.9</v>
      </c>
      <c r="T19" s="43">
        <f t="shared" si="3"/>
        <v>9917</v>
      </c>
      <c r="U19" s="43">
        <v>6483.9</v>
      </c>
      <c r="V19" s="43">
        <v>291.7</v>
      </c>
      <c r="W19" s="43">
        <f t="shared" si="4"/>
        <v>6775.5999999999995</v>
      </c>
      <c r="X19" s="43">
        <v>19773</v>
      </c>
      <c r="Y19" s="43">
        <v>889.4</v>
      </c>
      <c r="Z19" s="43">
        <f t="shared" si="5"/>
        <v>20662.400000000001</v>
      </c>
      <c r="AA19" s="22">
        <v>152784.9</v>
      </c>
      <c r="AB19">
        <v>6592.4</v>
      </c>
      <c r="AC19">
        <v>159377.29999999999</v>
      </c>
      <c r="AD19">
        <v>104386.7</v>
      </c>
      <c r="AE19">
        <v>4504.1000000000004</v>
      </c>
      <c r="AF19">
        <v>108890.8</v>
      </c>
      <c r="AG19">
        <v>318334.59999999998</v>
      </c>
      <c r="AH19">
        <v>13735.5</v>
      </c>
      <c r="AI19">
        <v>332070.09999999998</v>
      </c>
      <c r="AJ19">
        <v>163736.20000000001</v>
      </c>
      <c r="AK19">
        <v>7064.9</v>
      </c>
      <c r="AL19">
        <v>170801.2</v>
      </c>
      <c r="AM19">
        <v>111868.9</v>
      </c>
      <c r="AN19">
        <v>4826.8999999999996</v>
      </c>
      <c r="AO19">
        <v>116695.8</v>
      </c>
      <c r="AP19">
        <v>341152.2</v>
      </c>
      <c r="AQ19">
        <v>14720.1</v>
      </c>
      <c r="AR19">
        <v>355872.3</v>
      </c>
      <c r="AS19">
        <v>1243707.46</v>
      </c>
      <c r="AT19" s="22">
        <f t="shared" si="34"/>
        <v>254338.6510444275</v>
      </c>
      <c r="AU19">
        <f t="shared" si="34"/>
        <v>10974.265932989998</v>
      </c>
      <c r="AV19">
        <f t="shared" si="34"/>
        <v>265312.91697741748</v>
      </c>
      <c r="AW19">
        <f t="shared" si="34"/>
        <v>173770.91888648248</v>
      </c>
      <c r="AX19">
        <f t="shared" si="34"/>
        <v>7497.9053438475012</v>
      </c>
      <c r="AY19">
        <f t="shared" si="34"/>
        <v>181268.82423033001</v>
      </c>
      <c r="AZ19">
        <f t="shared" si="34"/>
        <v>529926.6664753349</v>
      </c>
      <c r="BA19">
        <f t="shared" si="34"/>
        <v>22865.273606362498</v>
      </c>
      <c r="BB19">
        <f t="shared" si="34"/>
        <v>552791.94008169754</v>
      </c>
      <c r="BC19">
        <f t="shared" si="34"/>
        <v>272569.11013549502</v>
      </c>
      <c r="BD19">
        <f t="shared" si="34"/>
        <v>11760.8293474275</v>
      </c>
      <c r="BE19">
        <f t="shared" si="34"/>
        <v>284330.10595136997</v>
      </c>
      <c r="BF19">
        <f t="shared" si="34"/>
        <v>186226.42106532748</v>
      </c>
      <c r="BG19">
        <f t="shared" si="34"/>
        <v>8035.265492377499</v>
      </c>
      <c r="BH19">
        <f t="shared" si="34"/>
        <v>194261.68655770502</v>
      </c>
      <c r="BI19">
        <f t="shared" si="34"/>
        <v>567910.77095209504</v>
      </c>
      <c r="BJ19">
        <f t="shared" si="7"/>
        <v>24504.321940447502</v>
      </c>
      <c r="BK19">
        <f t="shared" si="7"/>
        <v>592415.09289254248</v>
      </c>
      <c r="BL19">
        <f t="shared" si="7"/>
        <v>2070380.5001036837</v>
      </c>
      <c r="BM19" s="22">
        <f>-17.17-(0.1023*E19)+F19*(100-8.576-13.681)</f>
        <v>20.018942278722882</v>
      </c>
      <c r="BN19">
        <f>IF(AT19&lt;&gt;-999,AT19*$BM19, -999)</f>
        <v>5091590.774506635</v>
      </c>
      <c r="BO19">
        <f>IF(AU19&lt;&gt;-999,AU19*$BM19, -999)</f>
        <v>219693.19626388169</v>
      </c>
      <c r="BP19" s="25">
        <f>IF(AV19&lt;&gt;-999,AV19*$BM19, -999)</f>
        <v>5311283.9707705164</v>
      </c>
      <c r="BQ19">
        <f>-19.943-(0.1023*E19)+F19*(100-8.576-13.681)</f>
        <v>17.245942278722886</v>
      </c>
      <c r="BR19">
        <f>IF(AW19&lt;&gt;-999,AW19*$BQ19, -999)</f>
        <v>2996843.2368369135</v>
      </c>
      <c r="BS19">
        <f>IF(AX19&lt;&gt;-999,AX19*$BQ19, -999)</f>
        <v>129308.44277132188</v>
      </c>
      <c r="BT19" s="25">
        <f>IF(AY19&lt;&gt;-999,AY19*$BQ19, -999)</f>
        <v>3126151.6796082356</v>
      </c>
      <c r="BU19">
        <f>-25.871-(0.1023*E19)+F19*(100-8.576-13.681)</f>
        <v>11.317942278722889</v>
      </c>
      <c r="BV19">
        <f>IF(AZ19&lt;&gt;-999,AZ19*$BU19, -999)</f>
        <v>5997679.4231238766</v>
      </c>
      <c r="BW19">
        <f>IF(BA19&lt;&gt;-999,BA19*$BU19, -999)</f>
        <v>258787.8468640167</v>
      </c>
      <c r="BX19" s="25">
        <f>IF(BB19&lt;&gt;-999,BB19*$BU19, -999)</f>
        <v>6256467.2699878942</v>
      </c>
      <c r="BY19">
        <f>-25.245-(0.1023*E19)+F19*(100-8.576-13.681)</f>
        <v>11.943942278722879</v>
      </c>
      <c r="BZ19">
        <f>IF(BC19&lt;&gt;-999,BC19*$BY19, -999)</f>
        <v>3255549.7184212119</v>
      </c>
      <c r="CA19">
        <f>IF(BD19&lt;&gt;-999,BD19*$BY19, -999)</f>
        <v>140470.66687558411</v>
      </c>
      <c r="CB19" s="25">
        <f>IF(BE19&lt;&gt;-999,BE19*$BY19, -999)</f>
        <v>3396022.3735863236</v>
      </c>
      <c r="CC19">
        <f>-29.317-(0.1023*E19)+F19*(100-8.576-13.681)</f>
        <v>7.8719422787228837</v>
      </c>
      <c r="CD19">
        <f>IF(BF19&lt;&gt;-999,BF19*$CC19, -999)</f>
        <v>1465963.6373994013</v>
      </c>
      <c r="CE19">
        <f>IF(BG19&lt;&gt;-999,BG19*$CC19, -999)</f>
        <v>63253.146150209483</v>
      </c>
      <c r="CF19" s="25">
        <f>IF(BH19&lt;&gt;-999,BH19*$CC19, -999)</f>
        <v>1529216.783549611</v>
      </c>
      <c r="CG19">
        <f>-38.03-(0.1023*E19)+F19*(100-8.576-13.681)</f>
        <v>-0.84105772127711731</v>
      </c>
      <c r="CH19">
        <f>IF(BI19&lt;&gt;-999,BI19*$CG19, -999)</f>
        <v>-477645.73890569998</v>
      </c>
      <c r="CI19">
        <f>IF(BJ19&lt;&gt;-999,BJ19*$CG19, -999)</f>
        <v>-20609.549172673647</v>
      </c>
      <c r="CJ19" s="25">
        <f>IF(BK19&lt;&gt;-999,BK19*$CG19, -999)</f>
        <v>-498255.28807837353</v>
      </c>
      <c r="CK19" s="26">
        <f t="shared" si="8"/>
        <v>19120886.789424207</v>
      </c>
      <c r="CL19">
        <f t="shared" si="9"/>
        <v>-19.143690365658173</v>
      </c>
      <c r="CM19">
        <f t="shared" si="10"/>
        <v>39.067851646424785</v>
      </c>
      <c r="CN19">
        <f t="shared" si="11"/>
        <v>-76.349707887049405</v>
      </c>
      <c r="CO19" s="22">
        <f t="shared" si="12"/>
        <v>-40.08</v>
      </c>
      <c r="CP19">
        <f>IF(AT19&lt;&gt;-999,AT19*$CO19, -999)</f>
        <v>-10193893.133860653</v>
      </c>
      <c r="CQ19">
        <f>IF(AU19&lt;&gt;-999,AU19*$CO19, -999)</f>
        <v>-439848.57859423908</v>
      </c>
      <c r="CR19" s="27">
        <f>IF(AV19&lt;&gt;-999,AV19*$CO19, -999)</f>
        <v>-10633741.712454893</v>
      </c>
      <c r="CS19">
        <f t="shared" si="13"/>
        <v>-42.853000000000002</v>
      </c>
      <c r="CT19">
        <f>IF(AW19&lt;&gt;-999,AW19*$CS19, -999)</f>
        <v>-7446605.1870424338</v>
      </c>
      <c r="CU19">
        <f>IF(AX19&lt;&gt;-999,AX19*$CS19, -999)</f>
        <v>-321307.73769989697</v>
      </c>
      <c r="CV19" s="27">
        <f>IF(AY19&lt;&gt;-999,AY19*$CS19, -999)</f>
        <v>-7767912.9247423317</v>
      </c>
      <c r="CW19">
        <f t="shared" si="14"/>
        <v>-48.780999999999999</v>
      </c>
      <c r="CX19">
        <f>IF(AZ19&lt;&gt;-999,AZ19*$CO19, -999)</f>
        <v>-21239460.792331424</v>
      </c>
      <c r="CY19">
        <f>IF(BA19&lt;&gt;-999,BA19*$CO19, -999)</f>
        <v>-916440.16614300886</v>
      </c>
      <c r="CZ19" s="27">
        <f>IF(BB19&lt;&gt;-999,BB19*$CO19, -999)</f>
        <v>-22155900.958474435</v>
      </c>
      <c r="DA19">
        <f t="shared" si="15"/>
        <v>-48.155000000000001</v>
      </c>
      <c r="DB19">
        <f>IF(BC19&lt;&gt;-999,BC19*$DA19, -999)</f>
        <v>-13125565.498574764</v>
      </c>
      <c r="DC19">
        <f>IF(BD19&lt;&gt;-999,BD19*$DA19, -999)</f>
        <v>-566342.7372253713</v>
      </c>
      <c r="DD19" s="27">
        <f>IF(BE19&lt;&gt;-999,BE19*$DA19, -999)</f>
        <v>-13691916.252088221</v>
      </c>
      <c r="DE19">
        <f t="shared" si="16"/>
        <v>-52.227000000000004</v>
      </c>
      <c r="DF19">
        <f>IF(BF19&lt;&gt;-999,BF19*$DE19, -999)</f>
        <v>-9726047.2929788586</v>
      </c>
      <c r="DG19">
        <f>IF(BG19&lt;&gt;-999,BG19*$DE19, -999)</f>
        <v>-419657.81087039964</v>
      </c>
      <c r="DH19" s="27">
        <f>IF(BH19&lt;&gt;-999,BH19*$DE19, -999)</f>
        <v>-10145705.10384926</v>
      </c>
      <c r="DI19">
        <f t="shared" si="17"/>
        <v>-60.94</v>
      </c>
      <c r="DJ19">
        <f>IF(BI19&lt;&gt;-999,BI19*$DI19, -999)</f>
        <v>-34608482.381820671</v>
      </c>
      <c r="DK19">
        <f>IF(BJ19&lt;&gt;-999,BJ19*$DI19, -999)</f>
        <v>-1493293.3790508707</v>
      </c>
      <c r="DL19" s="27">
        <f>IF(BK19&lt;&gt;-999,BK19*$DI19, -999)</f>
        <v>-36101775.760871537</v>
      </c>
      <c r="DM19" s="28">
        <f t="shared" si="18"/>
        <v>-100496952.71248068</v>
      </c>
      <c r="DN19" s="22">
        <f t="shared" si="19"/>
        <v>-17.170000000000002</v>
      </c>
      <c r="DO19">
        <f>IF(AT19&lt;&gt;-999,AT19*$DN19, -999)</f>
        <v>-4366994.6384328203</v>
      </c>
      <c r="DP19">
        <f>IF(AU19&lt;&gt;-999,AU19*$DN19, -999)</f>
        <v>-188428.14606943828</v>
      </c>
      <c r="DQ19" s="24">
        <f>IF(AV19&lt;&gt;-999,AV19*$DN19, -999)</f>
        <v>-4555422.7845022585</v>
      </c>
      <c r="DR19">
        <f t="shared" si="20"/>
        <v>-19.943000000000001</v>
      </c>
      <c r="DS19">
        <f>IF(AW19&lt;&gt;-999,AW19*$DR19, -999)</f>
        <v>-3465513.4353531203</v>
      </c>
      <c r="DT19">
        <f>IF(AX19&lt;&gt;-999,AX19*$DR19, -999)</f>
        <v>-149530.72627235073</v>
      </c>
      <c r="DU19" s="24">
        <f>IF(AY19&lt;&gt;-999,AY19*$DR19, -999)</f>
        <v>-3615044.1616254714</v>
      </c>
      <c r="DV19">
        <f t="shared" si="21"/>
        <v>-25.870999999999999</v>
      </c>
      <c r="DW19">
        <f>IF(AZ19&lt;&gt;-999,AZ19*$DV19, -999)</f>
        <v>-13709732.788383389</v>
      </c>
      <c r="DX19">
        <f>IF(BA19&lt;&gt;-999,BA19*$DV19, -999)</f>
        <v>-591547.49347020418</v>
      </c>
      <c r="DY19" s="24">
        <f>IF(BB19&lt;&gt;-999,BB19*$DV19, -999)</f>
        <v>-14301280.281853596</v>
      </c>
      <c r="DZ19">
        <f t="shared" si="22"/>
        <v>-25.245000000000001</v>
      </c>
      <c r="EA19">
        <f>IF(BC19&lt;&gt;-999, BC19*$DZ19, -999)</f>
        <v>-6881007.1853705719</v>
      </c>
      <c r="EB19">
        <f>IF(BD19&lt;&gt;-999, BD19*$DZ19, -999)</f>
        <v>-296902.13687580725</v>
      </c>
      <c r="EC19" s="24">
        <f>IF(BE19&lt;&gt;-999, BE19*$DZ19, -999)</f>
        <v>-7177913.5247423351</v>
      </c>
      <c r="ED19">
        <f t="shared" si="23"/>
        <v>-29.317</v>
      </c>
      <c r="EE19">
        <f>IF(BF19&lt;&gt;-999,BF19*$ED19, -999)</f>
        <v>-5459599.9863722054</v>
      </c>
      <c r="EF19">
        <f>IF(BG19&lt;&gt;-999,BG19*$ED19, -999)</f>
        <v>-235569.87844003114</v>
      </c>
      <c r="EG19" s="24">
        <f>IF(BH19&lt;&gt;-999,BH19*$ED19, -999)</f>
        <v>-5695169.8648122381</v>
      </c>
      <c r="EH19">
        <f t="shared" si="24"/>
        <v>-38.03</v>
      </c>
      <c r="EI19">
        <f>IF(BI19&lt;&gt;-999,BI19*$EH19, -999)</f>
        <v>-21597646.619308174</v>
      </c>
      <c r="EJ19">
        <f>IF(BJ19&lt;&gt;-999,BJ19*$EH19, -999)</f>
        <v>-931899.3633952185</v>
      </c>
      <c r="EK19" s="24">
        <f>IF(BK19&lt;&gt;-999,BK19*$EH19, -999)</f>
        <v>-22529545.982703391</v>
      </c>
      <c r="EL19" s="28">
        <f t="shared" si="25"/>
        <v>-57874376.600239292</v>
      </c>
      <c r="EM19" s="22">
        <f>-17.17-(0.1023*G19)+H19*(100+102.093-66.644-64.243)</f>
        <v>28.025194725125115</v>
      </c>
      <c r="EN19">
        <f>IF(AT19&lt;&gt;-999,AT19*$EM19, -999)</f>
        <v>7127890.2216457268</v>
      </c>
      <c r="EO19">
        <f>IF(AU19&lt;&gt;-999,AU19*$EM19, -999)</f>
        <v>307555.93973735155</v>
      </c>
      <c r="EP19" s="23">
        <f>IF(AV19&lt;&gt;-999,AV19*$EM19, -999)</f>
        <v>7435446.1613830775</v>
      </c>
      <c r="EQ19">
        <f>-19.943-(0.1023*G19)+H19*(100+102.093-66.644-64.243)</f>
        <v>25.252194725125115</v>
      </c>
      <c r="ER19">
        <f>IF(AW19&lt;&gt;-999,AW19*$EQ19, -999)</f>
        <v>4388097.081285377</v>
      </c>
      <c r="ES19">
        <f>IF(AX19&lt;&gt;-999,AX19*$EQ19, -999)</f>
        <v>189338.56577339329</v>
      </c>
      <c r="ET19" s="23">
        <f>IF(AY19&lt;&gt;-999,AY19*$EQ19, -999)</f>
        <v>4577435.647058771</v>
      </c>
      <c r="EU19">
        <f>-25.871-(0.1023*G19)+H19*(100+102.093-66.644-64.243)</f>
        <v>19.324194725125118</v>
      </c>
      <c r="EV19">
        <f>IF(AZ19&lt;&gt;-999,AZ19*$EU19, -999)</f>
        <v>10240406.093005804</v>
      </c>
      <c r="EW19">
        <f>IF(BA19&lt;&gt;-999,BA19*$EU19, -999)</f>
        <v>441852.99961261277</v>
      </c>
      <c r="EX19" s="23">
        <f>IF(BB19&lt;&gt;-999,BB19*$EU19, -999)</f>
        <v>10682259.092618419</v>
      </c>
      <c r="EY19">
        <f>-25.245-(0.1023*G19)+H19*(100+102.093-66.644-64.243)</f>
        <v>19.950194725125115</v>
      </c>
      <c r="EZ19">
        <f>IF(BC19&lt;&gt;-999, BC19*$EY19, -999)</f>
        <v>5437806.8232571995</v>
      </c>
      <c r="FA19">
        <f>IF(BD19&lt;&gt;-999, BD19*$EY19, -999)</f>
        <v>234630.83561014474</v>
      </c>
      <c r="FB19" s="23">
        <f>IF(BE19&lt;&gt;-999, BE19*$EY19, -999)</f>
        <v>5672440.9799452862</v>
      </c>
      <c r="FC19">
        <f>-29.317-(0.1023*G19)+H19*(100+102.093-66.644-64.243)</f>
        <v>15.87819472512512</v>
      </c>
      <c r="FD19">
        <f>IF(BF19&lt;&gt;-999,BF19*$FC19, -999)</f>
        <v>2956939.376638412</v>
      </c>
      <c r="FE19">
        <f>IF(BG19&lt;&gt;-999,BG19*$FC19, -999)</f>
        <v>127585.5101560483</v>
      </c>
      <c r="FF19" s="23">
        <f>IF(BH19&lt;&gt;-999,BH19*$FC19, -999)</f>
        <v>3084524.8867944614</v>
      </c>
      <c r="FG19">
        <f>-38.03-(0.1023*G19)+H19*(100+102.093-66.644-64.243)</f>
        <v>7.1651947251251116</v>
      </c>
      <c r="FH19">
        <f>IF(BI19&lt;&gt;-999,BI19*$FG19, -999)</f>
        <v>4069191.2603676869</v>
      </c>
      <c r="FI19">
        <f>IF(BJ19&lt;&gt;-999,BJ19*$FG19, -999)</f>
        <v>175578.23831046198</v>
      </c>
      <c r="FJ19" s="23">
        <f>IF(BK19&lt;&gt;-999,BK19*$FG19, -999)</f>
        <v>4244769.4986781487</v>
      </c>
      <c r="FK19" s="28">
        <f t="shared" si="26"/>
        <v>35696876.266478166</v>
      </c>
      <c r="FL19" s="22">
        <f t="shared" si="28"/>
        <v>10.012280000000011</v>
      </c>
      <c r="FM19">
        <f>IF(AT19&lt;&gt;-999,AT19*$FL19, -999)</f>
        <v>2546509.7890791036</v>
      </c>
      <c r="FN19">
        <f>IF(AU19&lt;&gt;-999,AU19*$FL19, -999)</f>
        <v>109877.42331555721</v>
      </c>
      <c r="FO19" s="29">
        <f>IF(AV19&lt;&gt;-999,AV19*$FL19, -999)</f>
        <v>2656387.2123946603</v>
      </c>
      <c r="FP19">
        <f t="shared" si="29"/>
        <v>7.2392800000000115</v>
      </c>
      <c r="FQ19">
        <f>IF(AW19&lt;&gt;-999,AW19*$FP19, -999)</f>
        <v>1257976.337676537</v>
      </c>
      <c r="FR19">
        <f>IF(AX19&lt;&gt;-999,AX19*$FP19, -999)</f>
        <v>54279.436197608426</v>
      </c>
      <c r="FS19" s="29">
        <f>IF(AY19&lt;&gt;-999,AY19*$FP19, -999)</f>
        <v>1312255.7738741455</v>
      </c>
      <c r="FT19">
        <f t="shared" si="30"/>
        <v>1.3112800000000142</v>
      </c>
      <c r="FU19">
        <f>IF(AZ19&lt;&gt;-999,AZ19*$FT19, -999)</f>
        <v>694882.23921578471</v>
      </c>
      <c r="FV19">
        <f>IF(BA19&lt;&gt;-999,BA19*$FT19, -999)</f>
        <v>29982.775974551343</v>
      </c>
      <c r="FW19" s="29">
        <f>IF(BB19&lt;&gt;-999,BB19*$FT19, -999)</f>
        <v>724865.01519033615</v>
      </c>
      <c r="FX19">
        <f t="shared" si="31"/>
        <v>1.9372800000000119</v>
      </c>
      <c r="FY19">
        <f>IF(BC19&lt;&gt;-999, BC19*$FX19, -999)</f>
        <v>528042.68568329501</v>
      </c>
      <c r="FZ19">
        <f>IF(BD19&lt;&gt;-999, BD19*$FX19, -999)</f>
        <v>22784.019478184488</v>
      </c>
      <c r="GA19" s="29">
        <f>IF(BE19&lt;&gt;-999, BE19*$FX19, -999)</f>
        <v>550827.02765747334</v>
      </c>
      <c r="GB19">
        <f t="shared" si="32"/>
        <v>-2.1347199999999873</v>
      </c>
      <c r="GC19">
        <f>IF(BF19&lt;&gt;-999,BF19*$GB19, -999)</f>
        <v>-397541.2655765735</v>
      </c>
      <c r="GD19">
        <f>IF(BG19&lt;&gt;-999,BG19*$GB19, -999)</f>
        <v>-17153.041951887993</v>
      </c>
      <c r="GE19" s="29">
        <f>IF(BH19&lt;&gt;-999,BH19*$GB19, -999)</f>
        <v>-414694.30752846156</v>
      </c>
      <c r="GF19">
        <f t="shared" si="33"/>
        <v>-10.847719999999988</v>
      </c>
      <c r="GG19">
        <f>IF(BI19&lt;&gt;-999,BI19*$GF19, -999)</f>
        <v>-6160537.0282724537</v>
      </c>
      <c r="GH19">
        <f>IF(BJ19&lt;&gt;-999,BJ19*$GF19, -999)</f>
        <v>-265816.0231998309</v>
      </c>
      <c r="GI19" s="29">
        <f>IF(BK19&lt;&gt;-999,BK19*$GF19, -999)</f>
        <v>-6426353.0514722839</v>
      </c>
      <c r="GJ19" s="30">
        <f t="shared" si="27"/>
        <v>-1596712.3298841296</v>
      </c>
    </row>
    <row r="20" spans="1:192">
      <c r="A20" s="48" t="s">
        <v>138</v>
      </c>
      <c r="B20" s="48" t="s">
        <v>159</v>
      </c>
      <c r="C20" s="49">
        <v>144</v>
      </c>
      <c r="D20" s="50">
        <v>0.98</v>
      </c>
      <c r="E20" s="49">
        <v>191.22312498203999</v>
      </c>
      <c r="F20" s="49">
        <v>0.777802740032149</v>
      </c>
      <c r="G20" s="49">
        <v>59.442699337319098</v>
      </c>
      <c r="H20" s="49">
        <v>0.818460065797048</v>
      </c>
      <c r="I20" s="42">
        <v>42054.5</v>
      </c>
      <c r="J20" s="43">
        <v>-999</v>
      </c>
      <c r="K20" s="43">
        <f t="shared" si="0"/>
        <v>42054.5</v>
      </c>
      <c r="L20" s="43">
        <v>16622.3</v>
      </c>
      <c r="M20" s="43">
        <v>-999</v>
      </c>
      <c r="N20" s="43">
        <f t="shared" si="1"/>
        <v>16622.3</v>
      </c>
      <c r="O20" s="43">
        <v>57402.8</v>
      </c>
      <c r="P20" s="43">
        <v>-999</v>
      </c>
      <c r="Q20" s="43">
        <f t="shared" si="2"/>
        <v>57402.8</v>
      </c>
      <c r="R20" s="43">
        <v>25410.5</v>
      </c>
      <c r="S20" s="43">
        <v>-999</v>
      </c>
      <c r="T20" s="43">
        <f t="shared" si="3"/>
        <v>25410.5</v>
      </c>
      <c r="U20" s="43">
        <v>10043.700000000001</v>
      </c>
      <c r="V20" s="43">
        <v>-999</v>
      </c>
      <c r="W20" s="43">
        <f t="shared" si="4"/>
        <v>10043.700000000001</v>
      </c>
      <c r="X20" s="43">
        <v>34684.400000000001</v>
      </c>
      <c r="Y20" s="43">
        <v>-999</v>
      </c>
      <c r="Z20" s="43">
        <f t="shared" si="5"/>
        <v>34684.400000000001</v>
      </c>
      <c r="AA20" s="22">
        <v>346174.8</v>
      </c>
      <c r="AB20">
        <v>-999</v>
      </c>
      <c r="AC20">
        <v>346174.8</v>
      </c>
      <c r="AD20">
        <v>136827.70000000001</v>
      </c>
      <c r="AE20">
        <v>-999</v>
      </c>
      <c r="AF20">
        <v>136827.70000000001</v>
      </c>
      <c r="AG20">
        <v>472515.4</v>
      </c>
      <c r="AH20">
        <v>-999</v>
      </c>
      <c r="AI20">
        <v>472515.4</v>
      </c>
      <c r="AJ20">
        <v>209168.4</v>
      </c>
      <c r="AK20">
        <v>-999</v>
      </c>
      <c r="AL20">
        <v>209168.4</v>
      </c>
      <c r="AM20">
        <v>82675.100000000006</v>
      </c>
      <c r="AN20">
        <v>-999</v>
      </c>
      <c r="AO20">
        <v>82675.100000000006</v>
      </c>
      <c r="AP20">
        <v>285506.90000000002</v>
      </c>
      <c r="AQ20">
        <v>-999</v>
      </c>
      <c r="AR20">
        <v>285506.90000000002</v>
      </c>
      <c r="AS20">
        <v>1532868.29</v>
      </c>
      <c r="AT20" s="22">
        <f t="shared" si="34"/>
        <v>576271.81519622996</v>
      </c>
      <c r="AU20">
        <f t="shared" si="34"/>
        <v>-999</v>
      </c>
      <c r="AV20">
        <f t="shared" si="34"/>
        <v>576271.81519622996</v>
      </c>
      <c r="AW20">
        <f t="shared" si="34"/>
        <v>227774.94793995752</v>
      </c>
      <c r="AX20">
        <f t="shared" si="34"/>
        <v>-999</v>
      </c>
      <c r="AY20">
        <f t="shared" si="34"/>
        <v>227774.94793995752</v>
      </c>
      <c r="AZ20">
        <f t="shared" si="34"/>
        <v>786589.05057841504</v>
      </c>
      <c r="BA20">
        <f t="shared" si="34"/>
        <v>-999</v>
      </c>
      <c r="BB20">
        <f t="shared" si="34"/>
        <v>786589.05057841504</v>
      </c>
      <c r="BC20">
        <f t="shared" si="34"/>
        <v>348199.38814058999</v>
      </c>
      <c r="BD20">
        <f t="shared" si="34"/>
        <v>-999</v>
      </c>
      <c r="BE20">
        <f t="shared" si="34"/>
        <v>348199.38814058999</v>
      </c>
      <c r="BF20">
        <f t="shared" si="34"/>
        <v>137627.95543907251</v>
      </c>
      <c r="BG20">
        <f t="shared" si="34"/>
        <v>-999</v>
      </c>
      <c r="BH20">
        <f t="shared" si="34"/>
        <v>137627.95543907251</v>
      </c>
      <c r="BI20">
        <f t="shared" si="34"/>
        <v>475278.90393537754</v>
      </c>
      <c r="BJ20">
        <f t="shared" si="7"/>
        <v>-999</v>
      </c>
      <c r="BK20">
        <f t="shared" si="7"/>
        <v>475278.90393537754</v>
      </c>
      <c r="BL20">
        <f t="shared" si="7"/>
        <v>2551742.0445827981</v>
      </c>
      <c r="BM20" s="22">
        <f>-17.17-(0.1023*E20)+F20*(100-8.576-13.681)</f>
        <v>23.736592732656675</v>
      </c>
      <c r="BN20">
        <f>IF(AT20&lt;&gt;-999,AT20*$BM20, -999)</f>
        <v>13678729.380621701</v>
      </c>
      <c r="BO20">
        <f>IF(AU20&lt;&gt;-999,AU20*$BM20, -999)</f>
        <v>-999</v>
      </c>
      <c r="BP20" s="25">
        <f>IF(AV20&lt;&gt;-999,AV20*$BM20, -999)</f>
        <v>13678729.380621701</v>
      </c>
      <c r="BQ20">
        <f>-19.943-(0.1023*E20)+F20*(100-8.576-13.681)</f>
        <v>20.963592732656679</v>
      </c>
      <c r="BR20">
        <f>IF(AW20&lt;&gt;-999,AW20*$BQ20, -999)</f>
        <v>4774981.2433153465</v>
      </c>
      <c r="BS20">
        <f>IF(AX20&lt;&gt;-999,AX20*$BQ20, -999)</f>
        <v>-999</v>
      </c>
      <c r="BT20" s="25">
        <f>IF(AY20&lt;&gt;-999,AY20*$BQ20, -999)</f>
        <v>4774981.2433153465</v>
      </c>
      <c r="BU20">
        <f>-25.871-(0.1023*E20)+F20*(100-8.576-13.681)</f>
        <v>15.035592732656681</v>
      </c>
      <c r="BV20">
        <f>IF(AZ20&lt;&gt;-999,AZ20*$BU20, -999)</f>
        <v>11826832.612464136</v>
      </c>
      <c r="BW20">
        <f>IF(BA20&lt;&gt;-999,BA20*$BU20, -999)</f>
        <v>-999</v>
      </c>
      <c r="BX20" s="25">
        <f>IF(BB20&lt;&gt;-999,BB20*$BU20, -999)</f>
        <v>11826832.612464136</v>
      </c>
      <c r="BY20">
        <f>-25.245-(0.1023*E20)+F20*(100-8.576-13.681)</f>
        <v>15.661592732656672</v>
      </c>
      <c r="BZ20">
        <f>IF(BC20&lt;&gt;-999,BC20*$BY20, -999)</f>
        <v>5453357.0068181641</v>
      </c>
      <c r="CA20">
        <f>IF(BD20&lt;&gt;-999,BD20*$BY20, -999)</f>
        <v>-999</v>
      </c>
      <c r="CB20" s="25">
        <f>IF(BE20&lt;&gt;-999,BE20*$BY20, -999)</f>
        <v>5453357.0068181641</v>
      </c>
      <c r="CC20">
        <f>-29.317-(0.1023*E20)+F20*(100-8.576-13.681)</f>
        <v>11.589592732656676</v>
      </c>
      <c r="CD20">
        <f>IF(BF20&lt;&gt;-999,BF20*$CC20, -999)</f>
        <v>1595051.9521670716</v>
      </c>
      <c r="CE20">
        <f>IF(BG20&lt;&gt;-999,BG20*$CC20, -999)</f>
        <v>-999</v>
      </c>
      <c r="CF20" s="25">
        <f>IF(BH20&lt;&gt;-999,BH20*$CC20, -999)</f>
        <v>1595051.9521670716</v>
      </c>
      <c r="CG20">
        <f>-38.03-(0.1023*E20)+F20*(100-8.576-13.681)</f>
        <v>2.8765927326566754</v>
      </c>
      <c r="CH20">
        <f>IF(BI20&lt;&gt;-999,BI20*$CG20, -999)</f>
        <v>1367183.8410455373</v>
      </c>
      <c r="CI20">
        <f>IF(BJ20&lt;&gt;-999,BJ20*$CG20, -999)</f>
        <v>-999</v>
      </c>
      <c r="CJ20" s="25">
        <f>IF(BK20&lt;&gt;-999,BK20*$CG20, -999)</f>
        <v>1367183.8410455373</v>
      </c>
      <c r="CK20" s="26">
        <f t="shared" si="8"/>
        <v>38696136.036431953</v>
      </c>
      <c r="CL20">
        <f t="shared" si="9"/>
        <v>-24.365199238895009</v>
      </c>
      <c r="CM20">
        <f t="shared" si="10"/>
        <v>34.062211286968683</v>
      </c>
      <c r="CN20">
        <f t="shared" si="11"/>
        <v>-81.783356441779191</v>
      </c>
      <c r="CO20" s="22">
        <f t="shared" si="12"/>
        <v>-40.08</v>
      </c>
      <c r="CP20">
        <f>IF(AT20&lt;&gt;-999,AT20*$CO20, -999)</f>
        <v>-23096974.353064895</v>
      </c>
      <c r="CQ20">
        <f>IF(AU20&lt;&gt;-999,AU20*$CO20, -999)</f>
        <v>-999</v>
      </c>
      <c r="CR20" s="27">
        <f>IF(AV20&lt;&gt;-999,AV20*$CO20, -999)</f>
        <v>-23096974.353064895</v>
      </c>
      <c r="CS20">
        <f t="shared" si="13"/>
        <v>-42.853000000000002</v>
      </c>
      <c r="CT20">
        <f>IF(AW20&lt;&gt;-999,AW20*$CS20, -999)</f>
        <v>-9760839.8440710008</v>
      </c>
      <c r="CU20">
        <f>IF(AX20&lt;&gt;-999,AX20*$CS20, -999)</f>
        <v>-999</v>
      </c>
      <c r="CV20" s="27">
        <f>IF(AY20&lt;&gt;-999,AY20*$CS20, -999)</f>
        <v>-9760839.8440710008</v>
      </c>
      <c r="CW20">
        <f t="shared" si="14"/>
        <v>-48.780999999999999</v>
      </c>
      <c r="CX20">
        <f>IF(AZ20&lt;&gt;-999,AZ20*$CO20, -999)</f>
        <v>-31526489.147182874</v>
      </c>
      <c r="CY20">
        <f>IF(BA20&lt;&gt;-999,BA20*$CO20, -999)</f>
        <v>-999</v>
      </c>
      <c r="CZ20" s="27">
        <f>IF(BB20&lt;&gt;-999,BB20*$CO20, -999)</f>
        <v>-31526489.147182874</v>
      </c>
      <c r="DA20">
        <f t="shared" si="15"/>
        <v>-48.155000000000001</v>
      </c>
      <c r="DB20">
        <f>IF(BC20&lt;&gt;-999,BC20*$DA20, -999)</f>
        <v>-16767541.535910111</v>
      </c>
      <c r="DC20">
        <f>IF(BD20&lt;&gt;-999,BD20*$DA20, -999)</f>
        <v>-999</v>
      </c>
      <c r="DD20" s="27">
        <f>IF(BE20&lt;&gt;-999,BE20*$DA20, -999)</f>
        <v>-16767541.535910111</v>
      </c>
      <c r="DE20">
        <f t="shared" si="16"/>
        <v>-52.227000000000004</v>
      </c>
      <c r="DF20">
        <f>IF(BF20&lt;&gt;-999,BF20*$DE20, -999)</f>
        <v>-7187895.2287164405</v>
      </c>
      <c r="DG20">
        <f>IF(BG20&lt;&gt;-999,BG20*$DE20, -999)</f>
        <v>-999</v>
      </c>
      <c r="DH20" s="27">
        <f>IF(BH20&lt;&gt;-999,BH20*$DE20, -999)</f>
        <v>-7187895.2287164405</v>
      </c>
      <c r="DI20">
        <f t="shared" si="17"/>
        <v>-60.94</v>
      </c>
      <c r="DJ20">
        <f>IF(BI20&lt;&gt;-999,BI20*$DI20, -999)</f>
        <v>-28963496.405821908</v>
      </c>
      <c r="DK20">
        <f>IF(BJ20&lt;&gt;-999,BJ20*$DI20, -999)</f>
        <v>-999</v>
      </c>
      <c r="DL20" s="27">
        <f>IF(BK20&lt;&gt;-999,BK20*$DI20, -999)</f>
        <v>-28963496.405821908</v>
      </c>
      <c r="DM20" s="28">
        <f t="shared" si="18"/>
        <v>-117303236.51476721</v>
      </c>
      <c r="DN20" s="22">
        <f t="shared" si="19"/>
        <v>-17.170000000000002</v>
      </c>
      <c r="DO20">
        <f>IF(AT20&lt;&gt;-999,AT20*$DN20, -999)</f>
        <v>-9894587.066919269</v>
      </c>
      <c r="DP20">
        <f>IF(AU20&lt;&gt;-999,AU20*$DN20, -999)</f>
        <v>-999</v>
      </c>
      <c r="DQ20" s="24">
        <f>IF(AV20&lt;&gt;-999,AV20*$DN20, -999)</f>
        <v>-9894587.066919269</v>
      </c>
      <c r="DR20">
        <f t="shared" si="20"/>
        <v>-19.943000000000001</v>
      </c>
      <c r="DS20">
        <f>IF(AW20&lt;&gt;-999,AW20*$DR20, -999)</f>
        <v>-4542515.7867665729</v>
      </c>
      <c r="DT20">
        <f>IF(AX20&lt;&gt;-999,AX20*$DR20, -999)</f>
        <v>-999</v>
      </c>
      <c r="DU20" s="24">
        <f>IF(AY20&lt;&gt;-999,AY20*$DR20, -999)</f>
        <v>-4542515.7867665729</v>
      </c>
      <c r="DV20">
        <f t="shared" si="21"/>
        <v>-25.870999999999999</v>
      </c>
      <c r="DW20">
        <f>IF(AZ20&lt;&gt;-999,AZ20*$DV20, -999)</f>
        <v>-20349845.327514175</v>
      </c>
      <c r="DX20">
        <f>IF(BA20&lt;&gt;-999,BA20*$DV20, -999)</f>
        <v>-999</v>
      </c>
      <c r="DY20" s="24">
        <f>IF(BB20&lt;&gt;-999,BB20*$DV20, -999)</f>
        <v>-20349845.327514175</v>
      </c>
      <c r="DZ20">
        <f t="shared" si="22"/>
        <v>-25.245000000000001</v>
      </c>
      <c r="EA20">
        <f>IF(BC20&lt;&gt;-999, BC20*$DZ20, -999)</f>
        <v>-8790293.5536091942</v>
      </c>
      <c r="EB20">
        <f>IF(BD20&lt;&gt;-999, BD20*$DZ20, -999)</f>
        <v>-999</v>
      </c>
      <c r="EC20" s="24">
        <f>IF(BE20&lt;&gt;-999, BE20*$DZ20, -999)</f>
        <v>-8790293.5536091942</v>
      </c>
      <c r="ED20">
        <f t="shared" si="23"/>
        <v>-29.317</v>
      </c>
      <c r="EE20">
        <f>IF(BF20&lt;&gt;-999,BF20*$ED20, -999)</f>
        <v>-4034838.7696072888</v>
      </c>
      <c r="EF20">
        <f>IF(BG20&lt;&gt;-999,BG20*$ED20, -999)</f>
        <v>-999</v>
      </c>
      <c r="EG20" s="24">
        <f>IF(BH20&lt;&gt;-999,BH20*$ED20, -999)</f>
        <v>-4034838.7696072888</v>
      </c>
      <c r="EH20">
        <f t="shared" si="24"/>
        <v>-38.03</v>
      </c>
      <c r="EI20">
        <f>IF(BI20&lt;&gt;-999,BI20*$EH20, -999)</f>
        <v>-18074856.716662407</v>
      </c>
      <c r="EJ20">
        <f>IF(BJ20&lt;&gt;-999,BJ20*$EH20, -999)</f>
        <v>-999</v>
      </c>
      <c r="EK20" s="24">
        <f>IF(BK20&lt;&gt;-999,BK20*$EH20, -999)</f>
        <v>-18074856.716662407</v>
      </c>
      <c r="EL20" s="28">
        <f t="shared" si="25"/>
        <v>-65686937.221078902</v>
      </c>
      <c r="EM20" s="22">
        <f>-17.17-(0.1023*G20)+H20*(100+102.093-66.644-64.243)</f>
        <v>35.028279302936866</v>
      </c>
      <c r="EN20">
        <f>IF(AT20&lt;&gt;-999,AT20*$EM20, -999)</f>
        <v>20185810.097103961</v>
      </c>
      <c r="EO20">
        <f>IF(AU20&lt;&gt;-999,AU20*$EM20, -999)</f>
        <v>-999</v>
      </c>
      <c r="EP20" s="23">
        <f>IF(AV20&lt;&gt;-999,AV20*$EM20, -999)</f>
        <v>20185810.097103961</v>
      </c>
      <c r="EQ20">
        <f>-19.943-(0.1023*G20)+H20*(100+102.093-66.644-64.243)</f>
        <v>32.25527930293687</v>
      </c>
      <c r="ER20">
        <f>IF(AW20&lt;&gt;-999,AW20*$EQ20, -999)</f>
        <v>7346944.5640152348</v>
      </c>
      <c r="ES20">
        <f>IF(AX20&lt;&gt;-999,AX20*$EQ20, -999)</f>
        <v>-999</v>
      </c>
      <c r="ET20" s="23">
        <f>IF(AY20&lt;&gt;-999,AY20*$EQ20, -999)</f>
        <v>7346944.5640152348</v>
      </c>
      <c r="EU20">
        <f>-25.871-(0.1023*G20)+H20*(100+102.093-66.644-64.243)</f>
        <v>26.327279302936869</v>
      </c>
      <c r="EV20">
        <f>IF(AZ20&lt;&gt;-999,AZ20*$EU20, -999)</f>
        <v>20708749.631209869</v>
      </c>
      <c r="EW20">
        <f>IF(BA20&lt;&gt;-999,BA20*$EU20, -999)</f>
        <v>-999</v>
      </c>
      <c r="EX20" s="23">
        <f>IF(BB20&lt;&gt;-999,BB20*$EU20, -999)</f>
        <v>20708749.631209869</v>
      </c>
      <c r="EY20">
        <f>-25.245-(0.1023*G20)+H20*(100+102.093-66.644-64.243)</f>
        <v>26.953279302936867</v>
      </c>
      <c r="EZ20">
        <f>IF(BC20&lt;&gt;-999, BC20*$EY20, -999)</f>
        <v>9385115.361665044</v>
      </c>
      <c r="FA20">
        <f>IF(BD20&lt;&gt;-999, BD20*$EY20, -999)</f>
        <v>-999</v>
      </c>
      <c r="FB20" s="23">
        <f>IF(BE20&lt;&gt;-999, BE20*$EY20, -999)</f>
        <v>9385115.361665044</v>
      </c>
      <c r="FC20">
        <f>-29.317-(0.1023*G20)+H20*(100+102.093-66.644-64.243)</f>
        <v>22.881279302936868</v>
      </c>
      <c r="FD20">
        <f>IF(BF20&lt;&gt;-999,BF20*$FC20, -999)</f>
        <v>3149103.6882935674</v>
      </c>
      <c r="FE20">
        <f>IF(BG20&lt;&gt;-999,BG20*$FC20, -999)</f>
        <v>-999</v>
      </c>
      <c r="FF20" s="23">
        <f>IF(BH20&lt;&gt;-999,BH20*$FC20, -999)</f>
        <v>3149103.6882935674</v>
      </c>
      <c r="FG20">
        <f>-38.03-(0.1023*G20)+H20*(100+102.093-66.644-64.243)</f>
        <v>14.168279302936867</v>
      </c>
      <c r="FH20">
        <f>IF(BI20&lt;&gt;-999,BI20*$FG20, -999)</f>
        <v>6733884.2577501293</v>
      </c>
      <c r="FI20">
        <f>IF(BJ20&lt;&gt;-999,BJ20*$FG20, -999)</f>
        <v>-999</v>
      </c>
      <c r="FJ20" s="23">
        <f>IF(BK20&lt;&gt;-999,BK20*$FG20, -999)</f>
        <v>6733884.2577501293</v>
      </c>
      <c r="FK20" s="28">
        <f t="shared" si="26"/>
        <v>67509607.600037813</v>
      </c>
      <c r="FL20" s="22">
        <f t="shared" si="28"/>
        <v>10.012280000000011</v>
      </c>
      <c r="FM20">
        <f>IF(AT20&lt;&gt;-999,AT20*$FL20, -999)</f>
        <v>5769794.7698529158</v>
      </c>
      <c r="FN20">
        <f>IF(AU20&lt;&gt;-999,AU20*$FL20, -999)</f>
        <v>-999</v>
      </c>
      <c r="FO20" s="29">
        <f>IF(AV20&lt;&gt;-999,AV20*$FL20, -999)</f>
        <v>5769794.7698529158</v>
      </c>
      <c r="FP20">
        <f t="shared" si="29"/>
        <v>7.2392800000000115</v>
      </c>
      <c r="FQ20">
        <f>IF(AW20&lt;&gt;-999,AW20*$FP20, -999)</f>
        <v>1648926.6251227784</v>
      </c>
      <c r="FR20">
        <f>IF(AX20&lt;&gt;-999,AX20*$FP20, -999)</f>
        <v>-999</v>
      </c>
      <c r="FS20" s="29">
        <f>IF(AY20&lt;&gt;-999,AY20*$FP20, -999)</f>
        <v>1648926.6251227784</v>
      </c>
      <c r="FT20">
        <f t="shared" si="30"/>
        <v>1.3112800000000142</v>
      </c>
      <c r="FU20">
        <f>IF(AZ20&lt;&gt;-999,AZ20*$FT20, -999)</f>
        <v>1031438.4902424753</v>
      </c>
      <c r="FV20">
        <f>IF(BA20&lt;&gt;-999,BA20*$FT20, -999)</f>
        <v>-999</v>
      </c>
      <c r="FW20" s="29">
        <f>IF(BB20&lt;&gt;-999,BB20*$FT20, -999)</f>
        <v>1031438.4902424753</v>
      </c>
      <c r="FX20">
        <f t="shared" si="31"/>
        <v>1.9372800000000119</v>
      </c>
      <c r="FY20">
        <f>IF(BC20&lt;&gt;-999, BC20*$FX20, -999)</f>
        <v>674559.71065700636</v>
      </c>
      <c r="FZ20">
        <f>IF(BD20&lt;&gt;-999, BD20*$FX20, -999)</f>
        <v>-999</v>
      </c>
      <c r="GA20" s="29">
        <f>IF(BE20&lt;&gt;-999, BE20*$FX20, -999)</f>
        <v>674559.71065700636</v>
      </c>
      <c r="GB20">
        <f t="shared" si="32"/>
        <v>-2.1347199999999873</v>
      </c>
      <c r="GC20">
        <f>IF(BF20&lt;&gt;-999,BF20*$GB20, -999)</f>
        <v>-293797.14903489512</v>
      </c>
      <c r="GD20">
        <f>IF(BG20&lt;&gt;-999,BG20*$GB20, -999)</f>
        <v>-999</v>
      </c>
      <c r="GE20" s="29">
        <f>IF(BH20&lt;&gt;-999,BH20*$GB20, -999)</f>
        <v>-293797.14903489512</v>
      </c>
      <c r="GF20">
        <f t="shared" si="33"/>
        <v>-10.847719999999988</v>
      </c>
      <c r="GG20">
        <f>IF(BI20&lt;&gt;-999,BI20*$GF20, -999)</f>
        <v>-5155692.4717978677</v>
      </c>
      <c r="GH20">
        <f>IF(BJ20&lt;&gt;-999,BJ20*$GF20, -999)</f>
        <v>-999</v>
      </c>
      <c r="GI20" s="29">
        <f>IF(BK20&lt;&gt;-999,BK20*$GF20, -999)</f>
        <v>-5155692.4717978677</v>
      </c>
      <c r="GJ20" s="30">
        <f t="shared" si="27"/>
        <v>3675229.975042413</v>
      </c>
    </row>
    <row r="21" spans="1:192">
      <c r="A21" s="48" t="s">
        <v>146</v>
      </c>
      <c r="B21" s="48" t="s">
        <v>160</v>
      </c>
      <c r="C21" s="49">
        <v>37</v>
      </c>
      <c r="D21" s="50">
        <v>0.97899999999999998</v>
      </c>
      <c r="E21" s="49">
        <v>152.33915864515299</v>
      </c>
      <c r="F21" s="49">
        <v>0.78560240032795903</v>
      </c>
      <c r="G21" s="49">
        <v>277.15572642670497</v>
      </c>
      <c r="H21" s="49">
        <v>0.80249848675440305</v>
      </c>
      <c r="I21" s="42">
        <v>8043.3</v>
      </c>
      <c r="J21" s="43">
        <v>-999</v>
      </c>
      <c r="K21" s="43">
        <f t="shared" si="0"/>
        <v>8043.3</v>
      </c>
      <c r="L21" s="43">
        <v>3562.3</v>
      </c>
      <c r="M21" s="43">
        <v>-999</v>
      </c>
      <c r="N21" s="43">
        <f t="shared" si="1"/>
        <v>3562.3</v>
      </c>
      <c r="O21" s="43">
        <v>26248.5</v>
      </c>
      <c r="P21" s="43">
        <v>-999</v>
      </c>
      <c r="Q21" s="43">
        <f t="shared" si="2"/>
        <v>26248.5</v>
      </c>
      <c r="R21" s="43">
        <v>7609</v>
      </c>
      <c r="S21" s="43">
        <v>-999</v>
      </c>
      <c r="T21" s="43">
        <f t="shared" si="3"/>
        <v>7609</v>
      </c>
      <c r="U21" s="43">
        <v>3370</v>
      </c>
      <c r="V21" s="43">
        <v>-999</v>
      </c>
      <c r="W21" s="43">
        <f t="shared" si="4"/>
        <v>3370</v>
      </c>
      <c r="X21" s="43">
        <v>24831.3</v>
      </c>
      <c r="Y21" s="43">
        <v>-999</v>
      </c>
      <c r="Z21" s="43">
        <f t="shared" si="5"/>
        <v>24831.3</v>
      </c>
      <c r="AA21" s="22">
        <v>99149.2</v>
      </c>
      <c r="AB21">
        <v>-999</v>
      </c>
      <c r="AC21">
        <v>99149.2</v>
      </c>
      <c r="AD21">
        <v>43913</v>
      </c>
      <c r="AE21">
        <v>-999</v>
      </c>
      <c r="AF21">
        <v>43913</v>
      </c>
      <c r="AG21">
        <v>323565.5</v>
      </c>
      <c r="AH21">
        <v>-999</v>
      </c>
      <c r="AI21">
        <v>323565.5</v>
      </c>
      <c r="AJ21">
        <v>93795.6</v>
      </c>
      <c r="AK21">
        <v>-999</v>
      </c>
      <c r="AL21">
        <v>93795.6</v>
      </c>
      <c r="AM21">
        <v>41541.9</v>
      </c>
      <c r="AN21">
        <v>-999</v>
      </c>
      <c r="AO21">
        <v>41541.9</v>
      </c>
      <c r="AP21">
        <v>306094.59999999998</v>
      </c>
      <c r="AQ21">
        <v>-999</v>
      </c>
      <c r="AR21">
        <v>306094.59999999998</v>
      </c>
      <c r="AS21">
        <v>908059.84</v>
      </c>
      <c r="AT21" s="22">
        <f t="shared" si="34"/>
        <v>165052.13394866997</v>
      </c>
      <c r="AU21">
        <f t="shared" si="34"/>
        <v>-999</v>
      </c>
      <c r="AV21">
        <f t="shared" si="34"/>
        <v>165052.13394866997</v>
      </c>
      <c r="AW21">
        <f t="shared" si="34"/>
        <v>73101.289350674997</v>
      </c>
      <c r="AX21">
        <f t="shared" si="34"/>
        <v>-999</v>
      </c>
      <c r="AY21">
        <f t="shared" si="34"/>
        <v>73101.289350674997</v>
      </c>
      <c r="AZ21">
        <f t="shared" si="34"/>
        <v>538634.46449561254</v>
      </c>
      <c r="BA21">
        <f t="shared" si="34"/>
        <v>-999</v>
      </c>
      <c r="BB21">
        <f t="shared" si="34"/>
        <v>538634.46449561254</v>
      </c>
      <c r="BC21">
        <f t="shared" si="34"/>
        <v>156140.07914331002</v>
      </c>
      <c r="BD21">
        <f t="shared" si="34"/>
        <v>-999</v>
      </c>
      <c r="BE21">
        <f t="shared" si="34"/>
        <v>156140.07914331002</v>
      </c>
      <c r="BF21">
        <f t="shared" si="34"/>
        <v>69154.155992002503</v>
      </c>
      <c r="BG21">
        <f t="shared" si="34"/>
        <v>-999</v>
      </c>
      <c r="BH21">
        <f t="shared" si="34"/>
        <v>69154.155992002503</v>
      </c>
      <c r="BI21">
        <f t="shared" si="34"/>
        <v>509550.92850133491</v>
      </c>
      <c r="BJ21">
        <f t="shared" si="7"/>
        <v>-999</v>
      </c>
      <c r="BK21">
        <f t="shared" si="7"/>
        <v>509550.92850133491</v>
      </c>
      <c r="BL21">
        <f t="shared" si="7"/>
        <v>1511633.1180189839</v>
      </c>
      <c r="BM21" s="22">
        <f>-17.17-(0.1023*E21)+F21*(100-8.576-13.681)</f>
        <v>28.320791479297377</v>
      </c>
      <c r="BN21">
        <f>IF(AT21&lt;&gt;-999,AT21*$BM21, -999)</f>
        <v>4674407.0687733423</v>
      </c>
      <c r="BO21">
        <f>IF(AU21&lt;&gt;-999,AU21*$BM21, -999)</f>
        <v>-999</v>
      </c>
      <c r="BP21" s="25">
        <f>IF(AV21&lt;&gt;-999,AV21*$BM21, -999)</f>
        <v>4674407.0687733423</v>
      </c>
      <c r="BQ21">
        <f>-19.943-(0.1023*E21)+F21*(100-8.576-13.681)</f>
        <v>25.547791479297373</v>
      </c>
      <c r="BR21">
        <f>IF(AW21&lt;&gt;-999,AW21*$BQ21, -999)</f>
        <v>1867576.4971988264</v>
      </c>
      <c r="BS21">
        <f>IF(AX21&lt;&gt;-999,AX21*$BQ21, -999)</f>
        <v>-999</v>
      </c>
      <c r="BT21" s="25">
        <f>IF(AY21&lt;&gt;-999,AY21*$BQ21, -999)</f>
        <v>1867576.4971988264</v>
      </c>
      <c r="BU21">
        <f>-25.871-(0.1023*E21)+F21*(100-8.576-13.681)</f>
        <v>19.619791479297376</v>
      </c>
      <c r="BV21">
        <f>IF(AZ21&lt;&gt;-999,AZ21*$BU21, -999)</f>
        <v>10567895.876966923</v>
      </c>
      <c r="BW21">
        <f>IF(BA21&lt;&gt;-999,BA21*$BU21, -999)</f>
        <v>-999</v>
      </c>
      <c r="BX21" s="25">
        <f>IF(BB21&lt;&gt;-999,BB21*$BU21, -999)</f>
        <v>10567895.876966923</v>
      </c>
      <c r="BY21">
        <f>-25.245-(0.1023*E21)+F21*(100-8.576-13.681)</f>
        <v>20.245791479297374</v>
      </c>
      <c r="BZ21">
        <f>IF(BC21&lt;&gt;-999,BC21*$BY21, -999)</f>
        <v>3161179.4838964436</v>
      </c>
      <c r="CA21">
        <f>IF(BD21&lt;&gt;-999,BD21*$BY21, -999)</f>
        <v>-999</v>
      </c>
      <c r="CB21" s="25">
        <f>IF(BE21&lt;&gt;-999,BE21*$BY21, -999)</f>
        <v>3161179.4838964436</v>
      </c>
      <c r="CC21">
        <f>-29.317-(0.1023*E21)+F21*(100-8.576-13.681)</f>
        <v>16.173791479297371</v>
      </c>
      <c r="CD21">
        <f>IF(BF21&lt;&gt;-999,BF21*$CC21, -999)</f>
        <v>1118484.8989414512</v>
      </c>
      <c r="CE21">
        <f>IF(BG21&lt;&gt;-999,BG21*$CC21, -999)</f>
        <v>-999</v>
      </c>
      <c r="CF21" s="25">
        <f>IF(BH21&lt;&gt;-999,BH21*$CC21, -999)</f>
        <v>1118484.8989414512</v>
      </c>
      <c r="CG21">
        <f>-38.03-(0.1023*E21)+F21*(100-8.576-13.681)</f>
        <v>7.4607914792973773</v>
      </c>
      <c r="CH21">
        <f>IF(BI21&lt;&gt;-999,BI21*$CG21, -999)</f>
        <v>3801653.2256308268</v>
      </c>
      <c r="CI21">
        <f>IF(BJ21&lt;&gt;-999,BJ21*$CG21, -999)</f>
        <v>-999</v>
      </c>
      <c r="CJ21" s="25">
        <f>IF(BK21&lt;&gt;-999,BK21*$CG21, -999)</f>
        <v>3801653.2256308268</v>
      </c>
      <c r="CK21" s="26">
        <f t="shared" si="8"/>
        <v>25191197.051407814</v>
      </c>
      <c r="CL21">
        <f t="shared" si="9"/>
        <v>-28.965735640575815</v>
      </c>
      <c r="CM21">
        <f t="shared" si="10"/>
        <v>28.881592703925747</v>
      </c>
      <c r="CN21">
        <f t="shared" si="11"/>
        <v>-85.813830785595925</v>
      </c>
      <c r="CO21" s="22">
        <f t="shared" si="12"/>
        <v>-40.08</v>
      </c>
      <c r="CP21">
        <f>IF(AT21&lt;&gt;-999,AT21*$CO21, -999)</f>
        <v>-6615289.5286626918</v>
      </c>
      <c r="CQ21">
        <f>IF(AU21&lt;&gt;-999,AU21*$CO21, -999)</f>
        <v>-999</v>
      </c>
      <c r="CR21" s="27">
        <f>IF(AV21&lt;&gt;-999,AV21*$CO21, -999)</f>
        <v>-6615289.5286626918</v>
      </c>
      <c r="CS21">
        <f t="shared" si="13"/>
        <v>-42.853000000000002</v>
      </c>
      <c r="CT21">
        <f>IF(AW21&lt;&gt;-999,AW21*$CS21, -999)</f>
        <v>-3132609.5525444755</v>
      </c>
      <c r="CU21">
        <f>IF(AX21&lt;&gt;-999,AX21*$CS21, -999)</f>
        <v>-999</v>
      </c>
      <c r="CV21" s="27">
        <f>IF(AY21&lt;&gt;-999,AY21*$CS21, -999)</f>
        <v>-3132609.5525444755</v>
      </c>
      <c r="CW21">
        <f t="shared" si="14"/>
        <v>-48.780999999999999</v>
      </c>
      <c r="CX21">
        <f>IF(AZ21&lt;&gt;-999,AZ21*$CO21, -999)</f>
        <v>-21588469.33698415</v>
      </c>
      <c r="CY21">
        <f>IF(BA21&lt;&gt;-999,BA21*$CO21, -999)</f>
        <v>-999</v>
      </c>
      <c r="CZ21" s="27">
        <f>IF(BB21&lt;&gt;-999,BB21*$CO21, -999)</f>
        <v>-21588469.33698415</v>
      </c>
      <c r="DA21">
        <f t="shared" si="15"/>
        <v>-48.155000000000001</v>
      </c>
      <c r="DB21">
        <f>IF(BC21&lt;&gt;-999,BC21*$DA21, -999)</f>
        <v>-7518925.5111460947</v>
      </c>
      <c r="DC21">
        <f>IF(BD21&lt;&gt;-999,BD21*$DA21, -999)</f>
        <v>-999</v>
      </c>
      <c r="DD21" s="27">
        <f>IF(BE21&lt;&gt;-999,BE21*$DA21, -999)</f>
        <v>-7518925.5111460947</v>
      </c>
      <c r="DE21">
        <f t="shared" si="16"/>
        <v>-52.227000000000004</v>
      </c>
      <c r="DF21">
        <f>IF(BF21&lt;&gt;-999,BF21*$DE21, -999)</f>
        <v>-3611714.1049943152</v>
      </c>
      <c r="DG21">
        <f>IF(BG21&lt;&gt;-999,BG21*$DE21, -999)</f>
        <v>-999</v>
      </c>
      <c r="DH21" s="27">
        <f>IF(BH21&lt;&gt;-999,BH21*$DE21, -999)</f>
        <v>-3611714.1049943152</v>
      </c>
      <c r="DI21">
        <f t="shared" si="17"/>
        <v>-60.94</v>
      </c>
      <c r="DJ21">
        <f>IF(BI21&lt;&gt;-999,BI21*$DI21, -999)</f>
        <v>-31052033.582871348</v>
      </c>
      <c r="DK21">
        <f>IF(BJ21&lt;&gt;-999,BJ21*$DI21, -999)</f>
        <v>-999</v>
      </c>
      <c r="DL21" s="27">
        <f>IF(BK21&lt;&gt;-999,BK21*$DI21, -999)</f>
        <v>-31052033.582871348</v>
      </c>
      <c r="DM21" s="28">
        <f t="shared" si="18"/>
        <v>-73519041.617203072</v>
      </c>
      <c r="DN21" s="22">
        <f t="shared" si="19"/>
        <v>-17.170000000000002</v>
      </c>
      <c r="DO21">
        <f>IF(AT21&lt;&gt;-999,AT21*$DN21, -999)</f>
        <v>-2833945.1398986639</v>
      </c>
      <c r="DP21">
        <f>IF(AU21&lt;&gt;-999,AU21*$DN21, -999)</f>
        <v>-999</v>
      </c>
      <c r="DQ21" s="24">
        <f>IF(AV21&lt;&gt;-999,AV21*$DN21, -999)</f>
        <v>-2833945.1398986639</v>
      </c>
      <c r="DR21">
        <f t="shared" si="20"/>
        <v>-19.943000000000001</v>
      </c>
      <c r="DS21">
        <f>IF(AW21&lt;&gt;-999,AW21*$DR21, -999)</f>
        <v>-1457859.0135205116</v>
      </c>
      <c r="DT21">
        <f>IF(AX21&lt;&gt;-999,AX21*$DR21, -999)</f>
        <v>-999</v>
      </c>
      <c r="DU21" s="24">
        <f>IF(AY21&lt;&gt;-999,AY21*$DR21, -999)</f>
        <v>-1457859.0135205116</v>
      </c>
      <c r="DV21">
        <f t="shared" si="21"/>
        <v>-25.870999999999999</v>
      </c>
      <c r="DW21">
        <f>IF(AZ21&lt;&gt;-999,AZ21*$DV21, -999)</f>
        <v>-13935012.230965991</v>
      </c>
      <c r="DX21">
        <f>IF(BA21&lt;&gt;-999,BA21*$DV21, -999)</f>
        <v>-999</v>
      </c>
      <c r="DY21" s="24">
        <f>IF(BB21&lt;&gt;-999,BB21*$DV21, -999)</f>
        <v>-13935012.230965991</v>
      </c>
      <c r="DZ21">
        <f t="shared" si="22"/>
        <v>-25.245000000000001</v>
      </c>
      <c r="EA21">
        <f>IF(BC21&lt;&gt;-999, BC21*$DZ21, -999)</f>
        <v>-3941756.2979728617</v>
      </c>
      <c r="EB21">
        <f>IF(BD21&lt;&gt;-999, BD21*$DZ21, -999)</f>
        <v>-999</v>
      </c>
      <c r="EC21" s="24">
        <f>IF(BE21&lt;&gt;-999, BE21*$DZ21, -999)</f>
        <v>-3941756.2979728617</v>
      </c>
      <c r="ED21">
        <f t="shared" si="23"/>
        <v>-29.317</v>
      </c>
      <c r="EE21">
        <f>IF(BF21&lt;&gt;-999,BF21*$ED21, -999)</f>
        <v>-2027392.3912175375</v>
      </c>
      <c r="EF21">
        <f>IF(BG21&lt;&gt;-999,BG21*$ED21, -999)</f>
        <v>-999</v>
      </c>
      <c r="EG21" s="24">
        <f>IF(BH21&lt;&gt;-999,BH21*$ED21, -999)</f>
        <v>-2027392.3912175375</v>
      </c>
      <c r="EH21">
        <f t="shared" si="24"/>
        <v>-38.03</v>
      </c>
      <c r="EI21">
        <f>IF(BI21&lt;&gt;-999,BI21*$EH21, -999)</f>
        <v>-19378221.810905766</v>
      </c>
      <c r="EJ21">
        <f>IF(BJ21&lt;&gt;-999,BJ21*$EH21, -999)</f>
        <v>-999</v>
      </c>
      <c r="EK21" s="24">
        <f>IF(BK21&lt;&gt;-999,BK21*$EH21, -999)</f>
        <v>-19378221.810905766</v>
      </c>
      <c r="EL21" s="28">
        <f t="shared" si="25"/>
        <v>-43574186.884481326</v>
      </c>
      <c r="EM21" s="22">
        <f>-17.17-(0.1023*G21)+H21*(100+102.093-66.644-64.243)</f>
        <v>11.619676434382114</v>
      </c>
      <c r="EN21">
        <f>IF(AT21&lt;&gt;-999,AT21*$EM21, -999)</f>
        <v>1917852.3912878407</v>
      </c>
      <c r="EO21">
        <f>IF(AU21&lt;&gt;-999,AU21*$EM21, -999)</f>
        <v>-999</v>
      </c>
      <c r="EP21" s="23">
        <f>IF(AV21&lt;&gt;-999,AV21*$EM21, -999)</f>
        <v>1917852.3912878407</v>
      </c>
      <c r="EQ21">
        <f>-19.943-(0.1023*G21)+H21*(100+102.093-66.644-64.243)</f>
        <v>8.8466764343821183</v>
      </c>
      <c r="ER21">
        <f>IF(AW21&lt;&gt;-999,AW21*$EQ21, -999)</f>
        <v>646703.45382156502</v>
      </c>
      <c r="ES21">
        <f>IF(AX21&lt;&gt;-999,AX21*$EQ21, -999)</f>
        <v>-999</v>
      </c>
      <c r="ET21" s="23">
        <f>IF(AY21&lt;&gt;-999,AY21*$EQ21, -999)</f>
        <v>646703.45382156502</v>
      </c>
      <c r="EU21">
        <f>-25.871-(0.1023*G21)+H21*(100+102.093-66.644-64.243)</f>
        <v>2.918676434382121</v>
      </c>
      <c r="EV21">
        <f>IF(AZ21&lt;&gt;-999,AZ21*$EU21, -999)</f>
        <v>1572099.7182693775</v>
      </c>
      <c r="EW21">
        <f>IF(BA21&lt;&gt;-999,BA21*$EU21, -999)</f>
        <v>-999</v>
      </c>
      <c r="EX21" s="23">
        <f>IF(BB21&lt;&gt;-999,BB21*$EU21, -999)</f>
        <v>1572099.7182693775</v>
      </c>
      <c r="EY21">
        <f>-25.245-(0.1023*G21)+H21*(100+102.093-66.644-64.243)</f>
        <v>3.5446764343821187</v>
      </c>
      <c r="EZ21">
        <f>IF(BC21&lt;&gt;-999, BC21*$EY21, -999)</f>
        <v>553466.05900184996</v>
      </c>
      <c r="FA21">
        <f>IF(BD21&lt;&gt;-999, BD21*$EY21, -999)</f>
        <v>-999</v>
      </c>
      <c r="FB21" s="23">
        <f>IF(BE21&lt;&gt;-999, BE21*$EY21, -999)</f>
        <v>553466.05900184996</v>
      </c>
      <c r="FC21">
        <f>-29.317-(0.1023*G21)+H21*(100+102.093-66.644-64.243)</f>
        <v>-0.52732356561787697</v>
      </c>
      <c r="FD21">
        <f>IF(BF21&lt;&gt;-999,BF21*$FC21, -999)</f>
        <v>-36466.616114997632</v>
      </c>
      <c r="FE21">
        <f>IF(BG21&lt;&gt;-999,BG21*$FC21, -999)</f>
        <v>-999</v>
      </c>
      <c r="FF21" s="23">
        <f>IF(BH21&lt;&gt;-999,BH21*$FC21, -999)</f>
        <v>-36466.616114997632</v>
      </c>
      <c r="FG21">
        <f>-38.03-(0.1023*G21)+H21*(100+102.093-66.644-64.243)</f>
        <v>-9.240323565617885</v>
      </c>
      <c r="FH21">
        <f>IF(BI21&lt;&gt;-999,BI21*$FG21, -999)</f>
        <v>-4708415.4525133595</v>
      </c>
      <c r="FI21">
        <f>IF(BJ21&lt;&gt;-999,BJ21*$FG21, -999)</f>
        <v>-999</v>
      </c>
      <c r="FJ21" s="23">
        <f>IF(BK21&lt;&gt;-999,BK21*$FG21, -999)</f>
        <v>-4708415.4525133595</v>
      </c>
      <c r="FK21" s="28">
        <f t="shared" si="26"/>
        <v>-54760.446247723885</v>
      </c>
      <c r="FL21" s="22">
        <f t="shared" si="28"/>
        <v>10.012280000000011</v>
      </c>
      <c r="FM21">
        <f>IF(AT21&lt;&gt;-999,AT21*$FL21, -999)</f>
        <v>1652548.1796915913</v>
      </c>
      <c r="FN21">
        <f>IF(AU21&lt;&gt;-999,AU21*$FL21, -999)</f>
        <v>-999</v>
      </c>
      <c r="FO21" s="29">
        <f>IF(AV21&lt;&gt;-999,AV21*$FL21, -999)</f>
        <v>1652548.1796915913</v>
      </c>
      <c r="FP21">
        <f t="shared" si="29"/>
        <v>7.2392800000000115</v>
      </c>
      <c r="FQ21">
        <f>IF(AW21&lt;&gt;-999,AW21*$FP21, -999)</f>
        <v>529200.70197055535</v>
      </c>
      <c r="FR21">
        <f>IF(AX21&lt;&gt;-999,AX21*$FP21, -999)</f>
        <v>-999</v>
      </c>
      <c r="FS21" s="29">
        <f>IF(AY21&lt;&gt;-999,AY21*$FP21, -999)</f>
        <v>529200.70197055535</v>
      </c>
      <c r="FT21">
        <f t="shared" si="30"/>
        <v>1.3112800000000142</v>
      </c>
      <c r="FU21">
        <f>IF(AZ21&lt;&gt;-999,AZ21*$FT21, -999)</f>
        <v>706300.60060381447</v>
      </c>
      <c r="FV21">
        <f>IF(BA21&lt;&gt;-999,BA21*$FT21, -999)</f>
        <v>-999</v>
      </c>
      <c r="FW21" s="29">
        <f>IF(BB21&lt;&gt;-999,BB21*$FT21, -999)</f>
        <v>706300.60060381447</v>
      </c>
      <c r="FX21">
        <f t="shared" si="31"/>
        <v>1.9372800000000119</v>
      </c>
      <c r="FY21">
        <f>IF(BC21&lt;&gt;-999, BC21*$FX21, -999)</f>
        <v>302487.05252275348</v>
      </c>
      <c r="FZ21">
        <f>IF(BD21&lt;&gt;-999, BD21*$FX21, -999)</f>
        <v>-999</v>
      </c>
      <c r="GA21" s="29">
        <f>IF(BE21&lt;&gt;-999, BE21*$FX21, -999)</f>
        <v>302487.05252275348</v>
      </c>
      <c r="GB21">
        <f t="shared" si="32"/>
        <v>-2.1347199999999873</v>
      </c>
      <c r="GC21">
        <f>IF(BF21&lt;&gt;-999,BF21*$GB21, -999)</f>
        <v>-147624.7598792467</v>
      </c>
      <c r="GD21">
        <f>IF(BG21&lt;&gt;-999,BG21*$GB21, -999)</f>
        <v>-999</v>
      </c>
      <c r="GE21" s="29">
        <f>IF(BH21&lt;&gt;-999,BH21*$GB21, -999)</f>
        <v>-147624.7598792467</v>
      </c>
      <c r="GF21">
        <f t="shared" si="33"/>
        <v>-10.847719999999988</v>
      </c>
      <c r="GG21">
        <f>IF(BI21&lt;&gt;-999,BI21*$GF21, -999)</f>
        <v>-5527465.7981224945</v>
      </c>
      <c r="GH21">
        <f>IF(BJ21&lt;&gt;-999,BJ21*$GF21, -999)</f>
        <v>-999</v>
      </c>
      <c r="GI21" s="29">
        <f>IF(BK21&lt;&gt;-999,BK21*$GF21, -999)</f>
        <v>-5527465.7981224945</v>
      </c>
      <c r="GJ21" s="30">
        <f t="shared" si="27"/>
        <v>-2484554.0232130266</v>
      </c>
    </row>
    <row r="22" spans="1:192">
      <c r="A22" s="48" t="s">
        <v>161</v>
      </c>
      <c r="B22" s="48" t="s">
        <v>162</v>
      </c>
      <c r="C22" s="49">
        <v>55</v>
      </c>
      <c r="D22" s="50">
        <v>0.97799999999999998</v>
      </c>
      <c r="E22" s="49">
        <v>129.452871312024</v>
      </c>
      <c r="F22" s="49">
        <v>0.79271193117327599</v>
      </c>
      <c r="G22" s="49">
        <v>99.149325473754104</v>
      </c>
      <c r="H22" s="49">
        <v>0.81641659995881199</v>
      </c>
      <c r="I22" s="42">
        <v>2849.8</v>
      </c>
      <c r="J22" s="43">
        <v>-999</v>
      </c>
      <c r="K22" s="43">
        <f t="shared" si="0"/>
        <v>2849.8</v>
      </c>
      <c r="L22" s="43">
        <v>618.1</v>
      </c>
      <c r="M22" s="43">
        <v>-999</v>
      </c>
      <c r="N22" s="43">
        <f t="shared" si="1"/>
        <v>618.1</v>
      </c>
      <c r="O22" s="43">
        <v>3931.8</v>
      </c>
      <c r="P22" s="43">
        <v>-999</v>
      </c>
      <c r="Q22" s="43">
        <f t="shared" si="2"/>
        <v>3931.8</v>
      </c>
      <c r="R22" s="43">
        <v>6526.6</v>
      </c>
      <c r="S22" s="43">
        <v>-999</v>
      </c>
      <c r="T22" s="43">
        <f t="shared" si="3"/>
        <v>6526.6</v>
      </c>
      <c r="U22" s="43">
        <v>1415.5</v>
      </c>
      <c r="V22" s="43">
        <v>-999</v>
      </c>
      <c r="W22" s="43">
        <f t="shared" si="4"/>
        <v>1415.5</v>
      </c>
      <c r="X22" s="43">
        <v>9004.5</v>
      </c>
      <c r="Y22" s="43">
        <v>-999</v>
      </c>
      <c r="Z22" s="43">
        <f t="shared" si="5"/>
        <v>9004.5</v>
      </c>
      <c r="AA22" s="22">
        <v>30360.1</v>
      </c>
      <c r="AB22">
        <v>-999</v>
      </c>
      <c r="AC22">
        <v>30360.1</v>
      </c>
      <c r="AD22">
        <v>6584.6</v>
      </c>
      <c r="AE22">
        <v>-999</v>
      </c>
      <c r="AF22">
        <v>6584.6</v>
      </c>
      <c r="AG22">
        <v>41886.9</v>
      </c>
      <c r="AH22">
        <v>-999</v>
      </c>
      <c r="AI22">
        <v>41886.9</v>
      </c>
      <c r="AJ22">
        <v>69529.8</v>
      </c>
      <c r="AK22">
        <v>-999</v>
      </c>
      <c r="AL22">
        <v>69529.8</v>
      </c>
      <c r="AM22">
        <v>15079.8</v>
      </c>
      <c r="AN22">
        <v>-999</v>
      </c>
      <c r="AO22">
        <v>15079.8</v>
      </c>
      <c r="AP22">
        <v>95928.1</v>
      </c>
      <c r="AQ22">
        <v>-999</v>
      </c>
      <c r="AR22">
        <v>95928.1</v>
      </c>
      <c r="AS22">
        <v>259369.28</v>
      </c>
      <c r="AT22" s="22">
        <f t="shared" si="34"/>
        <v>50539.987129447502</v>
      </c>
      <c r="AU22">
        <f t="shared" si="34"/>
        <v>-999</v>
      </c>
      <c r="AV22">
        <f t="shared" si="34"/>
        <v>50539.987129447502</v>
      </c>
      <c r="AW22">
        <f t="shared" si="34"/>
        <v>10961.281394085001</v>
      </c>
      <c r="AX22">
        <f t="shared" si="34"/>
        <v>-999</v>
      </c>
      <c r="AY22">
        <f t="shared" si="34"/>
        <v>10961.281394085001</v>
      </c>
      <c r="AZ22">
        <f t="shared" si="34"/>
        <v>69728.472135877499</v>
      </c>
      <c r="BA22">
        <f t="shared" si="34"/>
        <v>-999</v>
      </c>
      <c r="BB22">
        <f t="shared" si="34"/>
        <v>69728.472135877499</v>
      </c>
      <c r="BC22">
        <f t="shared" si="34"/>
        <v>115745.17860985501</v>
      </c>
      <c r="BD22">
        <f t="shared" si="34"/>
        <v>-999</v>
      </c>
      <c r="BE22">
        <f t="shared" si="34"/>
        <v>115745.17860985501</v>
      </c>
      <c r="BF22">
        <f t="shared" si="34"/>
        <v>25103.108946105</v>
      </c>
      <c r="BG22">
        <f t="shared" si="34"/>
        <v>-999</v>
      </c>
      <c r="BH22">
        <f t="shared" si="34"/>
        <v>25103.108946105</v>
      </c>
      <c r="BI22">
        <f t="shared" si="34"/>
        <v>159690.01878624753</v>
      </c>
      <c r="BJ22">
        <f t="shared" si="7"/>
        <v>-999</v>
      </c>
      <c r="BK22">
        <f t="shared" si="7"/>
        <v>159690.01878624753</v>
      </c>
      <c r="BL22">
        <f t="shared" si="7"/>
        <v>431768.01370792801</v>
      </c>
      <c r="BM22" s="22">
        <f>-17.17-(0.1023*E22)+F22*(100-8.576-13.681)</f>
        <v>31.214774929983946</v>
      </c>
      <c r="BN22">
        <f>IF(AT22&lt;&gt;-999,AT22*$BM22, -999)</f>
        <v>1577594.3232099891</v>
      </c>
      <c r="BO22">
        <f>IF(AU22&lt;&gt;-999,AU22*$BM22, -999)</f>
        <v>-999</v>
      </c>
      <c r="BP22" s="25">
        <f>IF(AV22&lt;&gt;-999,AV22*$BM22, -999)</f>
        <v>1577594.3232099891</v>
      </c>
      <c r="BQ22">
        <f>-19.943-(0.1023*E22)+F22*(100-8.576-13.681)</f>
        <v>28.44177492998395</v>
      </c>
      <c r="BR22">
        <f>IF(AW22&lt;&gt;-999,AW22*$BQ22, -999)</f>
        <v>311758.2983547863</v>
      </c>
      <c r="BS22">
        <f>IF(AX22&lt;&gt;-999,AX22*$BQ22, -999)</f>
        <v>-999</v>
      </c>
      <c r="BT22" s="25">
        <f>IF(AY22&lt;&gt;-999,AY22*$BQ22, -999)</f>
        <v>311758.2983547863</v>
      </c>
      <c r="BU22">
        <f>-25.871-(0.1023*E22)+F22*(100-8.576-13.681)</f>
        <v>22.513774929983953</v>
      </c>
      <c r="BV22">
        <f>IF(AZ22&lt;&gt;-999,AZ22*$BU22, -999)</f>
        <v>1569851.1278788035</v>
      </c>
      <c r="BW22">
        <f>IF(BA22&lt;&gt;-999,BA22*$BU22, -999)</f>
        <v>-999</v>
      </c>
      <c r="BX22" s="25">
        <f>IF(BB22&lt;&gt;-999,BB22*$BU22, -999)</f>
        <v>1569851.1278788035</v>
      </c>
      <c r="BY22">
        <f>-25.245-(0.1023*E22)+F22*(100-8.576-13.681)</f>
        <v>23.13977492998395</v>
      </c>
      <c r="BZ22">
        <f>IF(BC22&lt;&gt;-999,BC22*$BY22, -999)</f>
        <v>2678317.3822628376</v>
      </c>
      <c r="CA22">
        <f>IF(BD22&lt;&gt;-999,BD22*$BY22, -999)</f>
        <v>-999</v>
      </c>
      <c r="CB22" s="25">
        <f>IF(BE22&lt;&gt;-999,BE22*$BY22, -999)</f>
        <v>2678317.3822628376</v>
      </c>
      <c r="CC22">
        <f>-29.317-(0.1023*E22)+F22*(100-8.576-13.681)</f>
        <v>19.067774929983948</v>
      </c>
      <c r="CD22">
        <f>IF(BF22&lt;&gt;-999,BF22*$CC22, -999)</f>
        <v>478660.43142719666</v>
      </c>
      <c r="CE22">
        <f>IF(BG22&lt;&gt;-999,BG22*$CC22, -999)</f>
        <v>-999</v>
      </c>
      <c r="CF22" s="25">
        <f>IF(BH22&lt;&gt;-999,BH22*$CC22, -999)</f>
        <v>478660.43142719666</v>
      </c>
      <c r="CG22">
        <f>-38.03-(0.1023*E22)+F22*(100-8.576-13.681)</f>
        <v>10.354774929983947</v>
      </c>
      <c r="CH22">
        <f>IF(BI22&lt;&gt;-999,BI22*$CG22, -999)</f>
        <v>1653554.2030965013</v>
      </c>
      <c r="CI22">
        <f>IF(BJ22&lt;&gt;-999,BJ22*$CG22, -999)</f>
        <v>-999</v>
      </c>
      <c r="CJ22" s="25">
        <f>IF(BK22&lt;&gt;-999,BK22*$CG22, -999)</f>
        <v>1653554.2030965013</v>
      </c>
      <c r="CK22" s="26">
        <f t="shared" si="8"/>
        <v>8269735.7662301147</v>
      </c>
      <c r="CL22">
        <f t="shared" si="9"/>
        <v>-31.459829014740933</v>
      </c>
      <c r="CM22">
        <f t="shared" si="10"/>
        <v>25.868688713934894</v>
      </c>
      <c r="CN22">
        <f t="shared" si="11"/>
        <v>-87.798075285236294</v>
      </c>
      <c r="CO22" s="22">
        <f t="shared" si="12"/>
        <v>-40.08</v>
      </c>
      <c r="CP22">
        <f>IF(AT22&lt;&gt;-999,AT22*$CO22, -999)</f>
        <v>-2025642.6841482557</v>
      </c>
      <c r="CQ22">
        <f>IF(AU22&lt;&gt;-999,AU22*$CO22, -999)</f>
        <v>-999</v>
      </c>
      <c r="CR22" s="27">
        <f>IF(AV22&lt;&gt;-999,AV22*$CO22, -999)</f>
        <v>-2025642.6841482557</v>
      </c>
      <c r="CS22">
        <f t="shared" si="13"/>
        <v>-42.853000000000002</v>
      </c>
      <c r="CT22">
        <f>IF(AW22&lt;&gt;-999,AW22*$CS22, -999)</f>
        <v>-469723.79158072459</v>
      </c>
      <c r="CU22">
        <f>IF(AX22&lt;&gt;-999,AX22*$CS22, -999)</f>
        <v>-999</v>
      </c>
      <c r="CV22" s="27">
        <f>IF(AY22&lt;&gt;-999,AY22*$CS22, -999)</f>
        <v>-469723.79158072459</v>
      </c>
      <c r="CW22">
        <f t="shared" si="14"/>
        <v>-48.780999999999999</v>
      </c>
      <c r="CX22">
        <f>IF(AZ22&lt;&gt;-999,AZ22*$CO22, -999)</f>
        <v>-2794717.1632059701</v>
      </c>
      <c r="CY22">
        <f>IF(BA22&lt;&gt;-999,BA22*$CO22, -999)</f>
        <v>-999</v>
      </c>
      <c r="CZ22" s="27">
        <f>IF(BB22&lt;&gt;-999,BB22*$CO22, -999)</f>
        <v>-2794717.1632059701</v>
      </c>
      <c r="DA22">
        <f t="shared" si="15"/>
        <v>-48.155000000000001</v>
      </c>
      <c r="DB22">
        <f>IF(BC22&lt;&gt;-999,BC22*$DA22, -999)</f>
        <v>-5573709.0759575684</v>
      </c>
      <c r="DC22">
        <f>IF(BD22&lt;&gt;-999,BD22*$DA22, -999)</f>
        <v>-999</v>
      </c>
      <c r="DD22" s="27">
        <f>IF(BE22&lt;&gt;-999,BE22*$DA22, -999)</f>
        <v>-5573709.0759575684</v>
      </c>
      <c r="DE22">
        <f t="shared" si="16"/>
        <v>-52.227000000000004</v>
      </c>
      <c r="DF22">
        <f>IF(BF22&lt;&gt;-999,BF22*$DE22, -999)</f>
        <v>-1311060.070928226</v>
      </c>
      <c r="DG22">
        <f>IF(BG22&lt;&gt;-999,BG22*$DE22, -999)</f>
        <v>-999</v>
      </c>
      <c r="DH22" s="27">
        <f>IF(BH22&lt;&gt;-999,BH22*$DE22, -999)</f>
        <v>-1311060.070928226</v>
      </c>
      <c r="DI22">
        <f t="shared" si="17"/>
        <v>-60.94</v>
      </c>
      <c r="DJ22">
        <f>IF(BI22&lt;&gt;-999,BI22*$DI22, -999)</f>
        <v>-9731509.7448339239</v>
      </c>
      <c r="DK22">
        <f>IF(BJ22&lt;&gt;-999,BJ22*$DI22, -999)</f>
        <v>-999</v>
      </c>
      <c r="DL22" s="27">
        <f>IF(BK22&lt;&gt;-999,BK22*$DI22, -999)</f>
        <v>-9731509.7448339239</v>
      </c>
      <c r="DM22" s="28">
        <f t="shared" si="18"/>
        <v>-21906362.530654669</v>
      </c>
      <c r="DN22" s="22">
        <f t="shared" si="19"/>
        <v>-17.170000000000002</v>
      </c>
      <c r="DO22">
        <f>IF(AT22&lt;&gt;-999,AT22*$DN22, -999)</f>
        <v>-867771.57901261374</v>
      </c>
      <c r="DP22">
        <f>IF(AU22&lt;&gt;-999,AU22*$DN22, -999)</f>
        <v>-999</v>
      </c>
      <c r="DQ22" s="24">
        <f>IF(AV22&lt;&gt;-999,AV22*$DN22, -999)</f>
        <v>-867771.57901261374</v>
      </c>
      <c r="DR22">
        <f t="shared" si="20"/>
        <v>-19.943000000000001</v>
      </c>
      <c r="DS22">
        <f>IF(AW22&lt;&gt;-999,AW22*$DR22, -999)</f>
        <v>-218600.83484223718</v>
      </c>
      <c r="DT22">
        <f>IF(AX22&lt;&gt;-999,AX22*$DR22, -999)</f>
        <v>-999</v>
      </c>
      <c r="DU22" s="24">
        <f>IF(AY22&lt;&gt;-999,AY22*$DR22, -999)</f>
        <v>-218600.83484223718</v>
      </c>
      <c r="DV22">
        <f t="shared" si="21"/>
        <v>-25.870999999999999</v>
      </c>
      <c r="DW22">
        <f>IF(AZ22&lt;&gt;-999,AZ22*$DV22, -999)</f>
        <v>-1803945.3026272866</v>
      </c>
      <c r="DX22">
        <f>IF(BA22&lt;&gt;-999,BA22*$DV22, -999)</f>
        <v>-999</v>
      </c>
      <c r="DY22" s="24">
        <f>IF(BB22&lt;&gt;-999,BB22*$DV22, -999)</f>
        <v>-1803945.3026272866</v>
      </c>
      <c r="DZ22">
        <f t="shared" si="22"/>
        <v>-25.245000000000001</v>
      </c>
      <c r="EA22">
        <f>IF(BC22&lt;&gt;-999, BC22*$DZ22, -999)</f>
        <v>-2921987.0340057896</v>
      </c>
      <c r="EB22">
        <f>IF(BD22&lt;&gt;-999, BD22*$DZ22, -999)</f>
        <v>-999</v>
      </c>
      <c r="EC22" s="24">
        <f>IF(BE22&lt;&gt;-999, BE22*$DZ22, -999)</f>
        <v>-2921987.0340057896</v>
      </c>
      <c r="ED22">
        <f t="shared" si="23"/>
        <v>-29.317</v>
      </c>
      <c r="EE22">
        <f>IF(BF22&lt;&gt;-999,BF22*$ED22, -999)</f>
        <v>-735947.8449729603</v>
      </c>
      <c r="EF22">
        <f>IF(BG22&lt;&gt;-999,BG22*$ED22, -999)</f>
        <v>-999</v>
      </c>
      <c r="EG22" s="24">
        <f>IF(BH22&lt;&gt;-999,BH22*$ED22, -999)</f>
        <v>-735947.8449729603</v>
      </c>
      <c r="EH22">
        <f t="shared" si="24"/>
        <v>-38.03</v>
      </c>
      <c r="EI22">
        <f>IF(BI22&lt;&gt;-999,BI22*$EH22, -999)</f>
        <v>-6073011.4144409942</v>
      </c>
      <c r="EJ22">
        <f>IF(BJ22&lt;&gt;-999,BJ22*$EH22, -999)</f>
        <v>-999</v>
      </c>
      <c r="EK22" s="24">
        <f>IF(BK22&lt;&gt;-999,BK22*$EH22, -999)</f>
        <v>-6073011.4144409942</v>
      </c>
      <c r="EL22" s="28">
        <f t="shared" si="25"/>
        <v>-12621264.009901881</v>
      </c>
      <c r="EM22" s="22">
        <f>-17.17-(0.1023*G22)+H22*(100+102.093-66.644-64.243)</f>
        <v>30.820784420702132</v>
      </c>
      <c r="EN22">
        <f>IF(AT22&lt;&gt;-999,AT22*$EM22, -999)</f>
        <v>1557682.0479417618</v>
      </c>
      <c r="EO22">
        <f>IF(AU22&lt;&gt;-999,AU22*$EM22, -999)</f>
        <v>-999</v>
      </c>
      <c r="EP22" s="23">
        <f>IF(AV22&lt;&gt;-999,AV22*$EM22, -999)</f>
        <v>1557682.0479417618</v>
      </c>
      <c r="EQ22">
        <f>-19.943-(0.1023*G22)+H22*(100+102.093-66.644-64.243)</f>
        <v>28.047784420702133</v>
      </c>
      <c r="ER22">
        <f>IF(AW22&lt;&gt;-999,AW22*$EQ22, -999)</f>
        <v>307439.65751594945</v>
      </c>
      <c r="ES22">
        <f>IF(AX22&lt;&gt;-999,AX22*$EQ22, -999)</f>
        <v>-999</v>
      </c>
      <c r="ET22" s="23">
        <f>IF(AY22&lt;&gt;-999,AY22*$EQ22, -999)</f>
        <v>307439.65751594945</v>
      </c>
      <c r="EU22">
        <f>-25.871-(0.1023*G22)+H22*(100+102.093-66.644-64.243)</f>
        <v>22.119784420702139</v>
      </c>
      <c r="EV22">
        <f>IF(AZ22&lt;&gt;-999,AZ22*$EU22, -999)</f>
        <v>1542378.7716305463</v>
      </c>
      <c r="EW22">
        <f>IF(BA22&lt;&gt;-999,BA22*$EU22, -999)</f>
        <v>-999</v>
      </c>
      <c r="EX22" s="23">
        <f>IF(BB22&lt;&gt;-999,BB22*$EU22, -999)</f>
        <v>1542378.7716305463</v>
      </c>
      <c r="EY22">
        <f>-25.245-(0.1023*G22)+H22*(100+102.093-66.644-64.243)</f>
        <v>22.74578442070213</v>
      </c>
      <c r="EZ22">
        <f>IF(BC22&lt;&gt;-999, BC22*$EY22, -999)</f>
        <v>2632714.8803954255</v>
      </c>
      <c r="FA22">
        <f>IF(BD22&lt;&gt;-999, BD22*$EY22, -999)</f>
        <v>-999</v>
      </c>
      <c r="FB22" s="23">
        <f>IF(BE22&lt;&gt;-999, BE22*$EY22, -999)</f>
        <v>2632714.8803954255</v>
      </c>
      <c r="FC22">
        <f>-29.317-(0.1023*G22)+H22*(100+102.093-66.644-64.243)</f>
        <v>18.673784420702134</v>
      </c>
      <c r="FD22">
        <f>IF(BF22&lt;&gt;-999,BF22*$FC22, -999)</f>
        <v>468770.0447489639</v>
      </c>
      <c r="FE22">
        <f>IF(BG22&lt;&gt;-999,BG22*$FC22, -999)</f>
        <v>-999</v>
      </c>
      <c r="FF22" s="23">
        <f>IF(BH22&lt;&gt;-999,BH22*$FC22, -999)</f>
        <v>468770.0447489639</v>
      </c>
      <c r="FG22">
        <f>-38.03-(0.1023*G22)+H22*(100+102.093-66.644-64.243)</f>
        <v>9.960784420702133</v>
      </c>
      <c r="FH22">
        <f>IF(BI22&lt;&gt;-999,BI22*$FG22, -999)</f>
        <v>1590637.8512676854</v>
      </c>
      <c r="FI22">
        <f>IF(BJ22&lt;&gt;-999,BJ22*$FG22, -999)</f>
        <v>-999</v>
      </c>
      <c r="FJ22" s="23">
        <f>IF(BK22&lt;&gt;-999,BK22*$FG22, -999)</f>
        <v>1590637.8512676854</v>
      </c>
      <c r="FK22" s="28">
        <f t="shared" si="26"/>
        <v>8099623.2535003321</v>
      </c>
      <c r="FL22" s="22">
        <f t="shared" si="28"/>
        <v>10.012280000000011</v>
      </c>
      <c r="FM22">
        <f>IF(AT22&lt;&gt;-999,AT22*$FL22, -999)</f>
        <v>506020.50233642518</v>
      </c>
      <c r="FN22">
        <f>IF(AU22&lt;&gt;-999,AU22*$FL22, -999)</f>
        <v>-999</v>
      </c>
      <c r="FO22" s="29">
        <f>IF(AV22&lt;&gt;-999,AV22*$FL22, -999)</f>
        <v>506020.50233642518</v>
      </c>
      <c r="FP22">
        <f t="shared" si="29"/>
        <v>7.2392800000000115</v>
      </c>
      <c r="FQ22">
        <f>IF(AW22&lt;&gt;-999,AW22*$FP22, -999)</f>
        <v>79351.785170571791</v>
      </c>
      <c r="FR22">
        <f>IF(AX22&lt;&gt;-999,AX22*$FP22, -999)</f>
        <v>-999</v>
      </c>
      <c r="FS22" s="29">
        <f>IF(AY22&lt;&gt;-999,AY22*$FP22, -999)</f>
        <v>79351.785170571791</v>
      </c>
      <c r="FT22">
        <f t="shared" si="30"/>
        <v>1.3112800000000142</v>
      </c>
      <c r="FU22">
        <f>IF(AZ22&lt;&gt;-999,AZ22*$FT22, -999)</f>
        <v>91433.550942334434</v>
      </c>
      <c r="FV22">
        <f>IF(BA22&lt;&gt;-999,BA22*$FT22, -999)</f>
        <v>-999</v>
      </c>
      <c r="FW22" s="29">
        <f>IF(BB22&lt;&gt;-999,BB22*$FT22, -999)</f>
        <v>91433.550942334434</v>
      </c>
      <c r="FX22">
        <f t="shared" si="31"/>
        <v>1.9372800000000119</v>
      </c>
      <c r="FY22">
        <f>IF(BC22&lt;&gt;-999, BC22*$FX22, -999)</f>
        <v>224230.81961730128</v>
      </c>
      <c r="FZ22">
        <f>IF(BD22&lt;&gt;-999, BD22*$FX22, -999)</f>
        <v>-999</v>
      </c>
      <c r="GA22" s="29">
        <f>IF(BE22&lt;&gt;-999, BE22*$FX22, -999)</f>
        <v>224230.81961730128</v>
      </c>
      <c r="GB22">
        <f t="shared" si="32"/>
        <v>-2.1347199999999873</v>
      </c>
      <c r="GC22">
        <f>IF(BF22&lt;&gt;-999,BF22*$GB22, -999)</f>
        <v>-53588.108729428946</v>
      </c>
      <c r="GD22">
        <f>IF(BG22&lt;&gt;-999,BG22*$GB22, -999)</f>
        <v>-999</v>
      </c>
      <c r="GE22" s="29">
        <f>IF(BH22&lt;&gt;-999,BH22*$GB22, -999)</f>
        <v>-53588.108729428946</v>
      </c>
      <c r="GF22">
        <f t="shared" si="33"/>
        <v>-10.847719999999988</v>
      </c>
      <c r="GG22">
        <f>IF(BI22&lt;&gt;-999,BI22*$GF22, -999)</f>
        <v>-1732272.6105879513</v>
      </c>
      <c r="GH22">
        <f>IF(BJ22&lt;&gt;-999,BJ22*$GF22, -999)</f>
        <v>-999</v>
      </c>
      <c r="GI22" s="29">
        <f>IF(BK22&lt;&gt;-999,BK22*$GF22, -999)</f>
        <v>-1732272.6105879513</v>
      </c>
      <c r="GJ22" s="30">
        <f t="shared" si="27"/>
        <v>-884824.06125074753</v>
      </c>
    </row>
    <row r="23" spans="1:192">
      <c r="A23" s="48" t="s">
        <v>138</v>
      </c>
      <c r="B23" s="48" t="s">
        <v>163</v>
      </c>
      <c r="C23" s="49">
        <v>127</v>
      </c>
      <c r="D23" s="50">
        <v>0.97799999999999998</v>
      </c>
      <c r="E23" s="49">
        <v>118.263319577589</v>
      </c>
      <c r="F23" s="49">
        <v>0.78274439920932104</v>
      </c>
      <c r="G23" s="49">
        <v>53.308737391140603</v>
      </c>
      <c r="H23" s="49">
        <v>0.81964307257555602</v>
      </c>
      <c r="I23" s="42">
        <v>42596.2</v>
      </c>
      <c r="J23" s="43">
        <v>24951.599999999999</v>
      </c>
      <c r="K23" s="43">
        <f t="shared" si="0"/>
        <v>67547.799999999988</v>
      </c>
      <c r="L23" s="43">
        <v>58714.7</v>
      </c>
      <c r="M23" s="43">
        <v>34393.300000000003</v>
      </c>
      <c r="N23" s="43">
        <f t="shared" si="1"/>
        <v>93108</v>
      </c>
      <c r="O23" s="43">
        <v>109287.2</v>
      </c>
      <c r="P23" s="43">
        <v>64017.1</v>
      </c>
      <c r="Q23" s="43">
        <f t="shared" si="2"/>
        <v>173304.3</v>
      </c>
      <c r="R23" s="43">
        <v>53804.2</v>
      </c>
      <c r="S23" s="43">
        <v>31516.9</v>
      </c>
      <c r="T23" s="43">
        <f t="shared" si="3"/>
        <v>85321.1</v>
      </c>
      <c r="U23" s="43">
        <v>74163.8</v>
      </c>
      <c r="V23" s="43">
        <v>43442.9</v>
      </c>
      <c r="W23" s="43">
        <f t="shared" si="4"/>
        <v>117606.70000000001</v>
      </c>
      <c r="X23" s="43">
        <v>138043</v>
      </c>
      <c r="Y23" s="43">
        <v>80861.399999999994</v>
      </c>
      <c r="Z23" s="43">
        <f t="shared" si="5"/>
        <v>218904.4</v>
      </c>
      <c r="AA23" s="22">
        <v>762102.2</v>
      </c>
      <c r="AB23">
        <v>222365.7</v>
      </c>
      <c r="AC23">
        <v>984468</v>
      </c>
      <c r="AD23">
        <v>1050483.3</v>
      </c>
      <c r="AE23">
        <v>306509.40000000002</v>
      </c>
      <c r="AF23">
        <v>1356992.7</v>
      </c>
      <c r="AG23">
        <v>1955291.5</v>
      </c>
      <c r="AH23">
        <v>570513.80000000005</v>
      </c>
      <c r="AI23">
        <v>2525805.2999999998</v>
      </c>
      <c r="AJ23">
        <v>962627.9</v>
      </c>
      <c r="AK23">
        <v>280875</v>
      </c>
      <c r="AL23">
        <v>1243502.8999999999</v>
      </c>
      <c r="AM23">
        <v>1326888.3</v>
      </c>
      <c r="AN23">
        <v>387158.7</v>
      </c>
      <c r="AO23">
        <v>1714047</v>
      </c>
      <c r="AP23">
        <v>2469771.2000000002</v>
      </c>
      <c r="AQ23">
        <v>720628.4</v>
      </c>
      <c r="AR23">
        <v>3190399.6</v>
      </c>
      <c r="AS23">
        <v>11015215.5</v>
      </c>
      <c r="AT23" s="22">
        <f t="shared" si="34"/>
        <v>1268659.7007033448</v>
      </c>
      <c r="AU23">
        <f t="shared" si="34"/>
        <v>370168.72856250755</v>
      </c>
      <c r="AV23">
        <f t="shared" si="34"/>
        <v>1638828.5957343001</v>
      </c>
      <c r="AW23">
        <f t="shared" si="34"/>
        <v>1748723.2407567676</v>
      </c>
      <c r="AX23">
        <f t="shared" si="34"/>
        <v>510241.43962156505</v>
      </c>
      <c r="AY23">
        <f t="shared" si="34"/>
        <v>2258964.6803783323</v>
      </c>
      <c r="AZ23">
        <f t="shared" si="34"/>
        <v>3254943.4041494625</v>
      </c>
      <c r="BA23">
        <f t="shared" si="34"/>
        <v>949725.46563325508</v>
      </c>
      <c r="BB23">
        <f t="shared" si="34"/>
        <v>4204668.869782717</v>
      </c>
      <c r="BC23">
        <f t="shared" si="34"/>
        <v>1602471.7203318526</v>
      </c>
      <c r="BD23">
        <f t="shared" si="34"/>
        <v>467568.25191562501</v>
      </c>
      <c r="BE23">
        <f t="shared" si="34"/>
        <v>2070039.9722474772</v>
      </c>
      <c r="BF23">
        <f t="shared" si="34"/>
        <v>2208850.3530691424</v>
      </c>
      <c r="BG23">
        <f t="shared" si="34"/>
        <v>644497.07725118252</v>
      </c>
      <c r="BH23">
        <f t="shared" si="34"/>
        <v>2853347.4303203253</v>
      </c>
      <c r="BI23">
        <f t="shared" si="34"/>
        <v>4111389.7734421208</v>
      </c>
      <c r="BJ23">
        <f t="shared" si="7"/>
        <v>1199618.90972409</v>
      </c>
      <c r="BK23">
        <f t="shared" si="7"/>
        <v>5311008.6831662096</v>
      </c>
      <c r="BL23">
        <f t="shared" si="7"/>
        <v>18336858.23162936</v>
      </c>
      <c r="BM23" s="22">
        <f>-17.17-(0.1023*E23)+F23*(100-8.576-13.681)</f>
        <v>31.584560234942895</v>
      </c>
      <c r="BN23">
        <f>IF(AT23&lt;&gt;-999,AT23*$BM23, -999)</f>
        <v>40070058.734509416</v>
      </c>
      <c r="BO23">
        <f>IF(AU23&lt;&gt;-999,AU23*$BM23, -999)</f>
        <v>11691616.504374746</v>
      </c>
      <c r="BP23" s="25">
        <f>IF(AV23&lt;&gt;-999,AV23*$BM23, -999)</f>
        <v>51761680.496716879</v>
      </c>
      <c r="BQ23">
        <f>-19.943-(0.1023*E23)+F23*(100-8.576-13.681)</f>
        <v>28.811560234942895</v>
      </c>
      <c r="BR23">
        <f>IF(AW23&lt;&gt;-999,AW23*$BQ23, -999)</f>
        <v>50383444.985308155</v>
      </c>
      <c r="BS23">
        <f>IF(AX23&lt;&gt;-999,AX23*$BQ23, -999)</f>
        <v>14700851.972020701</v>
      </c>
      <c r="BT23" s="25">
        <f>IF(AY23&lt;&gt;-999,AY23*$BQ23, -999)</f>
        <v>65084296.957328849</v>
      </c>
      <c r="BU23">
        <f>-25.871-(0.1023*E23)+F23*(100-8.576-13.681)</f>
        <v>22.883560234942898</v>
      </c>
      <c r="BV23">
        <f>IF(AZ23&lt;&gt;-999,AZ23*$BU23, -999)</f>
        <v>74484693.450184315</v>
      </c>
      <c r="BW23">
        <f>IF(BA23&lt;&gt;-999,BA23*$BU23, -999)</f>
        <v>21733099.899477784</v>
      </c>
      <c r="BX23" s="25">
        <f>IF(BB23&lt;&gt;-999,BB23*$BU23, -999)</f>
        <v>96217793.34966208</v>
      </c>
      <c r="BY23">
        <f>-25.245-(0.1023*E23)+F23*(100-8.576-13.681)</f>
        <v>23.509560234942896</v>
      </c>
      <c r="BZ23">
        <f>IF(BC23&lt;&gt;-999,BC23*$BY23, -999)</f>
        <v>37673405.433934256</v>
      </c>
      <c r="CA23">
        <f>IF(BD23&lt;&gt;-999,BD23*$BY23, -999)</f>
        <v>10992323.98235734</v>
      </c>
      <c r="CB23" s="25">
        <f>IF(BE23&lt;&gt;-999,BE23*$BY23, -999)</f>
        <v>48665729.416291587</v>
      </c>
      <c r="CC23">
        <f>-29.317-(0.1023*E23)+F23*(100-8.576-13.681)</f>
        <v>19.4375602349429</v>
      </c>
      <c r="CD23">
        <f>IF(BF23&lt;&gt;-999,BF23*$CC23, -999)</f>
        <v>42934661.787756346</v>
      </c>
      <c r="CE23">
        <f>IF(BG23&lt;&gt;-999,BG23*$CC23, -999)</f>
        <v>12527450.760314507</v>
      </c>
      <c r="CF23" s="25">
        <f>IF(BH23&lt;&gt;-999,BH23*$CC23, -999)</f>
        <v>55462112.548070863</v>
      </c>
      <c r="CG23">
        <f>-38.03-(0.1023*E23)+F23*(100-8.576-13.681)</f>
        <v>10.724560234942892</v>
      </c>
      <c r="CH23">
        <f>IF(BI23&lt;&gt;-999,BI23*$CG23, -999)</f>
        <v>44092847.274608232</v>
      </c>
      <c r="CI23">
        <f>IF(BJ23&lt;&gt;-999,BJ23*$CG23, -999)</f>
        <v>12865385.256312523</v>
      </c>
      <c r="CJ23" s="25">
        <f>IF(BK23&lt;&gt;-999,BK23*$CG23, -999)</f>
        <v>56958232.530920744</v>
      </c>
      <c r="CK23" s="26">
        <f t="shared" si="8"/>
        <v>374149845.29899102</v>
      </c>
      <c r="CL23">
        <f t="shared" si="9"/>
        <v>-33.606270885595038</v>
      </c>
      <c r="CM23">
        <f t="shared" si="10"/>
        <v>24.452272932675228</v>
      </c>
      <c r="CN23">
        <f t="shared" si="11"/>
        <v>-90.661933046975818</v>
      </c>
      <c r="CO23" s="22">
        <f t="shared" si="12"/>
        <v>-40.08</v>
      </c>
      <c r="CP23">
        <f>IF(AT23&lt;&gt;-999,AT23*$CO23, -999)</f>
        <v>-50847880.804190055</v>
      </c>
      <c r="CQ23">
        <f>IF(AU23&lt;&gt;-999,AU23*$CO23, -999)</f>
        <v>-14836362.640785301</v>
      </c>
      <c r="CR23" s="27">
        <f>IF(AV23&lt;&gt;-999,AV23*$CO23, -999)</f>
        <v>-65684250.117030747</v>
      </c>
      <c r="CS23">
        <f t="shared" si="13"/>
        <v>-42.853000000000002</v>
      </c>
      <c r="CT23">
        <f>IF(AW23&lt;&gt;-999,AW23*$CS23, -999)</f>
        <v>-74938037.03614977</v>
      </c>
      <c r="CU23">
        <f>IF(AX23&lt;&gt;-999,AX23*$CS23, -999)</f>
        <v>-21865376.412102927</v>
      </c>
      <c r="CV23" s="27">
        <f>IF(AY23&lt;&gt;-999,AY23*$CS23, -999)</f>
        <v>-96803413.448252678</v>
      </c>
      <c r="CW23">
        <f t="shared" si="14"/>
        <v>-48.780999999999999</v>
      </c>
      <c r="CX23">
        <f>IF(AZ23&lt;&gt;-999,AZ23*$CO23, -999)</f>
        <v>-130458131.63831045</v>
      </c>
      <c r="CY23">
        <f>IF(BA23&lt;&gt;-999,BA23*$CO23, -999)</f>
        <v>-38064996.662580863</v>
      </c>
      <c r="CZ23" s="27">
        <f>IF(BB23&lt;&gt;-999,BB23*$CO23, -999)</f>
        <v>-168523128.30089128</v>
      </c>
      <c r="DA23">
        <f t="shared" si="15"/>
        <v>-48.155000000000001</v>
      </c>
      <c r="DB23">
        <f>IF(BC23&lt;&gt;-999,BC23*$DA23, -999)</f>
        <v>-77167025.692580357</v>
      </c>
      <c r="DC23">
        <f>IF(BD23&lt;&gt;-999,BD23*$DA23, -999)</f>
        <v>-22515749.170996923</v>
      </c>
      <c r="DD23" s="27">
        <f>IF(BE23&lt;&gt;-999,BE23*$DA23, -999)</f>
        <v>-99682774.863577262</v>
      </c>
      <c r="DE23">
        <f t="shared" si="16"/>
        <v>-52.227000000000004</v>
      </c>
      <c r="DF23">
        <f>IF(BF23&lt;&gt;-999,BF23*$DE23, -999)</f>
        <v>-115361627.38974211</v>
      </c>
      <c r="DG23">
        <f>IF(BG23&lt;&gt;-999,BG23*$DE23, -999)</f>
        <v>-33660148.853597514</v>
      </c>
      <c r="DH23" s="27">
        <f>IF(BH23&lt;&gt;-999,BH23*$DE23, -999)</f>
        <v>-149021776.24333963</v>
      </c>
      <c r="DI23">
        <f t="shared" si="17"/>
        <v>-60.94</v>
      </c>
      <c r="DJ23">
        <f>IF(BI23&lt;&gt;-999,BI23*$DI23, -999)</f>
        <v>-250548092.79356283</v>
      </c>
      <c r="DK23">
        <f>IF(BJ23&lt;&gt;-999,BJ23*$DI23, -999)</f>
        <v>-73104776.358586043</v>
      </c>
      <c r="DL23" s="27">
        <f>IF(BK23&lt;&gt;-999,BK23*$DI23, -999)</f>
        <v>-323652869.15214878</v>
      </c>
      <c r="DM23" s="28">
        <f t="shared" si="18"/>
        <v>-903368212.12524033</v>
      </c>
      <c r="DN23" s="22">
        <f t="shared" si="19"/>
        <v>-17.170000000000002</v>
      </c>
      <c r="DO23">
        <f>IF(AT23&lt;&gt;-999,AT23*$DN23, -999)</f>
        <v>-21782887.061076432</v>
      </c>
      <c r="DP23">
        <f>IF(AU23&lt;&gt;-999,AU23*$DN23, -999)</f>
        <v>-6355797.0694182552</v>
      </c>
      <c r="DQ23" s="24">
        <f>IF(AV23&lt;&gt;-999,AV23*$DN23, -999)</f>
        <v>-28138686.988757934</v>
      </c>
      <c r="DR23">
        <f t="shared" si="20"/>
        <v>-19.943000000000001</v>
      </c>
      <c r="DS23">
        <f>IF(AW23&lt;&gt;-999,AW23*$DR23, -999)</f>
        <v>-34874787.590412214</v>
      </c>
      <c r="DT23">
        <f>IF(AX23&lt;&gt;-999,AX23*$DR23, -999)</f>
        <v>-10175745.030372873</v>
      </c>
      <c r="DU23" s="24">
        <f>IF(AY23&lt;&gt;-999,AY23*$DR23, -999)</f>
        <v>-45050532.62078508</v>
      </c>
      <c r="DV23">
        <f t="shared" si="21"/>
        <v>-25.870999999999999</v>
      </c>
      <c r="DW23">
        <f>IF(AZ23&lt;&gt;-999,AZ23*$DV23, -999)</f>
        <v>-84208640.808750734</v>
      </c>
      <c r="DX23">
        <f>IF(BA23&lt;&gt;-999,BA23*$DV23, -999)</f>
        <v>-24570347.521397941</v>
      </c>
      <c r="DY23" s="24">
        <f>IF(BB23&lt;&gt;-999,BB23*$DV23, -999)</f>
        <v>-108778988.33014867</v>
      </c>
      <c r="DZ23">
        <f t="shared" si="22"/>
        <v>-25.245000000000001</v>
      </c>
      <c r="EA23">
        <f>IF(BC23&lt;&gt;-999, BC23*$DZ23, -999)</f>
        <v>-40454398.579777621</v>
      </c>
      <c r="EB23">
        <f>IF(BD23&lt;&gt;-999, BD23*$DZ23, -999)</f>
        <v>-11803760.519609954</v>
      </c>
      <c r="EC23" s="24">
        <f>IF(BE23&lt;&gt;-999, BE23*$DZ23, -999)</f>
        <v>-52258159.099387564</v>
      </c>
      <c r="ED23">
        <f t="shared" si="23"/>
        <v>-29.317</v>
      </c>
      <c r="EE23">
        <f>IF(BF23&lt;&gt;-999,BF23*$ED23, -999)</f>
        <v>-64756865.800928049</v>
      </c>
      <c r="EF23">
        <f>IF(BG23&lt;&gt;-999,BG23*$ED23, -999)</f>
        <v>-18894720.813772917</v>
      </c>
      <c r="EG23" s="24">
        <f>IF(BH23&lt;&gt;-999,BH23*$ED23, -999)</f>
        <v>-83651586.614700973</v>
      </c>
      <c r="EH23">
        <f t="shared" si="24"/>
        <v>-38.03</v>
      </c>
      <c r="EI23">
        <f>IF(BI23&lt;&gt;-999,BI23*$EH23, -999)</f>
        <v>-156356153.08400387</v>
      </c>
      <c r="EJ23">
        <f>IF(BJ23&lt;&gt;-999,BJ23*$EH23, -999)</f>
        <v>-45621507.136807144</v>
      </c>
      <c r="EK23" s="24">
        <f>IF(BK23&lt;&gt;-999,BK23*$EH23, -999)</f>
        <v>-201977660.22081095</v>
      </c>
      <c r="EL23" s="28">
        <f t="shared" si="25"/>
        <v>-519855613.87459117</v>
      </c>
      <c r="EM23" s="22">
        <f>-17.17-(0.1023*G23)+H23*(100+102.093-66.644-64.243)</f>
        <v>35.740020790701365</v>
      </c>
      <c r="EN23">
        <f>IF(AT23&lt;&gt;-999,AT23*$EM23, -999)</f>
        <v>45341924.079462513</v>
      </c>
      <c r="EO23">
        <f>IF(AU23&lt;&gt;-999,AU23*$EM23, -999)</f>
        <v>13229838.05489151</v>
      </c>
      <c r="EP23" s="23">
        <f>IF(AV23&lt;&gt;-999,AV23*$EM23, -999)</f>
        <v>58571768.083939806</v>
      </c>
      <c r="EQ23">
        <f>-19.943-(0.1023*G23)+H23*(100+102.093-66.644-64.243)</f>
        <v>32.967020790701369</v>
      </c>
      <c r="ER23">
        <f>IF(AW23&lt;&gt;-999,AW23*$EQ23, -999)</f>
        <v>57650195.435211033</v>
      </c>
      <c r="ES23">
        <f>IF(AX23&lt;&gt;-999,AX23*$EQ23, -999)</f>
        <v>16821140.148281533</v>
      </c>
      <c r="ET23" s="23">
        <f>IF(AY23&lt;&gt;-999,AY23*$EQ23, -999)</f>
        <v>74471335.583492547</v>
      </c>
      <c r="EU23">
        <f>-25.871-(0.1023*G23)+H23*(100+102.093-66.644-64.243)</f>
        <v>27.039020790701372</v>
      </c>
      <c r="EV23">
        <f>IF(AZ23&lt;&gt;-999,AZ23*$EU23, -999)</f>
        <v>88010482.377353609</v>
      </c>
      <c r="EW23">
        <f>IF(BA23&lt;&gt;-999,BA23*$EU23, -999)</f>
        <v>25679646.610716127</v>
      </c>
      <c r="EX23" s="23">
        <f>IF(BB23&lt;&gt;-999,BB23*$EU23, -999)</f>
        <v>113690128.98806973</v>
      </c>
      <c r="EY23">
        <f>-25.245-(0.1023*G23)+H23*(100+102.093-66.644-64.243)</f>
        <v>27.665020790701369</v>
      </c>
      <c r="EZ23">
        <f>IF(BC23&lt;&gt;-999, BC23*$EY23, -999)</f>
        <v>44332413.459491692</v>
      </c>
      <c r="FA23">
        <f>IF(BD23&lt;&gt;-999, BD23*$EY23, -999)</f>
        <v>12935285.410317661</v>
      </c>
      <c r="FB23" s="23">
        <f>IF(BE23&lt;&gt;-999, BE23*$EY23, -999)</f>
        <v>57267698.869809344</v>
      </c>
      <c r="FC23">
        <f>-29.317-(0.1023*G23)+H23*(100+102.093-66.644-64.243)</f>
        <v>23.593020790701374</v>
      </c>
      <c r="FD23">
        <f>IF(BF23&lt;&gt;-999,BF23*$FC23, -999)</f>
        <v>52113452.303508349</v>
      </c>
      <c r="FE23">
        <f>IF(BG23&lt;&gt;-999,BG23*$FC23, -999)</f>
        <v>15205632.943133419</v>
      </c>
      <c r="FF23" s="23">
        <f>IF(BH23&lt;&gt;-999,BH23*$FC23, -999)</f>
        <v>67319085.24664177</v>
      </c>
      <c r="FG23">
        <f>-38.03-(0.1023*G23)+H23*(100+102.093-66.644-64.243)</f>
        <v>14.880020790701366</v>
      </c>
      <c r="FH23">
        <f>IF(BI23&lt;&gt;-999,BI23*$FG23, -999)</f>
        <v>61177565.307495736</v>
      </c>
      <c r="FI23">
        <f>IF(BJ23&lt;&gt;-999,BJ23*$FG23, -999)</f>
        <v>17850354.317612965</v>
      </c>
      <c r="FJ23" s="23">
        <f>IF(BK23&lt;&gt;-999,BK23*$FG23, -999)</f>
        <v>79027919.625108674</v>
      </c>
      <c r="FK23" s="28">
        <f t="shared" si="26"/>
        <v>450347936.39706182</v>
      </c>
      <c r="FL23" s="22">
        <f t="shared" si="28"/>
        <v>10.012280000000011</v>
      </c>
      <c r="FM23">
        <f>IF(AT23&lt;&gt;-999,AT23*$FL23, -999)</f>
        <v>12702176.1481581</v>
      </c>
      <c r="FN23">
        <f>IF(AU23&lt;&gt;-999,AU23*$FL23, -999)</f>
        <v>3706232.9576118272</v>
      </c>
      <c r="FO23" s="29">
        <f>IF(AV23&lt;&gt;-999,AV23*$FL23, -999)</f>
        <v>16408410.772498636</v>
      </c>
      <c r="FP23">
        <f t="shared" si="29"/>
        <v>7.2392800000000115</v>
      </c>
      <c r="FQ23">
        <f>IF(AW23&lt;&gt;-999,AW23*$FP23, -999)</f>
        <v>12659497.182345672</v>
      </c>
      <c r="FR23">
        <f>IF(AX23&lt;&gt;-999,AX23*$FP23, -999)</f>
        <v>3693780.6490236092</v>
      </c>
      <c r="FS23" s="29">
        <f>IF(AY23&lt;&gt;-999,AY23*$FP23, -999)</f>
        <v>16353277.831369279</v>
      </c>
      <c r="FT23">
        <f t="shared" si="30"/>
        <v>1.3112800000000142</v>
      </c>
      <c r="FU23">
        <f>IF(AZ23&lt;&gt;-999,AZ23*$FT23, -999)</f>
        <v>4268142.1869931538</v>
      </c>
      <c r="FV23">
        <f>IF(BA23&lt;&gt;-999,BA23*$FT23, -999)</f>
        <v>1245356.0085755882</v>
      </c>
      <c r="FW23" s="29">
        <f>IF(BB23&lt;&gt;-999,BB23*$FT23, -999)</f>
        <v>5513498.1955687413</v>
      </c>
      <c r="FX23">
        <f t="shared" si="31"/>
        <v>1.9372800000000119</v>
      </c>
      <c r="FY23">
        <f>IF(BC23&lt;&gt;-999, BC23*$FX23, -999)</f>
        <v>3104436.4143645102</v>
      </c>
      <c r="FZ23">
        <f>IF(BD23&lt;&gt;-999, BD23*$FX23, -999)</f>
        <v>905810.62307110755</v>
      </c>
      <c r="GA23" s="29">
        <f>IF(BE23&lt;&gt;-999, BE23*$FX23, -999)</f>
        <v>4010247.0374356173</v>
      </c>
      <c r="GB23">
        <f t="shared" si="32"/>
        <v>-2.1347199999999873</v>
      </c>
      <c r="GC23">
        <f>IF(BF23&lt;&gt;-999,BF23*$GB23, -999)</f>
        <v>-4715277.0257037319</v>
      </c>
      <c r="GD23">
        <f>IF(BG23&lt;&gt;-999,BG23*$GB23, -999)</f>
        <v>-1375820.8007496363</v>
      </c>
      <c r="GE23" s="29">
        <f>IF(BH23&lt;&gt;-999,BH23*$GB23, -999)</f>
        <v>-6091097.8264533682</v>
      </c>
      <c r="GF23">
        <f t="shared" si="33"/>
        <v>-10.847719999999988</v>
      </c>
      <c r="GG23">
        <f>IF(BI23&lt;&gt;-999,BI23*$GF23, -999)</f>
        <v>-44599205.073163517</v>
      </c>
      <c r="GH23">
        <f>IF(BJ23&lt;&gt;-999,BJ23*$GF23, -999)</f>
        <v>-13013130.039392192</v>
      </c>
      <c r="GI23" s="29">
        <f>IF(BK23&lt;&gt;-999,BK23*$GF23, -999)</f>
        <v>-57612335.11255569</v>
      </c>
      <c r="GJ23" s="30">
        <f t="shared" si="27"/>
        <v>-21417999.102136776</v>
      </c>
    </row>
    <row r="24" spans="1:192">
      <c r="A24" s="48" t="s">
        <v>153</v>
      </c>
      <c r="B24" s="48" t="s">
        <v>164</v>
      </c>
      <c r="C24" s="49">
        <v>111</v>
      </c>
      <c r="D24" s="50">
        <v>0.97699999999999998</v>
      </c>
      <c r="E24" s="49">
        <v>143.12862552990899</v>
      </c>
      <c r="F24" s="49">
        <v>0.78544217408066097</v>
      </c>
      <c r="G24" s="49">
        <v>127.456622818044</v>
      </c>
      <c r="H24" s="49">
        <v>0.81462616378712105</v>
      </c>
      <c r="I24" s="42">
        <v>7793.5</v>
      </c>
      <c r="J24" s="43">
        <v>60424.5</v>
      </c>
      <c r="K24" s="43">
        <f t="shared" si="0"/>
        <v>68218</v>
      </c>
      <c r="L24" s="43">
        <v>385</v>
      </c>
      <c r="M24" s="43">
        <v>2984.9</v>
      </c>
      <c r="N24" s="43">
        <f t="shared" si="1"/>
        <v>3369.9</v>
      </c>
      <c r="O24" s="43">
        <v>1106.3</v>
      </c>
      <c r="P24" s="43">
        <v>8577.5</v>
      </c>
      <c r="Q24" s="43">
        <f t="shared" si="2"/>
        <v>9683.7999999999993</v>
      </c>
      <c r="R24" s="43">
        <v>3574.6</v>
      </c>
      <c r="S24" s="43">
        <v>27714.400000000001</v>
      </c>
      <c r="T24" s="43">
        <f t="shared" si="3"/>
        <v>31289</v>
      </c>
      <c r="U24" s="43">
        <v>176.6</v>
      </c>
      <c r="V24" s="43">
        <v>1369.1</v>
      </c>
      <c r="W24" s="43">
        <f t="shared" si="4"/>
        <v>1545.6999999999998</v>
      </c>
      <c r="X24" s="43">
        <v>507.4</v>
      </c>
      <c r="Y24" s="43">
        <v>3934.2</v>
      </c>
      <c r="Z24" s="43">
        <f t="shared" si="5"/>
        <v>4441.5999999999995</v>
      </c>
      <c r="AA24" s="22">
        <v>49808.6</v>
      </c>
      <c r="AB24">
        <v>489126.7</v>
      </c>
      <c r="AC24">
        <v>538935.30000000005</v>
      </c>
      <c r="AD24">
        <v>2460.5</v>
      </c>
      <c r="AE24">
        <v>24162.3</v>
      </c>
      <c r="AF24">
        <v>26622.799999999999</v>
      </c>
      <c r="AG24">
        <v>7070.6</v>
      </c>
      <c r="AH24">
        <v>69433.899999999994</v>
      </c>
      <c r="AI24">
        <v>76504.5</v>
      </c>
      <c r="AJ24">
        <v>22845.3</v>
      </c>
      <c r="AK24">
        <v>224343.9</v>
      </c>
      <c r="AL24">
        <v>247189.2</v>
      </c>
      <c r="AM24">
        <v>1128.5</v>
      </c>
      <c r="AN24">
        <v>11082.3</v>
      </c>
      <c r="AO24">
        <v>12210.9</v>
      </c>
      <c r="AP24">
        <v>3243</v>
      </c>
      <c r="AQ24">
        <v>31846.7</v>
      </c>
      <c r="AR24">
        <v>35089.699999999997</v>
      </c>
      <c r="AS24">
        <v>936552.4</v>
      </c>
      <c r="AT24" s="22">
        <f t="shared" si="34"/>
        <v>82915.603141485</v>
      </c>
      <c r="AU24">
        <f t="shared" si="34"/>
        <v>814241.62379798258</v>
      </c>
      <c r="AV24">
        <f t="shared" si="34"/>
        <v>897157.2269394676</v>
      </c>
      <c r="AW24">
        <f t="shared" si="34"/>
        <v>4095.9561507375001</v>
      </c>
      <c r="AX24">
        <f t="shared" si="34"/>
        <v>40222.605690292497</v>
      </c>
      <c r="AY24">
        <f t="shared" si="34"/>
        <v>44318.561841029994</v>
      </c>
      <c r="AZ24">
        <f t="shared" si="34"/>
        <v>11770.318048935002</v>
      </c>
      <c r="BA24">
        <f t="shared" si="34"/>
        <v>115585.53536870249</v>
      </c>
      <c r="BB24">
        <f t="shared" si="34"/>
        <v>127355.85341763751</v>
      </c>
      <c r="BC24">
        <f t="shared" si="34"/>
        <v>38030.216236717497</v>
      </c>
      <c r="BD24">
        <f t="shared" si="34"/>
        <v>373461.80739095254</v>
      </c>
      <c r="BE24">
        <f t="shared" si="34"/>
        <v>411492.02362767002</v>
      </c>
      <c r="BF24">
        <f t="shared" si="34"/>
        <v>1878.5964300375001</v>
      </c>
      <c r="BG24">
        <f t="shared" si="34"/>
        <v>18448.532757292498</v>
      </c>
      <c r="BH24">
        <f t="shared" si="34"/>
        <v>20327.2956557775</v>
      </c>
      <c r="BI24">
        <f t="shared" si="34"/>
        <v>5398.5717524249994</v>
      </c>
      <c r="BJ24">
        <f t="shared" si="7"/>
        <v>53014.707069982498</v>
      </c>
      <c r="BK24">
        <f t="shared" si="7"/>
        <v>58413.278822407498</v>
      </c>
      <c r="BL24">
        <f t="shared" si="7"/>
        <v>1559064.2403039902</v>
      </c>
      <c r="BM24" s="22">
        <f>-17.17-(0.1023*E24)+F24*(100-8.576-13.681)</f>
        <v>29.250572547843142</v>
      </c>
      <c r="BN24">
        <f>IF(AT24&lt;&gt;-999,AT24*$BM24, -999)</f>
        <v>2425328.8650381779</v>
      </c>
      <c r="BO24">
        <f>IF(AU24&lt;&gt;-999,AU24*$BM24, -999)</f>
        <v>23817033.688376494</v>
      </c>
      <c r="BP24" s="25">
        <f>IF(AV24&lt;&gt;-999,AV24*$BM24, -999)</f>
        <v>26242362.553414669</v>
      </c>
      <c r="BQ24">
        <f>-19.943-(0.1023*E24)+F24*(100-8.576-13.681)</f>
        <v>26.477572547843138</v>
      </c>
      <c r="BR24">
        <f>IF(AW24&lt;&gt;-999,AW24*$BQ24, -999)</f>
        <v>108450.97613393648</v>
      </c>
      <c r="BS24">
        <f>IF(AX24&lt;&gt;-999,AX24*$BQ24, -999)</f>
        <v>1064996.9602280078</v>
      </c>
      <c r="BT24" s="25">
        <f>IF(AY24&lt;&gt;-999,AY24*$BQ24, -999)</f>
        <v>1173447.9363619443</v>
      </c>
      <c r="BU24">
        <f>-25.871-(0.1023*E24)+F24*(100-8.576-13.681)</f>
        <v>20.549572547843141</v>
      </c>
      <c r="BV24">
        <f>IF(AZ24&lt;&gt;-999,AZ24*$BU24, -999)</f>
        <v>241875.00465777735</v>
      </c>
      <c r="BW24">
        <f>IF(BA24&lt;&gt;-999,BA24*$BU24, -999)</f>
        <v>2375233.3445404409</v>
      </c>
      <c r="BX24" s="25">
        <f>IF(BB24&lt;&gt;-999,BB24*$BU24, -999)</f>
        <v>2617108.3491982189</v>
      </c>
      <c r="BY24">
        <f>-25.245-(0.1023*E24)+F24*(100-8.576-13.681)</f>
        <v>21.175572547843146</v>
      </c>
      <c r="BZ24">
        <f>IF(BC24&lt;&gt;-999,BC24*$BY24, -999)</f>
        <v>805311.60293077375</v>
      </c>
      <c r="CA24">
        <f>IF(BD24&lt;&gt;-999,BD24*$BY24, -999)</f>
        <v>7908267.5962557392</v>
      </c>
      <c r="CB24" s="25">
        <f>IF(BE24&lt;&gt;-999,BE24*$BY24, -999)</f>
        <v>8713579.1991865132</v>
      </c>
      <c r="CC24">
        <f>-29.317-(0.1023*E24)+F24*(100-8.576-13.681)</f>
        <v>17.103572547843143</v>
      </c>
      <c r="CD24">
        <f>IF(BF24&lt;&gt;-999,BF24*$CC24, -999)</f>
        <v>32130.710329265519</v>
      </c>
      <c r="CE24">
        <f>IF(BG24&lt;&gt;-999,BG24*$CC24, -999)</f>
        <v>315535.81841561291</v>
      </c>
      <c r="CF24" s="25">
        <f>IF(BH24&lt;&gt;-999,BH24*$CC24, -999)</f>
        <v>347669.37595004722</v>
      </c>
      <c r="CG24">
        <f>-38.03-(0.1023*E24)+F24*(100-8.576-13.681)</f>
        <v>8.3905725478431421</v>
      </c>
      <c r="CH24">
        <f>IF(BI24&lt;&gt;-999,BI24*$CG24, -999)</f>
        <v>45297.107943458643</v>
      </c>
      <c r="CI24">
        <f>IF(BJ24&lt;&gt;-999,BJ24*$CG24, -999)</f>
        <v>444823.74577334087</v>
      </c>
      <c r="CJ24" s="25">
        <f>IF(BK24&lt;&gt;-999,BK24*$CG24, -999)</f>
        <v>490120.85371679952</v>
      </c>
      <c r="CK24" s="26">
        <f t="shared" si="8"/>
        <v>39584288.267828189</v>
      </c>
      <c r="CL24">
        <f t="shared" si="9"/>
        <v>-30.175811691699451</v>
      </c>
      <c r="CM24">
        <f t="shared" si="10"/>
        <v>27.683317216411652</v>
      </c>
      <c r="CN24">
        <f t="shared" si="11"/>
        <v>-87.035503561789497</v>
      </c>
      <c r="CO24" s="22">
        <f t="shared" si="12"/>
        <v>-40.08</v>
      </c>
      <c r="CP24">
        <f>IF(AT24&lt;&gt;-999,AT24*$CO24, -999)</f>
        <v>-3323257.3739107186</v>
      </c>
      <c r="CQ24">
        <f>IF(AU24&lt;&gt;-999,AU24*$CO24, -999)</f>
        <v>-32634804.28182314</v>
      </c>
      <c r="CR24" s="27">
        <f>IF(AV24&lt;&gt;-999,AV24*$CO24, -999)</f>
        <v>-35958061.655733861</v>
      </c>
      <c r="CS24">
        <f t="shared" si="13"/>
        <v>-42.853000000000002</v>
      </c>
      <c r="CT24">
        <f>IF(AW24&lt;&gt;-999,AW24*$CS24, -999)</f>
        <v>-175524.0089275541</v>
      </c>
      <c r="CU24">
        <f>IF(AX24&lt;&gt;-999,AX24*$CS24, -999)</f>
        <v>-1723659.3216461046</v>
      </c>
      <c r="CV24" s="27">
        <f>IF(AY24&lt;&gt;-999,AY24*$CS24, -999)</f>
        <v>-1899183.3305736585</v>
      </c>
      <c r="CW24">
        <f t="shared" si="14"/>
        <v>-48.780999999999999</v>
      </c>
      <c r="CX24">
        <f>IF(AZ24&lt;&gt;-999,AZ24*$CO24, -999)</f>
        <v>-471754.34740131482</v>
      </c>
      <c r="CY24">
        <f>IF(BA24&lt;&gt;-999,BA24*$CO24, -999)</f>
        <v>-4632668.2575775953</v>
      </c>
      <c r="CZ24" s="27">
        <f>IF(BB24&lt;&gt;-999,BB24*$CO24, -999)</f>
        <v>-5104422.6049789116</v>
      </c>
      <c r="DA24">
        <f t="shared" si="15"/>
        <v>-48.155000000000001</v>
      </c>
      <c r="DB24">
        <f>IF(BC24&lt;&gt;-999,BC24*$DA24, -999)</f>
        <v>-1831345.0628791312</v>
      </c>
      <c r="DC24">
        <f>IF(BD24&lt;&gt;-999,BD24*$DA24, -999)</f>
        <v>-17984053.33491132</v>
      </c>
      <c r="DD24" s="27">
        <f>IF(BE24&lt;&gt;-999,BE24*$DA24, -999)</f>
        <v>-19815398.397790451</v>
      </c>
      <c r="DE24">
        <f t="shared" si="16"/>
        <v>-52.227000000000004</v>
      </c>
      <c r="DF24">
        <f>IF(BF24&lt;&gt;-999,BF24*$DE24, -999)</f>
        <v>-98113.45575156853</v>
      </c>
      <c r="DG24">
        <f>IF(BG24&lt;&gt;-999,BG24*$DE24, -999)</f>
        <v>-963511.52031511534</v>
      </c>
      <c r="DH24" s="27">
        <f>IF(BH24&lt;&gt;-999,BH24*$DE24, -999)</f>
        <v>-1061633.6702142917</v>
      </c>
      <c r="DI24">
        <f t="shared" si="17"/>
        <v>-60.94</v>
      </c>
      <c r="DJ24">
        <f>IF(BI24&lt;&gt;-999,BI24*$DI24, -999)</f>
        <v>-328988.96259277943</v>
      </c>
      <c r="DK24">
        <f>IF(BJ24&lt;&gt;-999,BJ24*$DI24, -999)</f>
        <v>-3230716.2488447335</v>
      </c>
      <c r="DL24" s="27">
        <f>IF(BK24&lt;&gt;-999,BK24*$DI24, -999)</f>
        <v>-3559705.2114375127</v>
      </c>
      <c r="DM24" s="28">
        <f t="shared" si="18"/>
        <v>-67398404.870728686</v>
      </c>
      <c r="DN24" s="22">
        <f t="shared" si="19"/>
        <v>-17.170000000000002</v>
      </c>
      <c r="DO24">
        <f>IF(AT24&lt;&gt;-999,AT24*$DN24, -999)</f>
        <v>-1423660.9059392975</v>
      </c>
      <c r="DP24">
        <f>IF(AU24&lt;&gt;-999,AU24*$DN24, -999)</f>
        <v>-13980528.680611363</v>
      </c>
      <c r="DQ24" s="24">
        <f>IF(AV24&lt;&gt;-999,AV24*$DN24, -999)</f>
        <v>-15404189.58655066</v>
      </c>
      <c r="DR24">
        <f t="shared" si="20"/>
        <v>-19.943000000000001</v>
      </c>
      <c r="DS24">
        <f>IF(AW24&lt;&gt;-999,AW24*$DR24, -999)</f>
        <v>-81685.653514157966</v>
      </c>
      <c r="DT24">
        <f>IF(AX24&lt;&gt;-999,AX24*$DR24, -999)</f>
        <v>-802159.42528150335</v>
      </c>
      <c r="DU24" s="24">
        <f>IF(AY24&lt;&gt;-999,AY24*$DR24, -999)</f>
        <v>-883845.07879566122</v>
      </c>
      <c r="DV24">
        <f t="shared" si="21"/>
        <v>-25.870999999999999</v>
      </c>
      <c r="DW24">
        <f>IF(AZ24&lt;&gt;-999,AZ24*$DV24, -999)</f>
        <v>-304509.89824399742</v>
      </c>
      <c r="DX24">
        <f>IF(BA24&lt;&gt;-999,BA24*$DV24, -999)</f>
        <v>-2990313.385523702</v>
      </c>
      <c r="DY24" s="24">
        <f>IF(BB24&lt;&gt;-999,BB24*$DV24, -999)</f>
        <v>-3294823.2837676997</v>
      </c>
      <c r="DZ24">
        <f t="shared" si="22"/>
        <v>-25.245000000000001</v>
      </c>
      <c r="EA24">
        <f>IF(BC24&lt;&gt;-999, BC24*$DZ24, -999)</f>
        <v>-960072.80889593321</v>
      </c>
      <c r="EB24">
        <f>IF(BD24&lt;&gt;-999, BD24*$DZ24, -999)</f>
        <v>-9428043.3275845964</v>
      </c>
      <c r="EC24" s="24">
        <f>IF(BE24&lt;&gt;-999, BE24*$DZ24, -999)</f>
        <v>-10388116.136480531</v>
      </c>
      <c r="ED24">
        <f t="shared" si="23"/>
        <v>-29.317</v>
      </c>
      <c r="EE24">
        <f>IF(BF24&lt;&gt;-999,BF24*$ED24, -999)</f>
        <v>-55074.811539409391</v>
      </c>
      <c r="EF24">
        <f>IF(BG24&lt;&gt;-999,BG24*$ED24, -999)</f>
        <v>-540855.63484554412</v>
      </c>
      <c r="EG24" s="24">
        <f>IF(BH24&lt;&gt;-999,BH24*$ED24, -999)</f>
        <v>-595935.32674042892</v>
      </c>
      <c r="EH24">
        <f t="shared" si="24"/>
        <v>-38.03</v>
      </c>
      <c r="EI24">
        <f>IF(BI24&lt;&gt;-999,BI24*$EH24, -999)</f>
        <v>-205307.68374472274</v>
      </c>
      <c r="EJ24">
        <f>IF(BJ24&lt;&gt;-999,BJ24*$EH24, -999)</f>
        <v>-2016149.3098714345</v>
      </c>
      <c r="EK24" s="24">
        <f>IF(BK24&lt;&gt;-999,BK24*$EH24, -999)</f>
        <v>-2221456.9936161572</v>
      </c>
      <c r="EL24" s="28">
        <f t="shared" si="25"/>
        <v>-32788366.405951135</v>
      </c>
      <c r="EM24" s="22">
        <f>-17.17-(0.1023*G24)+H24*(100+102.093-66.644-64.243)</f>
        <v>27.797458104339853</v>
      </c>
      <c r="EN24">
        <f>IF(AT24&lt;&gt;-999,AT24*$EM24, -999)</f>
        <v>2304843.0045214994</v>
      </c>
      <c r="EO24">
        <f>IF(AU24&lt;&gt;-999,AU24*$EM24, -999)</f>
        <v>22633847.424334072</v>
      </c>
      <c r="EP24" s="23">
        <f>IF(AV24&lt;&gt;-999,AV24*$EM24, -999)</f>
        <v>24938690.428855572</v>
      </c>
      <c r="EQ24">
        <f>-19.943-(0.1023*G24)+H24*(100+102.093-66.644-64.243)</f>
        <v>25.02445810433985</v>
      </c>
      <c r="ER24">
        <f>IF(AW24&lt;&gt;-999,AW24*$EQ24, -999)</f>
        <v>102499.08309134369</v>
      </c>
      <c r="ES24">
        <f>IF(AX24&lt;&gt;-999,AX24*$EQ24, -999)</f>
        <v>1006548.9109441063</v>
      </c>
      <c r="ET24" s="23">
        <f>IF(AY24&lt;&gt;-999,AY24*$EQ24, -999)</f>
        <v>1109047.9940354498</v>
      </c>
      <c r="EU24">
        <f>-25.871-(0.1023*G24)+H24*(100+102.093-66.644-64.243)</f>
        <v>19.096458104339852</v>
      </c>
      <c r="EV24">
        <f>IF(AZ24&lt;&gt;-999,AZ24*$EU24, -999)</f>
        <v>224771.38549624244</v>
      </c>
      <c r="EW24">
        <f>IF(BA24&lt;&gt;-999,BA24*$EU24, -999)</f>
        <v>2207274.3336361195</v>
      </c>
      <c r="EX24" s="23">
        <f>IF(BB24&lt;&gt;-999,BB24*$EU24, -999)</f>
        <v>2432045.7191323619</v>
      </c>
      <c r="EY24">
        <f>-25.245-(0.1023*G24)+H24*(100+102.093-66.644-64.243)</f>
        <v>19.722458104339857</v>
      </c>
      <c r="EZ24">
        <f>IF(BC24&lt;&gt;-999, BC24*$EY24, -999)</f>
        <v>750049.34642764623</v>
      </c>
      <c r="FA24">
        <f>IF(BD24&lt;&gt;-999, BD24*$EY24, -999)</f>
        <v>7365584.8498391025</v>
      </c>
      <c r="FB24" s="23">
        <f>IF(BE24&lt;&gt;-999, BE24*$EY24, -999)</f>
        <v>8115634.1962667489</v>
      </c>
      <c r="FC24">
        <f>-29.317-(0.1023*G24)+H24*(100+102.093-66.644-64.243)</f>
        <v>15.650458104339855</v>
      </c>
      <c r="FD24">
        <f>IF(BF24&lt;&gt;-999,BF24*$FC24, -999)</f>
        <v>29400.894723264311</v>
      </c>
      <c r="FE24">
        <f>IF(BG24&lt;&gt;-999,BG24*$FC24, -999)</f>
        <v>288727.98900454765</v>
      </c>
      <c r="FF24" s="23">
        <f>IF(BH24&lt;&gt;-999,BH24*$FC24, -999)</f>
        <v>318131.4890352753</v>
      </c>
      <c r="FG24">
        <f>-38.03-(0.1023*G24)+H24*(100+102.093-66.644-64.243)</f>
        <v>6.9374581043398535</v>
      </c>
      <c r="FH24">
        <f>IF(BI24&lt;&gt;-999,BI24*$FG24, -999)</f>
        <v>37452.36535572102</v>
      </c>
      <c r="FI24">
        <f>IF(BJ24&lt;&gt;-999,BJ24*$FG24, -999)</f>
        <v>367787.30921185343</v>
      </c>
      <c r="FJ24" s="23">
        <f>IF(BK24&lt;&gt;-999,BK24*$FG24, -999)</f>
        <v>405239.6745675744</v>
      </c>
      <c r="FK24" s="28">
        <f t="shared" si="26"/>
        <v>37318789.501892984</v>
      </c>
      <c r="FL24" s="22">
        <f t="shared" si="28"/>
        <v>10.012280000000011</v>
      </c>
      <c r="FM24">
        <f>IF(AT24&lt;&gt;-999,AT24*$FL24, -999)</f>
        <v>830174.23502142832</v>
      </c>
      <c r="FN24">
        <f>IF(AU24&lt;&gt;-999,AU24*$FL24, -999)</f>
        <v>8152415.1251200745</v>
      </c>
      <c r="FO24" s="29">
        <f>IF(AV24&lt;&gt;-999,AV24*$FL24, -999)</f>
        <v>8982589.3601415027</v>
      </c>
      <c r="FP24">
        <f t="shared" si="29"/>
        <v>7.2392800000000115</v>
      </c>
      <c r="FQ24">
        <f>IF(AW24&lt;&gt;-999,AW24*$FP24, -999)</f>
        <v>29651.773442911017</v>
      </c>
      <c r="FR24">
        <f>IF(AX24&lt;&gt;-999,AX24*$FP24, -999)</f>
        <v>291182.70492162113</v>
      </c>
      <c r="FS24" s="29">
        <f>IF(AY24&lt;&gt;-999,AY24*$FP24, -999)</f>
        <v>320834.47836453211</v>
      </c>
      <c r="FT24">
        <f t="shared" si="30"/>
        <v>1.3112800000000142</v>
      </c>
      <c r="FU24">
        <f>IF(AZ24&lt;&gt;-999,AZ24*$FT24, -999)</f>
        <v>15434.182651207657</v>
      </c>
      <c r="FV24">
        <f>IF(BA24&lt;&gt;-999,BA24*$FT24, -999)</f>
        <v>151565.00081827384</v>
      </c>
      <c r="FW24" s="29">
        <f>IF(BB24&lt;&gt;-999,BB24*$FT24, -999)</f>
        <v>166999.18346948153</v>
      </c>
      <c r="FX24">
        <f t="shared" si="31"/>
        <v>1.9372800000000119</v>
      </c>
      <c r="FY24">
        <f>IF(BC24&lt;&gt;-999, BC24*$FX24, -999)</f>
        <v>73675.177311068517</v>
      </c>
      <c r="FZ24">
        <f>IF(BD24&lt;&gt;-999, BD24*$FX24, -999)</f>
        <v>723500.09022234892</v>
      </c>
      <c r="GA24" s="29">
        <f>IF(BE24&lt;&gt;-999, BE24*$FX24, -999)</f>
        <v>797175.26753341744</v>
      </c>
      <c r="GB24">
        <f t="shared" si="32"/>
        <v>-2.1347199999999873</v>
      </c>
      <c r="GC24">
        <f>IF(BF24&lt;&gt;-999,BF24*$GB24, -999)</f>
        <v>-4010.2773711296286</v>
      </c>
      <c r="GD24">
        <f>IF(BG24&lt;&gt;-999,BG24*$GB24, -999)</f>
        <v>-39382.451847647208</v>
      </c>
      <c r="GE24" s="29">
        <f>IF(BH24&lt;&gt;-999,BH24*$GB24, -999)</f>
        <v>-43393.084582301082</v>
      </c>
      <c r="GF24">
        <f t="shared" si="33"/>
        <v>-10.847719999999988</v>
      </c>
      <c r="GG24">
        <f>IF(BI24&lt;&gt;-999,BI24*$GF24, -999)</f>
        <v>-58562.194770215654</v>
      </c>
      <c r="GH24">
        <f>IF(BJ24&lt;&gt;-999,BJ24*$GF24, -999)</f>
        <v>-575088.69817718992</v>
      </c>
      <c r="GI24" s="29">
        <f>IF(BK24&lt;&gt;-999,BK24*$GF24, -999)</f>
        <v>-633650.89294740558</v>
      </c>
      <c r="GJ24" s="30">
        <f t="shared" si="27"/>
        <v>9590554.3119792286</v>
      </c>
    </row>
    <row r="25" spans="1:192">
      <c r="A25" s="48" t="s">
        <v>153</v>
      </c>
      <c r="B25" s="48" t="s">
        <v>165</v>
      </c>
      <c r="C25" s="49">
        <v>62</v>
      </c>
      <c r="D25" s="50">
        <v>0.96699999999999997</v>
      </c>
      <c r="E25" s="49">
        <v>137.45463299291001</v>
      </c>
      <c r="F25" s="49">
        <v>0.78551581436134899</v>
      </c>
      <c r="G25" s="49">
        <v>229.78169106563499</v>
      </c>
      <c r="H25" s="49">
        <v>0.80649605758814003</v>
      </c>
      <c r="I25" s="42">
        <v>257665.7</v>
      </c>
      <c r="J25" s="43">
        <v>103635.2</v>
      </c>
      <c r="K25" s="43">
        <f t="shared" si="0"/>
        <v>361300.9</v>
      </c>
      <c r="L25" s="43">
        <v>97702.5</v>
      </c>
      <c r="M25" s="43">
        <v>39296.699999999997</v>
      </c>
      <c r="N25" s="43">
        <f t="shared" si="1"/>
        <v>136999.20000000001</v>
      </c>
      <c r="O25" s="43">
        <v>143497.1</v>
      </c>
      <c r="P25" s="43">
        <v>57715.7</v>
      </c>
      <c r="Q25" s="43">
        <f t="shared" si="2"/>
        <v>201212.79999999999</v>
      </c>
      <c r="R25" s="43">
        <v>27964.9</v>
      </c>
      <c r="S25" s="43">
        <v>11247.7</v>
      </c>
      <c r="T25" s="43">
        <f t="shared" si="3"/>
        <v>39212.600000000006</v>
      </c>
      <c r="U25" s="43">
        <v>10603.8</v>
      </c>
      <c r="V25" s="43">
        <v>4264.8999999999996</v>
      </c>
      <c r="W25" s="43">
        <f t="shared" si="4"/>
        <v>14868.699999999999</v>
      </c>
      <c r="X25" s="43">
        <v>15574</v>
      </c>
      <c r="Y25" s="43">
        <v>6264</v>
      </c>
      <c r="Z25" s="43">
        <f t="shared" si="5"/>
        <v>21838</v>
      </c>
      <c r="AA25" s="22">
        <v>3828783.9</v>
      </c>
      <c r="AB25">
        <v>438545.7</v>
      </c>
      <c r="AC25">
        <v>4267329.5999999996</v>
      </c>
      <c r="AD25">
        <v>1451810.4</v>
      </c>
      <c r="AE25">
        <v>166289.1</v>
      </c>
      <c r="AF25">
        <v>1618099.6</v>
      </c>
      <c r="AG25">
        <v>2132296</v>
      </c>
      <c r="AH25">
        <v>244231.4</v>
      </c>
      <c r="AI25">
        <v>2376527.4</v>
      </c>
      <c r="AJ25">
        <v>415544.7</v>
      </c>
      <c r="AK25">
        <v>47596.1</v>
      </c>
      <c r="AL25">
        <v>463140.8</v>
      </c>
      <c r="AM25">
        <v>157567.6</v>
      </c>
      <c r="AN25">
        <v>18047.7</v>
      </c>
      <c r="AO25">
        <v>175615.2</v>
      </c>
      <c r="AP25">
        <v>231421.9</v>
      </c>
      <c r="AQ25">
        <v>26506.9</v>
      </c>
      <c r="AR25">
        <v>257928.7</v>
      </c>
      <c r="AS25">
        <v>9158641.3900000006</v>
      </c>
      <c r="AT25" s="22">
        <f t="shared" si="34"/>
        <v>6373717.1164599517</v>
      </c>
      <c r="AU25">
        <f t="shared" si="34"/>
        <v>730040.21836800757</v>
      </c>
      <c r="AV25">
        <f t="shared" si="34"/>
        <v>7103757.3348279586</v>
      </c>
      <c r="AW25">
        <f t="shared" si="34"/>
        <v>2416806.2335235397</v>
      </c>
      <c r="AX25">
        <f t="shared" si="34"/>
        <v>276818.88313172251</v>
      </c>
      <c r="AY25">
        <f t="shared" si="34"/>
        <v>2693625.2831237102</v>
      </c>
      <c r="AZ25">
        <f t="shared" si="34"/>
        <v>3549600.0473046</v>
      </c>
      <c r="BA25">
        <f t="shared" si="34"/>
        <v>406568.21988751501</v>
      </c>
      <c r="BB25">
        <f t="shared" si="34"/>
        <v>3956168.2671921151</v>
      </c>
      <c r="BC25">
        <f t="shared" si="34"/>
        <v>691750.81075853261</v>
      </c>
      <c r="BD25">
        <f t="shared" si="34"/>
        <v>79232.488740547502</v>
      </c>
      <c r="BE25">
        <f t="shared" si="34"/>
        <v>770983.29949908005</v>
      </c>
      <c r="BF25">
        <f t="shared" si="34"/>
        <v>262300.33748301002</v>
      </c>
      <c r="BG25">
        <f t="shared" si="34"/>
        <v>30043.725999457503</v>
      </c>
      <c r="BH25">
        <f t="shared" si="34"/>
        <v>292343.89701402001</v>
      </c>
      <c r="BI25">
        <f t="shared" si="34"/>
        <v>385244.44410500245</v>
      </c>
      <c r="BJ25">
        <f t="shared" si="7"/>
        <v>44125.624910377504</v>
      </c>
      <c r="BK25">
        <f t="shared" si="7"/>
        <v>429369.90254693251</v>
      </c>
      <c r="BL25">
        <f t="shared" si="7"/>
        <v>15246248.134025419</v>
      </c>
      <c r="BM25" s="22">
        <f>-17.17-(0.1023*E25)+F25*(100-8.576-13.681)</f>
        <v>29.836747000719665</v>
      </c>
      <c r="BN25">
        <f>IF(AT25&lt;&gt;-999,AT25*$BM25, -999)</f>
        <v>190170985.05797204</v>
      </c>
      <c r="BO25">
        <f>IF(AU25&lt;&gt;-999,AU25*$BM25, -999)</f>
        <v>21782025.295796379</v>
      </c>
      <c r="BP25" s="25">
        <f>IF(AV25&lt;&gt;-999,AV25*$BM25, -999)</f>
        <v>211953010.35376841</v>
      </c>
      <c r="BQ25">
        <f>-19.943-(0.1023*E25)+F25*(100-8.576-13.681)</f>
        <v>27.063747000719665</v>
      </c>
      <c r="BR25">
        <f>IF(AW25&lt;&gt;-999,AW25*$BQ25, -999)</f>
        <v>65407832.453843288</v>
      </c>
      <c r="BS25">
        <f>IF(AX25&lt;&gt;-999,AX25*$BQ25, -999)</f>
        <v>7491756.2180987224</v>
      </c>
      <c r="BT25" s="25">
        <f>IF(AY25&lt;&gt;-999,AY25*$BQ25, -999)</f>
        <v>72899593.177201971</v>
      </c>
      <c r="BU25">
        <f>-25.871-(0.1023*E25)+F25*(100-8.576-13.681)</f>
        <v>21.135747000719668</v>
      </c>
      <c r="BV25">
        <f>IF(AZ25&lt;&gt;-999,AZ25*$BU25, -999)</f>
        <v>75023448.553572595</v>
      </c>
      <c r="BW25">
        <f>IF(BA25&lt;&gt;-999,BA25*$BU25, -999)</f>
        <v>8593123.03407548</v>
      </c>
      <c r="BX25" s="25">
        <f>IF(BB25&lt;&gt;-999,BB25*$BU25, -999)</f>
        <v>83616571.587648079</v>
      </c>
      <c r="BY25">
        <f>-25.245-(0.1023*E25)+F25*(100-8.576-13.681)</f>
        <v>21.761747000719666</v>
      </c>
      <c r="BZ25">
        <f>IF(BC25&lt;&gt;-999,BC25*$BY25, -999)</f>
        <v>15053706.131269895</v>
      </c>
      <c r="CA25">
        <f>IF(BD25&lt;&gt;-999,BD25*$BY25, -999)</f>
        <v>1724237.3742091644</v>
      </c>
      <c r="CB25" s="25">
        <f>IF(BE25&lt;&gt;-999,BE25*$BY25, -999)</f>
        <v>16777943.505479056</v>
      </c>
      <c r="CC25">
        <f>-29.317-(0.1023*E25)+F25*(100-8.576-13.681)</f>
        <v>17.689747000719663</v>
      </c>
      <c r="CD25">
        <f>IF(BF25&lt;&gt;-999,BF25*$CC25, -999)</f>
        <v>4640026.6082778322</v>
      </c>
      <c r="CE25">
        <f>IF(BG25&lt;&gt;-999,BG25*$CC25, -999)</f>
        <v>531465.91188934678</v>
      </c>
      <c r="CF25" s="25">
        <f>IF(BH25&lt;&gt;-999,BH25*$CC25, -999)</f>
        <v>5171489.575382459</v>
      </c>
      <c r="CG25">
        <f>-38.03-(0.1023*E25)+F25*(100-8.576-13.681)</f>
        <v>8.9767470007196692</v>
      </c>
      <c r="CH25">
        <f>IF(BI25&lt;&gt;-999,BI25*$CG25, -999)</f>
        <v>3458241.9081634968</v>
      </c>
      <c r="CI25">
        <f>IF(BJ25&lt;&gt;-999,BJ25*$CG25, -999)</f>
        <v>396104.5710691124</v>
      </c>
      <c r="CJ25" s="25">
        <f>IF(BK25&lt;&gt;-999,BK25*$CG25, -999)</f>
        <v>3854344.9848874733</v>
      </c>
      <c r="CK25" s="26">
        <f t="shared" si="8"/>
        <v>394272953.18436748</v>
      </c>
      <c r="CL25">
        <f t="shared" si="9"/>
        <v>-30.909836722161181</v>
      </c>
      <c r="CM25">
        <f t="shared" si="10"/>
        <v>26.943868027180287</v>
      </c>
      <c r="CN25">
        <f t="shared" si="11"/>
        <v>-87.764198128379448</v>
      </c>
      <c r="CO25" s="22">
        <f t="shared" si="12"/>
        <v>-40.08</v>
      </c>
      <c r="CP25">
        <f>IF(AT25&lt;&gt;-999,AT25*$CO25, -999)</f>
        <v>-255458582.02771485</v>
      </c>
      <c r="CQ25">
        <f>IF(AU25&lt;&gt;-999,AU25*$CO25, -999)</f>
        <v>-29260011.952189744</v>
      </c>
      <c r="CR25" s="27">
        <f>IF(AV25&lt;&gt;-999,AV25*$CO25, -999)</f>
        <v>-284718593.97990459</v>
      </c>
      <c r="CS25">
        <f t="shared" si="13"/>
        <v>-42.853000000000002</v>
      </c>
      <c r="CT25">
        <f>IF(AW25&lt;&gt;-999,AW25*$CS25, -999)</f>
        <v>-103567397.52518426</v>
      </c>
      <c r="CU25">
        <f>IF(AX25&lt;&gt;-999,AX25*$CS25, -999)</f>
        <v>-11862519.598843705</v>
      </c>
      <c r="CV25" s="27">
        <f>IF(AY25&lt;&gt;-999,AY25*$CS25, -999)</f>
        <v>-115429924.25770035</v>
      </c>
      <c r="CW25">
        <f t="shared" si="14"/>
        <v>-48.780999999999999</v>
      </c>
      <c r="CX25">
        <f>IF(AZ25&lt;&gt;-999,AZ25*$CO25, -999)</f>
        <v>-142267969.89596835</v>
      </c>
      <c r="CY25">
        <f>IF(BA25&lt;&gt;-999,BA25*$CO25, -999)</f>
        <v>-16295254.253091602</v>
      </c>
      <c r="CZ25" s="27">
        <f>IF(BB25&lt;&gt;-999,BB25*$CO25, -999)</f>
        <v>-158563224.14905995</v>
      </c>
      <c r="DA25">
        <f t="shared" si="15"/>
        <v>-48.155000000000001</v>
      </c>
      <c r="DB25">
        <f>IF(BC25&lt;&gt;-999,BC25*$DA25, -999)</f>
        <v>-33311260.292077139</v>
      </c>
      <c r="DC25">
        <f>IF(BD25&lt;&gt;-999,BD25*$DA25, -999)</f>
        <v>-3815440.495301065</v>
      </c>
      <c r="DD25" s="27">
        <f>IF(BE25&lt;&gt;-999,BE25*$DA25, -999)</f>
        <v>-37126700.787378199</v>
      </c>
      <c r="DE25">
        <f t="shared" si="16"/>
        <v>-52.227000000000004</v>
      </c>
      <c r="DF25">
        <f>IF(BF25&lt;&gt;-999,BF25*$DE25, -999)</f>
        <v>-13699159.725725165</v>
      </c>
      <c r="DG25">
        <f>IF(BG25&lt;&gt;-999,BG25*$DE25, -999)</f>
        <v>-1569093.677773667</v>
      </c>
      <c r="DH25" s="27">
        <f>IF(BH25&lt;&gt;-999,BH25*$DE25, -999)</f>
        <v>-15268244.709351225</v>
      </c>
      <c r="DI25">
        <f t="shared" si="17"/>
        <v>-60.94</v>
      </c>
      <c r="DJ25">
        <f>IF(BI25&lt;&gt;-999,BI25*$DI25, -999)</f>
        <v>-23476796.42375885</v>
      </c>
      <c r="DK25">
        <f>IF(BJ25&lt;&gt;-999,BJ25*$DI25, -999)</f>
        <v>-2689015.5820384049</v>
      </c>
      <c r="DL25" s="27">
        <f>IF(BK25&lt;&gt;-999,BK25*$DI25, -999)</f>
        <v>-26165801.861210067</v>
      </c>
      <c r="DM25" s="28">
        <f t="shared" si="18"/>
        <v>-637272489.74460435</v>
      </c>
      <c r="DN25" s="22">
        <f t="shared" si="19"/>
        <v>-17.170000000000002</v>
      </c>
      <c r="DO25">
        <f>IF(AT25&lt;&gt;-999,AT25*$DN25, -999)</f>
        <v>-109436722.88961738</v>
      </c>
      <c r="DP25">
        <f>IF(AU25&lt;&gt;-999,AU25*$DN25, -999)</f>
        <v>-12534790.549378691</v>
      </c>
      <c r="DQ25" s="24">
        <f>IF(AV25&lt;&gt;-999,AV25*$DN25, -999)</f>
        <v>-121971513.43899606</v>
      </c>
      <c r="DR25">
        <f t="shared" si="20"/>
        <v>-19.943000000000001</v>
      </c>
      <c r="DS25">
        <f>IF(AW25&lt;&gt;-999,AW25*$DR25, -999)</f>
        <v>-48198366.715159953</v>
      </c>
      <c r="DT25">
        <f>IF(AX25&lt;&gt;-999,AX25*$DR25, -999)</f>
        <v>-5520598.9862959422</v>
      </c>
      <c r="DU25" s="24">
        <f>IF(AY25&lt;&gt;-999,AY25*$DR25, -999)</f>
        <v>-53718969.021336153</v>
      </c>
      <c r="DV25">
        <f t="shared" si="21"/>
        <v>-25.870999999999999</v>
      </c>
      <c r="DW25">
        <f>IF(AZ25&lt;&gt;-999,AZ25*$DV25, -999)</f>
        <v>-91831702.823817298</v>
      </c>
      <c r="DX25">
        <f>IF(BA25&lt;&gt;-999,BA25*$DV25, -999)</f>
        <v>-10518326.4167099</v>
      </c>
      <c r="DY25" s="24">
        <f>IF(BB25&lt;&gt;-999,BB25*$DV25, -999)</f>
        <v>-102350029.2405272</v>
      </c>
      <c r="DZ25">
        <f t="shared" si="22"/>
        <v>-25.245000000000001</v>
      </c>
      <c r="EA25">
        <f>IF(BC25&lt;&gt;-999, BC25*$DZ25, -999)</f>
        <v>-17463249.217599157</v>
      </c>
      <c r="EB25">
        <f>IF(BD25&lt;&gt;-999, BD25*$DZ25, -999)</f>
        <v>-2000224.1782551217</v>
      </c>
      <c r="EC25" s="24">
        <f>IF(BE25&lt;&gt;-999, BE25*$DZ25, -999)</f>
        <v>-19463473.395854276</v>
      </c>
      <c r="ED25">
        <f t="shared" si="23"/>
        <v>-29.317</v>
      </c>
      <c r="EE25">
        <f>IF(BF25&lt;&gt;-999,BF25*$ED25, -999)</f>
        <v>-7689858.9939894052</v>
      </c>
      <c r="EF25">
        <f>IF(BG25&lt;&gt;-999,BG25*$ED25, -999)</f>
        <v>-880791.91512609564</v>
      </c>
      <c r="EG25" s="24">
        <f>IF(BH25&lt;&gt;-999,BH25*$ED25, -999)</f>
        <v>-8570646.0287600253</v>
      </c>
      <c r="EH25">
        <f t="shared" si="24"/>
        <v>-38.03</v>
      </c>
      <c r="EI25">
        <f>IF(BI25&lt;&gt;-999,BI25*$EH25, -999)</f>
        <v>-14650846.209313244</v>
      </c>
      <c r="EJ25">
        <f>IF(BJ25&lt;&gt;-999,BJ25*$EH25, -999)</f>
        <v>-1678097.5153416565</v>
      </c>
      <c r="EK25" s="24">
        <f>IF(BK25&lt;&gt;-999,BK25*$EH25, -999)</f>
        <v>-16328937.393859845</v>
      </c>
      <c r="EL25" s="28">
        <f t="shared" si="25"/>
        <v>-322403568.5193336</v>
      </c>
      <c r="EM25" s="22">
        <f>-17.17-(0.1023*G25)+H25*(100+102.093-66.644-64.243)</f>
        <v>16.750691280606652</v>
      </c>
      <c r="EN25">
        <f>IF(AT25&lt;&gt;-999,AT25*$EM25, -999)</f>
        <v>106764167.7277391</v>
      </c>
      <c r="EO25">
        <f>IF(AU25&lt;&gt;-999,AU25*$EM25, -999)</f>
        <v>12228678.32030916</v>
      </c>
      <c r="EP25" s="23">
        <f>IF(AV25&lt;&gt;-999,AV25*$EM25, -999)</f>
        <v>118992846.04804824</v>
      </c>
      <c r="EQ25">
        <f>-19.943-(0.1023*G25)+H25*(100+102.093-66.644-64.243)</f>
        <v>13.977691280606656</v>
      </c>
      <c r="ER25">
        <f>IF(AW25&lt;&gt;-999,AW25*$EQ25, -999)</f>
        <v>33781371.417237796</v>
      </c>
      <c r="ES25">
        <f>IF(AX25&lt;&gt;-999,AX25*$EQ25, -999)</f>
        <v>3869288.8890575506</v>
      </c>
      <c r="ET25" s="23">
        <f>IF(AY25&lt;&gt;-999,AY25*$EQ25, -999)</f>
        <v>37650662.633139923</v>
      </c>
      <c r="EU25">
        <f>-25.871-(0.1023*G25)+H25*(100+102.093-66.644-64.243)</f>
        <v>8.0496912806066589</v>
      </c>
      <c r="EV25">
        <f>IF(AZ25&lt;&gt;-999,AZ25*$EU25, -999)</f>
        <v>28573184.550428823</v>
      </c>
      <c r="EW25">
        <f>IF(BA25&lt;&gt;-999,BA25*$EU25, -999)</f>
        <v>3272748.6546003004</v>
      </c>
      <c r="EX25" s="23">
        <f>IF(BB25&lt;&gt;-999,BB25*$EU25, -999)</f>
        <v>31845933.205029123</v>
      </c>
      <c r="EY25">
        <f>-25.245-(0.1023*G25)+H25*(100+102.093-66.644-64.243)</f>
        <v>8.6756912806066495</v>
      </c>
      <c r="EZ25">
        <f>IF(BC25&lt;&gt;-999, BC25*$EY25, -999)</f>
        <v>6001416.4772503814</v>
      </c>
      <c r="FA25">
        <f>IF(BD25&lt;&gt;-999, BD25*$EY25, -999)</f>
        <v>687396.61170713254</v>
      </c>
      <c r="FB25" s="23">
        <f>IF(BE25&lt;&gt;-999, BE25*$EY25, -999)</f>
        <v>6688813.0889575137</v>
      </c>
      <c r="FC25">
        <f>-29.317-(0.1023*G25)+H25*(100+102.093-66.644-64.243)</f>
        <v>4.6036912806066539</v>
      </c>
      <c r="FD25">
        <f>IF(BF25&lt;&gt;-999,BF25*$FC25, -999)</f>
        <v>1207549.7765707159</v>
      </c>
      <c r="FE25">
        <f>IF(BG25&lt;&gt;-999,BG25*$FC25, -999)</f>
        <v>138312.03942063794</v>
      </c>
      <c r="FF25" s="23">
        <f>IF(BH25&lt;&gt;-999,BH25*$FC25, -999)</f>
        <v>1345861.0496220135</v>
      </c>
      <c r="FG25">
        <f>-38.03-(0.1023*G25)+H25*(100+102.093-66.644-64.243)</f>
        <v>-4.1093087193933471</v>
      </c>
      <c r="FH25">
        <f>IF(BI25&lt;&gt;-999,BI25*$FG25, -999)</f>
        <v>-1583088.3532585294</v>
      </c>
      <c r="FI25">
        <f>IF(BJ25&lt;&gt;-999,BJ25*$FG25, -999)</f>
        <v>-181325.81519289454</v>
      </c>
      <c r="FJ25" s="23">
        <f>IF(BK25&lt;&gt;-999,BK25*$FG25, -999)</f>
        <v>-1764413.4843811814</v>
      </c>
      <c r="FK25" s="28">
        <f t="shared" si="26"/>
        <v>194759702.54041564</v>
      </c>
      <c r="FL25" s="22">
        <f t="shared" si="28"/>
        <v>10.012280000000011</v>
      </c>
      <c r="FM25">
        <f>IF(AT25&lt;&gt;-999,AT25*$FL25, -999)</f>
        <v>63815440.410789713</v>
      </c>
      <c r="FN25">
        <f>IF(AU25&lt;&gt;-999,AU25*$FL25, -999)</f>
        <v>7309367.077561643</v>
      </c>
      <c r="FO25" s="29">
        <f>IF(AV25&lt;&gt;-999,AV25*$FL25, -999)</f>
        <v>71124807.48835136</v>
      </c>
      <c r="FP25">
        <f t="shared" si="29"/>
        <v>7.2392800000000115</v>
      </c>
      <c r="FQ25">
        <f>IF(AW25&lt;&gt;-999,AW25*$FP25, -999)</f>
        <v>17495937.030222319</v>
      </c>
      <c r="FR25">
        <f>IF(AX25&lt;&gt;-999,AX25*$FP25, -999)</f>
        <v>2003969.4042778194</v>
      </c>
      <c r="FS25" s="29">
        <f>IF(AY25&lt;&gt;-999,AY25*$FP25, -999)</f>
        <v>19499907.639611844</v>
      </c>
      <c r="FT25">
        <f t="shared" si="30"/>
        <v>1.3112800000000142</v>
      </c>
      <c r="FU25">
        <f>IF(AZ25&lt;&gt;-999,AZ25*$FT25, -999)</f>
        <v>4654519.5500296261</v>
      </c>
      <c r="FV25">
        <f>IF(BA25&lt;&gt;-999,BA25*$FT25, -999)</f>
        <v>533124.77537410648</v>
      </c>
      <c r="FW25" s="29">
        <f>IF(BB25&lt;&gt;-999,BB25*$FT25, -999)</f>
        <v>5187644.3254037332</v>
      </c>
      <c r="FX25">
        <f t="shared" si="31"/>
        <v>1.9372800000000119</v>
      </c>
      <c r="FY25">
        <f>IF(BC25&lt;&gt;-999, BC25*$FX25, -999)</f>
        <v>1340115.0106662982</v>
      </c>
      <c r="FZ25">
        <f>IF(BD25&lt;&gt;-999, BD25*$FX25, -999)</f>
        <v>153495.51578728881</v>
      </c>
      <c r="GA25" s="29">
        <f>IF(BE25&lt;&gt;-999, BE25*$FX25, -999)</f>
        <v>1493610.526453587</v>
      </c>
      <c r="GB25">
        <f t="shared" si="32"/>
        <v>-2.1347199999999873</v>
      </c>
      <c r="GC25">
        <f>IF(BF25&lt;&gt;-999,BF25*$GB25, -999)</f>
        <v>-559937.77643172781</v>
      </c>
      <c r="GD25">
        <f>IF(BG25&lt;&gt;-999,BG25*$GB25, -999)</f>
        <v>-64134.942765561536</v>
      </c>
      <c r="GE25" s="29">
        <f>IF(BH25&lt;&gt;-999,BH25*$GB25, -999)</f>
        <v>-624072.36383376503</v>
      </c>
      <c r="GF25">
        <f t="shared" si="33"/>
        <v>-10.847719999999988</v>
      </c>
      <c r="GG25">
        <f>IF(BI25&lt;&gt;-999,BI25*$GF25, -999)</f>
        <v>-4179023.8612067127</v>
      </c>
      <c r="GH25">
        <f>IF(BJ25&lt;&gt;-999,BJ25*$GF25, -999)</f>
        <v>-478662.42385279975</v>
      </c>
      <c r="GI25" s="29">
        <f>IF(BK25&lt;&gt;-999,BK25*$GF25, -999)</f>
        <v>-4657684.4792564055</v>
      </c>
      <c r="GJ25" s="30">
        <f t="shared" si="27"/>
        <v>92024213.136730343</v>
      </c>
    </row>
    <row r="26" spans="1:192">
      <c r="A26" s="48" t="s">
        <v>138</v>
      </c>
      <c r="B26" s="48" t="s">
        <v>166</v>
      </c>
      <c r="C26" s="49">
        <v>145</v>
      </c>
      <c r="D26" s="50">
        <v>0.96699999999999997</v>
      </c>
      <c r="E26" s="49">
        <v>236.12772772268301</v>
      </c>
      <c r="F26" s="49">
        <v>0.76392523775557597</v>
      </c>
      <c r="G26" s="49">
        <v>107.440505505945</v>
      </c>
      <c r="H26" s="49">
        <v>0.81598828647606103</v>
      </c>
      <c r="I26" s="42">
        <v>22728.7</v>
      </c>
      <c r="J26" s="43">
        <v>44687.1</v>
      </c>
      <c r="K26" s="43">
        <f t="shared" si="0"/>
        <v>67415.8</v>
      </c>
      <c r="L26" s="43">
        <v>2039</v>
      </c>
      <c r="M26" s="43">
        <v>4008.9</v>
      </c>
      <c r="N26" s="43">
        <f t="shared" si="1"/>
        <v>6047.9</v>
      </c>
      <c r="O26" s="43">
        <v>13188.7</v>
      </c>
      <c r="P26" s="43">
        <v>25930.3</v>
      </c>
      <c r="Q26" s="43">
        <f t="shared" si="2"/>
        <v>39119</v>
      </c>
      <c r="R26" s="43">
        <v>24991.3</v>
      </c>
      <c r="S26" s="43">
        <v>49135.6</v>
      </c>
      <c r="T26" s="43">
        <f t="shared" si="3"/>
        <v>74126.899999999994</v>
      </c>
      <c r="U26" s="43">
        <v>2242</v>
      </c>
      <c r="V26" s="43">
        <v>4408</v>
      </c>
      <c r="W26" s="43">
        <f t="shared" si="4"/>
        <v>6650</v>
      </c>
      <c r="X26" s="43">
        <v>14501.5</v>
      </c>
      <c r="Y26" s="43">
        <v>28511.599999999999</v>
      </c>
      <c r="Z26" s="43">
        <f t="shared" si="5"/>
        <v>43013.1</v>
      </c>
      <c r="AA26" s="22">
        <v>147224.20000000001</v>
      </c>
      <c r="AB26">
        <v>424028.6</v>
      </c>
      <c r="AC26">
        <v>571252.80000000005</v>
      </c>
      <c r="AD26">
        <v>13207.5</v>
      </c>
      <c r="AE26">
        <v>38039.800000000003</v>
      </c>
      <c r="AF26">
        <v>51247.3</v>
      </c>
      <c r="AG26">
        <v>85428.9</v>
      </c>
      <c r="AH26">
        <v>246048.6</v>
      </c>
      <c r="AI26">
        <v>331477.59999999998</v>
      </c>
      <c r="AJ26">
        <v>161879.9</v>
      </c>
      <c r="AK26">
        <v>466239.5</v>
      </c>
      <c r="AL26">
        <v>628119.4</v>
      </c>
      <c r="AM26">
        <v>14522.3</v>
      </c>
      <c r="AN26">
        <v>41826.5</v>
      </c>
      <c r="AO26">
        <v>56348.800000000003</v>
      </c>
      <c r="AP26">
        <v>93933.1</v>
      </c>
      <c r="AQ26">
        <v>270542.09999999998</v>
      </c>
      <c r="AR26">
        <v>364475.2</v>
      </c>
      <c r="AS26">
        <v>2002921.12</v>
      </c>
      <c r="AT26" s="22">
        <f t="shared" si="34"/>
        <v>245081.84008429502</v>
      </c>
      <c r="AU26">
        <f t="shared" si="34"/>
        <v>705873.82737598498</v>
      </c>
      <c r="AV26">
        <f t="shared" si="34"/>
        <v>950955.66746028</v>
      </c>
      <c r="AW26">
        <f t="shared" si="34"/>
        <v>21986.3202035625</v>
      </c>
      <c r="AX26">
        <f t="shared" si="34"/>
        <v>63324.264492105009</v>
      </c>
      <c r="AY26">
        <f t="shared" si="34"/>
        <v>85310.584695667509</v>
      </c>
      <c r="AZ26">
        <f t="shared" si="34"/>
        <v>142212.1635463275</v>
      </c>
      <c r="BA26">
        <f t="shared" si="34"/>
        <v>409593.28451548499</v>
      </c>
      <c r="BB26">
        <f t="shared" si="34"/>
        <v>551805.61453025998</v>
      </c>
      <c r="BC26">
        <f t="shared" si="34"/>
        <v>269478.95634455251</v>
      </c>
      <c r="BD26">
        <f t="shared" si="34"/>
        <v>776141.65728176245</v>
      </c>
      <c r="BE26">
        <f t="shared" si="34"/>
        <v>1045620.6136263149</v>
      </c>
      <c r="BF26">
        <f t="shared" si="34"/>
        <v>24175.047351292498</v>
      </c>
      <c r="BG26">
        <f t="shared" si="34"/>
        <v>69627.925193587507</v>
      </c>
      <c r="BH26">
        <f t="shared" si="34"/>
        <v>93802.972544880016</v>
      </c>
      <c r="BI26">
        <f t="shared" si="34"/>
        <v>156368.97325862251</v>
      </c>
      <c r="BJ26">
        <f t="shared" si="7"/>
        <v>450367.23370389745</v>
      </c>
      <c r="BK26">
        <f t="shared" si="7"/>
        <v>606736.20696252002</v>
      </c>
      <c r="BL26">
        <f t="shared" si="7"/>
        <v>3334231.693113612</v>
      </c>
      <c r="BM26" s="22">
        <f>-17.17-(0.1023*E26)+F26*(100-8.576-13.681)</f>
        <v>18.06397321280128</v>
      </c>
      <c r="BN26">
        <f>IF(AT26&lt;&gt;-999,AT26*$BM26, -999)</f>
        <v>4427151.7942267526</v>
      </c>
      <c r="BO26">
        <f>IF(AU26&lt;&gt;-999,AU26*$BM26, -999)</f>
        <v>12750885.909337306</v>
      </c>
      <c r="BP26" s="25">
        <f>IF(AV26&lt;&gt;-999,AV26*$BM26, -999)</f>
        <v>17178037.703564059</v>
      </c>
      <c r="BQ26">
        <f>-19.943-(0.1023*E26)+F26*(100-8.576-13.681)</f>
        <v>15.290973212801276</v>
      </c>
      <c r="BR26">
        <f>IF(AW26&lt;&gt;-999,AW26*$BQ26, -999)</f>
        <v>336192.23328074568</v>
      </c>
      <c r="BS26">
        <f>IF(AX26&lt;&gt;-999,AX26*$BQ26, -999)</f>
        <v>968289.63206912065</v>
      </c>
      <c r="BT26" s="25">
        <f>IF(AY26&lt;&gt;-999,AY26*$BQ26, -999)</f>
        <v>1304481.8653498664</v>
      </c>
      <c r="BU26">
        <f>-25.871-(0.1023*E26)+F26*(100-8.576-13.681)</f>
        <v>9.362973212801279</v>
      </c>
      <c r="BV26">
        <f>IF(AZ26&lt;&gt;-999,AZ26*$BU26, -999)</f>
        <v>1331528.6778187789</v>
      </c>
      <c r="BW26">
        <f>IF(BA26&lt;&gt;-999,BA26*$BU26, -999)</f>
        <v>3835010.9510617787</v>
      </c>
      <c r="BX26" s="25">
        <f>IF(BB26&lt;&gt;-999,BB26*$BU26, -999)</f>
        <v>5166541.1875201724</v>
      </c>
      <c r="BY26">
        <f>-25.245-(0.1023*E26)+F26*(100-8.576-13.681)</f>
        <v>9.9889732128012767</v>
      </c>
      <c r="BZ26">
        <f>IF(BC26&lt;&gt;-999,BC26*$BY26, -999)</f>
        <v>2691818.0763393799</v>
      </c>
      <c r="CA26">
        <f>IF(BD26&lt;&gt;-999,BD26*$BY26, -999)</f>
        <v>7752858.2239267137</v>
      </c>
      <c r="CB26" s="25">
        <f>IF(BE26&lt;&gt;-999,BE26*$BY26, -999)</f>
        <v>10444676.300266093</v>
      </c>
      <c r="CC26">
        <f>-29.317-(0.1023*E26)+F26*(100-8.576-13.681)</f>
        <v>5.916973212801274</v>
      </c>
      <c r="CD26">
        <f>IF(BF26&lt;&gt;-999,BF26*$CC26, -999)</f>
        <v>143043.1075958001</v>
      </c>
      <c r="CE26">
        <f>IF(BG26&lt;&gt;-999,BG26*$CC26, -999)</f>
        <v>411986.56823338824</v>
      </c>
      <c r="CF26" s="25">
        <f>IF(BH26&lt;&gt;-999,BH26*$CC26, -999)</f>
        <v>555029.67582918843</v>
      </c>
      <c r="CG26">
        <f>-38.03-(0.1023*E26)+F26*(100-8.576-13.681)</f>
        <v>-2.7960267871987199</v>
      </c>
      <c r="CH26">
        <f>IF(BI26&lt;&gt;-999,BI26*$CG26, -999)</f>
        <v>-437211.83791786886</v>
      </c>
      <c r="CI26">
        <f>IF(BJ26&lt;&gt;-999,BJ26*$CG26, -999)</f>
        <v>-1259238.8495126835</v>
      </c>
      <c r="CJ26" s="25">
        <f>IF(BK26&lt;&gt;-999,BK26*$CG26, -999)</f>
        <v>-1696450.6874305524</v>
      </c>
      <c r="CK26" s="26">
        <f t="shared" si="8"/>
        <v>32952316.045098826</v>
      </c>
      <c r="CL26">
        <f t="shared" si="9"/>
        <v>-19.198802071697401</v>
      </c>
      <c r="CM26">
        <f t="shared" si="10"/>
        <v>40.290003578339913</v>
      </c>
      <c r="CN26">
        <f t="shared" si="11"/>
        <v>-77.660020254790496</v>
      </c>
      <c r="CO26" s="22">
        <f t="shared" si="12"/>
        <v>-40.08</v>
      </c>
      <c r="CP26">
        <f>IF(AT26&lt;&gt;-999,AT26*$CO26, -999)</f>
        <v>-9822880.1505785435</v>
      </c>
      <c r="CQ26">
        <f>IF(AU26&lt;&gt;-999,AU26*$CO26, -999)</f>
        <v>-28291423.001229476</v>
      </c>
      <c r="CR26" s="27">
        <f>IF(AV26&lt;&gt;-999,AV26*$CO26, -999)</f>
        <v>-38114303.151808023</v>
      </c>
      <c r="CS26">
        <f t="shared" si="13"/>
        <v>-42.853000000000002</v>
      </c>
      <c r="CT26">
        <f>IF(AW26&lt;&gt;-999,AW26*$CS26, -999)</f>
        <v>-942179.77968326386</v>
      </c>
      <c r="CU26">
        <f>IF(AX26&lt;&gt;-999,AX26*$CS26, -999)</f>
        <v>-2713634.7062801761</v>
      </c>
      <c r="CV26" s="27">
        <f>IF(AY26&lt;&gt;-999,AY26*$CS26, -999)</f>
        <v>-3655814.48596344</v>
      </c>
      <c r="CW26">
        <f t="shared" si="14"/>
        <v>-48.780999999999999</v>
      </c>
      <c r="CX26">
        <f>IF(AZ26&lt;&gt;-999,AZ26*$CO26, -999)</f>
        <v>-5699863.5149368057</v>
      </c>
      <c r="CY26">
        <f>IF(BA26&lt;&gt;-999,BA26*$CO26, -999)</f>
        <v>-16416498.843380637</v>
      </c>
      <c r="CZ26" s="27">
        <f>IF(BB26&lt;&gt;-999,BB26*$CO26, -999)</f>
        <v>-22116369.030372817</v>
      </c>
      <c r="DA26">
        <f t="shared" si="15"/>
        <v>-48.155000000000001</v>
      </c>
      <c r="DB26">
        <f>IF(BC26&lt;&gt;-999,BC26*$DA26, -999)</f>
        <v>-12976759.142771926</v>
      </c>
      <c r="DC26">
        <f>IF(BD26&lt;&gt;-999,BD26*$DA26, -999)</f>
        <v>-37375101.506403275</v>
      </c>
      <c r="DD26" s="27">
        <f>IF(BE26&lt;&gt;-999,BE26*$DA26, -999)</f>
        <v>-50351860.649175197</v>
      </c>
      <c r="DE26">
        <f t="shared" si="16"/>
        <v>-52.227000000000004</v>
      </c>
      <c r="DF26">
        <f>IF(BF26&lt;&gt;-999,BF26*$DE26, -999)</f>
        <v>-1262590.1980159534</v>
      </c>
      <c r="DG26">
        <f>IF(BG26&lt;&gt;-999,BG26*$DE26, -999)</f>
        <v>-3636457.6490854952</v>
      </c>
      <c r="DH26" s="27">
        <f>IF(BH26&lt;&gt;-999,BH26*$DE26, -999)</f>
        <v>-4899047.847101449</v>
      </c>
      <c r="DI26">
        <f t="shared" si="17"/>
        <v>-60.94</v>
      </c>
      <c r="DJ26">
        <f>IF(BI26&lt;&gt;-999,BI26*$DI26, -999)</f>
        <v>-9529125.230380455</v>
      </c>
      <c r="DK26">
        <f>IF(BJ26&lt;&gt;-999,BJ26*$DI26, -999)</f>
        <v>-27445379.22191551</v>
      </c>
      <c r="DL26" s="27">
        <f>IF(BK26&lt;&gt;-999,BK26*$DI26, -999)</f>
        <v>-36974504.452295966</v>
      </c>
      <c r="DM26" s="28">
        <f t="shared" si="18"/>
        <v>-156111899.61671689</v>
      </c>
      <c r="DN26" s="22">
        <f t="shared" si="19"/>
        <v>-17.170000000000002</v>
      </c>
      <c r="DO26">
        <f>IF(AT26&lt;&gt;-999,AT26*$DN26, -999)</f>
        <v>-4208055.1942473464</v>
      </c>
      <c r="DP26">
        <f>IF(AU26&lt;&gt;-999,AU26*$DN26, -999)</f>
        <v>-12119853.616045663</v>
      </c>
      <c r="DQ26" s="24">
        <f>IF(AV26&lt;&gt;-999,AV26*$DN26, -999)</f>
        <v>-16327908.81029301</v>
      </c>
      <c r="DR26">
        <f t="shared" si="20"/>
        <v>-19.943000000000001</v>
      </c>
      <c r="DS26">
        <f>IF(AW26&lt;&gt;-999,AW26*$DR26, -999)</f>
        <v>-438473.18381964695</v>
      </c>
      <c r="DT26">
        <f>IF(AX26&lt;&gt;-999,AX26*$DR26, -999)</f>
        <v>-1262875.8067660502</v>
      </c>
      <c r="DU26" s="24">
        <f>IF(AY26&lt;&gt;-999,AY26*$DR26, -999)</f>
        <v>-1701348.9905856973</v>
      </c>
      <c r="DV26">
        <f t="shared" si="21"/>
        <v>-25.870999999999999</v>
      </c>
      <c r="DW26">
        <f>IF(AZ26&lt;&gt;-999,AZ26*$DV26, -999)</f>
        <v>-3679170.8831070387</v>
      </c>
      <c r="DX26">
        <f>IF(BA26&lt;&gt;-999,BA26*$DV26, -999)</f>
        <v>-10596587.863700112</v>
      </c>
      <c r="DY26" s="24">
        <f>IF(BB26&lt;&gt;-999,BB26*$DV26, -999)</f>
        <v>-14275763.053512355</v>
      </c>
      <c r="DZ26">
        <f t="shared" si="22"/>
        <v>-25.245000000000001</v>
      </c>
      <c r="EA26">
        <f>IF(BC26&lt;&gt;-999, BC26*$DZ26, -999)</f>
        <v>-6802996.2529182285</v>
      </c>
      <c r="EB26">
        <f>IF(BD26&lt;&gt;-999, BD26*$DZ26, -999)</f>
        <v>-19593696.138078094</v>
      </c>
      <c r="EC26" s="24">
        <f>IF(BE26&lt;&gt;-999, BE26*$DZ26, -999)</f>
        <v>-26396692.390996322</v>
      </c>
      <c r="ED26">
        <f t="shared" si="23"/>
        <v>-29.317</v>
      </c>
      <c r="EE26">
        <f>IF(BF26&lt;&gt;-999,BF26*$ED26, -999)</f>
        <v>-708739.86319784215</v>
      </c>
      <c r="EF26">
        <f>IF(BG26&lt;&gt;-999,BG26*$ED26, -999)</f>
        <v>-2041281.882900405</v>
      </c>
      <c r="EG26" s="24">
        <f>IF(BH26&lt;&gt;-999,BH26*$ED26, -999)</f>
        <v>-2750021.7460982474</v>
      </c>
      <c r="EH26">
        <f t="shared" si="24"/>
        <v>-38.03</v>
      </c>
      <c r="EI26">
        <f>IF(BI26&lt;&gt;-999,BI26*$EH26, -999)</f>
        <v>-5946712.0530254142</v>
      </c>
      <c r="EJ26">
        <f>IF(BJ26&lt;&gt;-999,BJ26*$EH26, -999)</f>
        <v>-17127465.897759221</v>
      </c>
      <c r="EK26" s="24">
        <f>IF(BK26&lt;&gt;-999,BK26*$EH26, -999)</f>
        <v>-23074177.950784639</v>
      </c>
      <c r="EL26" s="28">
        <f t="shared" si="25"/>
        <v>-84525912.942270279</v>
      </c>
      <c r="EM26" s="22">
        <f>-17.17-(0.1023*G26)+H26*(100+102.093-66.644-64.243)</f>
        <v>29.942098213556243</v>
      </c>
      <c r="EN26">
        <f>IF(AT26&lt;&gt;-999,AT26*$EM26, -999)</f>
        <v>7338264.5261630462</v>
      </c>
      <c r="EO26">
        <f>IF(AU26&lt;&gt;-999,AU26*$EM26, -999)</f>
        <v>21135343.465670589</v>
      </c>
      <c r="EP26" s="23">
        <f>IF(AV26&lt;&gt;-999,AV26*$EM26, -999)</f>
        <v>28473607.991833635</v>
      </c>
      <c r="EQ26">
        <f>-19.943-(0.1023*G26)+H26*(100+102.093-66.644-64.243)</f>
        <v>27.169098213556246</v>
      </c>
      <c r="ER26">
        <f>IF(AW26&lt;&gt;-999,AW26*$EQ26, -999)</f>
        <v>597348.49296528555</v>
      </c>
      <c r="ES26">
        <f>IF(AX26&lt;&gt;-999,AX26*$EQ26, -999)</f>
        <v>1720463.1612872134</v>
      </c>
      <c r="ET26" s="23">
        <f>IF(AY26&lt;&gt;-999,AY26*$EQ26, -999)</f>
        <v>2317811.6542524989</v>
      </c>
      <c r="EU26">
        <f>-25.871-(0.1023*G26)+H26*(100+102.093-66.644-64.243)</f>
        <v>21.241098213556249</v>
      </c>
      <c r="EV26">
        <f>IF(AZ26&lt;&gt;-999,AZ26*$EU26, -999)</f>
        <v>3020742.5330498661</v>
      </c>
      <c r="EW26">
        <f>IF(BA26&lt;&gt;-999,BA26*$EU26, -999)</f>
        <v>8700211.1840065047</v>
      </c>
      <c r="EX26" s="23">
        <f>IF(BB26&lt;&gt;-999,BB26*$EU26, -999)</f>
        <v>11720957.253029013</v>
      </c>
      <c r="EY26">
        <f>-25.245-(0.1023*G26)+H26*(100+102.093-66.644-64.243)</f>
        <v>21.867098213556247</v>
      </c>
      <c r="EZ26">
        <f>IF(BC26&lt;&gt;-999, BC26*$EY26, -999)</f>
        <v>5892722.8048729664</v>
      </c>
      <c r="FA26">
        <f>IF(BD26&lt;&gt;-999, BD26*$EY26, -999)</f>
        <v>16971965.847412612</v>
      </c>
      <c r="FB26" s="23">
        <f>IF(BE26&lt;&gt;-999, BE26*$EY26, -999)</f>
        <v>22864688.652285576</v>
      </c>
      <c r="FC26">
        <f>-29.317-(0.1023*G26)+H26*(100+102.093-66.644-64.243)</f>
        <v>17.795098213556244</v>
      </c>
      <c r="FD26">
        <f>IF(BF26&lt;&gt;-999,BF26*$FC26, -999)</f>
        <v>430197.34193362272</v>
      </c>
      <c r="FE26">
        <f>IF(BG26&lt;&gt;-999,BG26*$FC26, -999)</f>
        <v>1239035.7672260369</v>
      </c>
      <c r="FF26" s="23">
        <f>IF(BH26&lt;&gt;-999,BH26*$FC26, -999)</f>
        <v>1669233.1091596598</v>
      </c>
      <c r="FG26">
        <f>-38.03-(0.1023*G26)+H26*(100+102.093-66.644-64.243)</f>
        <v>9.0820982135562431</v>
      </c>
      <c r="FH26">
        <f>IF(BI26&lt;&gt;-999,BI26*$FG26, -999)</f>
        <v>1420158.3726877596</v>
      </c>
      <c r="FI26">
        <f>IF(BJ26&lt;&gt;-999,BJ26*$FG26, -999)</f>
        <v>4090279.4486664343</v>
      </c>
      <c r="FJ26" s="23">
        <f>IF(BK26&lt;&gt;-999,BK26*$FG26, -999)</f>
        <v>5510437.8213541945</v>
      </c>
      <c r="FK26" s="28">
        <f t="shared" si="26"/>
        <v>72556736.48191458</v>
      </c>
      <c r="FL26" s="22">
        <f t="shared" si="28"/>
        <v>10.012280000000011</v>
      </c>
      <c r="FM26">
        <f>IF(AT26&lt;&gt;-999,AT26*$FL26, -999)</f>
        <v>2453828.0058391881</v>
      </c>
      <c r="FN26">
        <f>IF(AU26&lt;&gt;-999,AU26*$FL26, -999)</f>
        <v>7067406.4043600345</v>
      </c>
      <c r="FO26" s="29">
        <f>IF(AV26&lt;&gt;-999,AV26*$FL26, -999)</f>
        <v>9521234.4101992231</v>
      </c>
      <c r="FP26">
        <f t="shared" si="29"/>
        <v>7.2392800000000115</v>
      </c>
      <c r="FQ26">
        <f>IF(AW26&lt;&gt;-999,AW26*$FP26, -999)</f>
        <v>159165.12812324619</v>
      </c>
      <c r="FR26">
        <f>IF(AX26&lt;&gt;-999,AX26*$FP26, -999)</f>
        <v>458422.08145240665</v>
      </c>
      <c r="FS26" s="29">
        <f>IF(AY26&lt;&gt;-999,AY26*$FP26, -999)</f>
        <v>617587.20957565284</v>
      </c>
      <c r="FT26">
        <f t="shared" si="30"/>
        <v>1.3112800000000142</v>
      </c>
      <c r="FU26">
        <f>IF(AZ26&lt;&gt;-999,AZ26*$FT26, -999)</f>
        <v>186479.96581503036</v>
      </c>
      <c r="FV26">
        <f>IF(BA26&lt;&gt;-999,BA26*$FT26, -999)</f>
        <v>537091.48211947095</v>
      </c>
      <c r="FW26" s="29">
        <f>IF(BB26&lt;&gt;-999,BB26*$FT26, -999)</f>
        <v>723571.66622124717</v>
      </c>
      <c r="FX26">
        <f t="shared" si="31"/>
        <v>1.9372800000000119</v>
      </c>
      <c r="FY26">
        <f>IF(BC26&lt;&gt;-999, BC26*$FX26, -999)</f>
        <v>522056.1925471779</v>
      </c>
      <c r="FZ26">
        <f>IF(BD26&lt;&gt;-999, BD26*$FX26, -999)</f>
        <v>1503603.7098188221</v>
      </c>
      <c r="GA26" s="29">
        <f>IF(BE26&lt;&gt;-999, BE26*$FX26, -999)</f>
        <v>2025659.9023659998</v>
      </c>
      <c r="GB26">
        <f t="shared" si="32"/>
        <v>-2.1347199999999873</v>
      </c>
      <c r="GC26">
        <f>IF(BF26&lt;&gt;-999,BF26*$GB26, -999)</f>
        <v>-51606.957081750814</v>
      </c>
      <c r="GD26">
        <f>IF(BG26&lt;&gt;-999,BG26*$GB26, -999)</f>
        <v>-148636.12446925425</v>
      </c>
      <c r="GE26" s="29">
        <f>IF(BH26&lt;&gt;-999,BH26*$GB26, -999)</f>
        <v>-200243.08155100507</v>
      </c>
      <c r="GF26">
        <f t="shared" si="33"/>
        <v>-10.847719999999988</v>
      </c>
      <c r="GG26">
        <f>IF(BI26&lt;&gt;-999,BI26*$GF26, -999)</f>
        <v>-1696246.8385970227</v>
      </c>
      <c r="GH26">
        <f>IF(BJ26&lt;&gt;-999,BJ26*$GF26, -999)</f>
        <v>-4885457.6483944375</v>
      </c>
      <c r="GI26" s="29">
        <f>IF(BK26&lt;&gt;-999,BK26*$GF26, -999)</f>
        <v>-6581704.4869914604</v>
      </c>
      <c r="GJ26" s="30">
        <f t="shared" si="27"/>
        <v>6106105.6198196588</v>
      </c>
    </row>
    <row r="27" spans="1:192">
      <c r="A27" s="48" t="s">
        <v>138</v>
      </c>
      <c r="B27" s="48" t="s">
        <v>167</v>
      </c>
      <c r="C27" s="49">
        <v>109</v>
      </c>
      <c r="D27" s="50">
        <v>0.96599999999999997</v>
      </c>
      <c r="E27" s="49">
        <v>221.34398592963399</v>
      </c>
      <c r="F27" s="49">
        <v>0.75575554137672396</v>
      </c>
      <c r="G27" s="49">
        <v>85.686789230314901</v>
      </c>
      <c r="H27" s="49">
        <v>0.81735758444404305</v>
      </c>
      <c r="I27" s="42">
        <v>151707.29999999999</v>
      </c>
      <c r="J27" s="43">
        <v>-999</v>
      </c>
      <c r="K27" s="43">
        <f t="shared" si="0"/>
        <v>151707.29999999999</v>
      </c>
      <c r="L27" s="43">
        <v>85597.4</v>
      </c>
      <c r="M27" s="43">
        <v>-999</v>
      </c>
      <c r="N27" s="43">
        <f t="shared" si="1"/>
        <v>85597.4</v>
      </c>
      <c r="O27" s="43">
        <v>119672.6</v>
      </c>
      <c r="P27" s="43">
        <v>-999</v>
      </c>
      <c r="Q27" s="43">
        <f t="shared" si="2"/>
        <v>119672.6</v>
      </c>
      <c r="R27" s="43">
        <v>205938.2</v>
      </c>
      <c r="S27" s="43">
        <v>-999</v>
      </c>
      <c r="T27" s="43">
        <f t="shared" si="3"/>
        <v>205938.2</v>
      </c>
      <c r="U27" s="43">
        <v>116195.9</v>
      </c>
      <c r="V27" s="43">
        <v>-999</v>
      </c>
      <c r="W27" s="43">
        <f t="shared" si="4"/>
        <v>116195.9</v>
      </c>
      <c r="X27" s="43">
        <v>162452</v>
      </c>
      <c r="Y27" s="43">
        <v>-999</v>
      </c>
      <c r="Z27" s="43">
        <f t="shared" si="5"/>
        <v>162452</v>
      </c>
      <c r="AA27" s="22">
        <v>6956140.7000000002</v>
      </c>
      <c r="AB27">
        <v>-999</v>
      </c>
      <c r="AC27">
        <v>6956140.7000000002</v>
      </c>
      <c r="AD27">
        <v>3924843.1</v>
      </c>
      <c r="AE27">
        <v>-999</v>
      </c>
      <c r="AF27">
        <v>3924843.1</v>
      </c>
      <c r="AG27">
        <v>5487272.9000000004</v>
      </c>
      <c r="AH27">
        <v>-999</v>
      </c>
      <c r="AI27">
        <v>5487272.9000000004</v>
      </c>
      <c r="AJ27">
        <v>9442754.3000000007</v>
      </c>
      <c r="AK27">
        <v>-999</v>
      </c>
      <c r="AL27">
        <v>9442754.3000000007</v>
      </c>
      <c r="AM27">
        <v>5327857.9000000004</v>
      </c>
      <c r="AN27">
        <v>-999</v>
      </c>
      <c r="AO27">
        <v>5327857.9000000004</v>
      </c>
      <c r="AP27">
        <v>7448809.9000000004</v>
      </c>
      <c r="AQ27">
        <v>-999</v>
      </c>
      <c r="AR27">
        <v>7448809.9000000004</v>
      </c>
      <c r="AS27">
        <v>38587678.840000004</v>
      </c>
      <c r="AT27" s="22">
        <f t="shared" si="34"/>
        <v>11579779.429205632</v>
      </c>
      <c r="AU27">
        <f t="shared" si="34"/>
        <v>-999</v>
      </c>
      <c r="AV27">
        <f t="shared" si="34"/>
        <v>11579779.429205632</v>
      </c>
      <c r="AW27">
        <f t="shared" si="34"/>
        <v>6533625.3753808718</v>
      </c>
      <c r="AX27">
        <f t="shared" si="34"/>
        <v>-999</v>
      </c>
      <c r="AY27">
        <f t="shared" si="34"/>
        <v>6533625.3753808718</v>
      </c>
      <c r="AZ27">
        <f t="shared" si="34"/>
        <v>9134578.0067182276</v>
      </c>
      <c r="BA27">
        <f t="shared" si="34"/>
        <v>-999</v>
      </c>
      <c r="BB27">
        <f t="shared" si="34"/>
        <v>9134578.0067182276</v>
      </c>
      <c r="BC27">
        <f t="shared" si="34"/>
        <v>15719206.484449495</v>
      </c>
      <c r="BD27">
        <f t="shared" si="34"/>
        <v>-999</v>
      </c>
      <c r="BE27">
        <f t="shared" si="34"/>
        <v>15719206.484449495</v>
      </c>
      <c r="BF27">
        <f t="shared" si="34"/>
        <v>8869202.3311361037</v>
      </c>
      <c r="BG27">
        <f t="shared" si="34"/>
        <v>-999</v>
      </c>
      <c r="BH27">
        <f t="shared" si="34"/>
        <v>8869202.3311361037</v>
      </c>
      <c r="BI27">
        <f t="shared" si="34"/>
        <v>12399918.197756303</v>
      </c>
      <c r="BJ27">
        <f t="shared" si="7"/>
        <v>-999</v>
      </c>
      <c r="BK27">
        <f t="shared" si="7"/>
        <v>12399918.197756303</v>
      </c>
      <c r="BL27">
        <f t="shared" si="7"/>
        <v>64236309.891234018</v>
      </c>
      <c r="BM27" s="22">
        <f>-17.17-(0.1023*E27)+F27*(100-8.576-13.681)</f>
        <v>18.941213292649103</v>
      </c>
      <c r="BN27">
        <f>IF(AT27&lt;&gt;-999,AT27*$BM27, -999)</f>
        <v>219335072.05041435</v>
      </c>
      <c r="BO27">
        <f>IF(AU27&lt;&gt;-999,AU27*$BM27, -999)</f>
        <v>-999</v>
      </c>
      <c r="BP27" s="25">
        <f>IF(AV27&lt;&gt;-999,AV27*$BM27, -999)</f>
        <v>219335072.05041435</v>
      </c>
      <c r="BQ27">
        <f>-19.943-(0.1023*E27)+F27*(100-8.576-13.681)</f>
        <v>16.168213292649099</v>
      </c>
      <c r="BR27">
        <f>IF(AW27&lt;&gt;-999,AW27*$BQ27, -999)</f>
        <v>105637048.64342247</v>
      </c>
      <c r="BS27">
        <f>IF(AX27&lt;&gt;-999,AX27*$BQ27, -999)</f>
        <v>-999</v>
      </c>
      <c r="BT27" s="25">
        <f>IF(AY27&lt;&gt;-999,AY27*$BQ27, -999)</f>
        <v>105637048.64342247</v>
      </c>
      <c r="BU27">
        <f>-25.871-(0.1023*E27)+F27*(100-8.576-13.681)</f>
        <v>10.240213292649102</v>
      </c>
      <c r="BV27">
        <f>IF(AZ27&lt;&gt;-999,AZ27*$BU27, -999)</f>
        <v>93540027.127136126</v>
      </c>
      <c r="BW27">
        <f>IF(BA27&lt;&gt;-999,BA27*$BU27, -999)</f>
        <v>-999</v>
      </c>
      <c r="BX27" s="25">
        <f>IF(BB27&lt;&gt;-999,BB27*$BU27, -999)</f>
        <v>93540027.127136126</v>
      </c>
      <c r="BY27">
        <f>-25.245-(0.1023*E27)+F27*(100-8.576-13.681)</f>
        <v>10.8662132926491</v>
      </c>
      <c r="BZ27">
        <f>IF(BC27&lt;&gt;-999,BC27*$BY27, -999)</f>
        <v>170808250.45122102</v>
      </c>
      <c r="CA27">
        <f>IF(BD27&lt;&gt;-999,BD27*$BY27, -999)</f>
        <v>-999</v>
      </c>
      <c r="CB27" s="25">
        <f>IF(BE27&lt;&gt;-999,BE27*$BY27, -999)</f>
        <v>170808250.45122102</v>
      </c>
      <c r="CC27">
        <f>-29.317-(0.1023*E27)+F27*(100-8.576-13.681)</f>
        <v>6.794213292649097</v>
      </c>
      <c r="CD27">
        <f>IF(BF27&lt;&gt;-999,BF27*$CC27, -999)</f>
        <v>60259252.373399273</v>
      </c>
      <c r="CE27">
        <f>IF(BG27&lt;&gt;-999,BG27*$CC27, -999)</f>
        <v>-999</v>
      </c>
      <c r="CF27" s="25">
        <f>IF(BH27&lt;&gt;-999,BH27*$CC27, -999)</f>
        <v>60259252.373399273</v>
      </c>
      <c r="CG27">
        <f>-38.03-(0.1023*E27)+F27*(100-8.576-13.681)</f>
        <v>-1.9187867073508968</v>
      </c>
      <c r="CH27">
        <f>IF(BI27&lt;&gt;-999,BI27*$CG27, -999)</f>
        <v>-23792798.210093286</v>
      </c>
      <c r="CI27">
        <f>IF(BJ27&lt;&gt;-999,BJ27*$CG27, -999)</f>
        <v>-999</v>
      </c>
      <c r="CJ27" s="25">
        <f>IF(BK27&lt;&gt;-999,BK27*$CG27, -999)</f>
        <v>-23792798.210093286</v>
      </c>
      <c r="CK27" s="26">
        <f t="shared" si="8"/>
        <v>625786852.43549991</v>
      </c>
      <c r="CL27">
        <f t="shared" si="9"/>
        <v>-21.64808361864376</v>
      </c>
      <c r="CM27">
        <f t="shared" si="10"/>
        <v>38.483794365624817</v>
      </c>
      <c r="CN27">
        <f t="shared" si="11"/>
        <v>-80.741265944035646</v>
      </c>
      <c r="CO27" s="22">
        <f t="shared" si="12"/>
        <v>-40.08</v>
      </c>
      <c r="CP27">
        <f>IF(AT27&lt;&gt;-999,AT27*$CO27, -999)</f>
        <v>-464117559.52256173</v>
      </c>
      <c r="CQ27">
        <f>IF(AU27&lt;&gt;-999,AU27*$CO27, -999)</f>
        <v>-999</v>
      </c>
      <c r="CR27" s="27">
        <f>IF(AV27&lt;&gt;-999,AV27*$CO27, -999)</f>
        <v>-464117559.52256173</v>
      </c>
      <c r="CS27">
        <f t="shared" si="13"/>
        <v>-42.853000000000002</v>
      </c>
      <c r="CT27">
        <f>IF(AW27&lt;&gt;-999,AW27*$CS27, -999)</f>
        <v>-279985448.21119648</v>
      </c>
      <c r="CU27">
        <f>IF(AX27&lt;&gt;-999,AX27*$CS27, -999)</f>
        <v>-999</v>
      </c>
      <c r="CV27" s="27">
        <f>IF(AY27&lt;&gt;-999,AY27*$CS27, -999)</f>
        <v>-279985448.21119648</v>
      </c>
      <c r="CW27">
        <f t="shared" si="14"/>
        <v>-48.780999999999999</v>
      </c>
      <c r="CX27">
        <f>IF(AZ27&lt;&gt;-999,AZ27*$CO27, -999)</f>
        <v>-366113886.50926656</v>
      </c>
      <c r="CY27">
        <f>IF(BA27&lt;&gt;-999,BA27*$CO27, -999)</f>
        <v>-999</v>
      </c>
      <c r="CZ27" s="27">
        <f>IF(BB27&lt;&gt;-999,BB27*$CO27, -999)</f>
        <v>-366113886.50926656</v>
      </c>
      <c r="DA27">
        <f t="shared" si="15"/>
        <v>-48.155000000000001</v>
      </c>
      <c r="DB27">
        <f>IF(BC27&lt;&gt;-999,BC27*$DA27, -999)</f>
        <v>-756958388.25866544</v>
      </c>
      <c r="DC27">
        <f>IF(BD27&lt;&gt;-999,BD27*$DA27, -999)</f>
        <v>-999</v>
      </c>
      <c r="DD27" s="27">
        <f>IF(BE27&lt;&gt;-999,BE27*$DA27, -999)</f>
        <v>-756958388.25866544</v>
      </c>
      <c r="DE27">
        <f t="shared" si="16"/>
        <v>-52.227000000000004</v>
      </c>
      <c r="DF27">
        <f>IF(BF27&lt;&gt;-999,BF27*$DE27, -999)</f>
        <v>-463211830.14824533</v>
      </c>
      <c r="DG27">
        <f>IF(BG27&lt;&gt;-999,BG27*$DE27, -999)</f>
        <v>-999</v>
      </c>
      <c r="DH27" s="27">
        <f>IF(BH27&lt;&gt;-999,BH27*$DE27, -999)</f>
        <v>-463211830.14824533</v>
      </c>
      <c r="DI27">
        <f t="shared" si="17"/>
        <v>-60.94</v>
      </c>
      <c r="DJ27">
        <f>IF(BI27&lt;&gt;-999,BI27*$DI27, -999)</f>
        <v>-755651014.97126913</v>
      </c>
      <c r="DK27">
        <f>IF(BJ27&lt;&gt;-999,BJ27*$DI27, -999)</f>
        <v>-999</v>
      </c>
      <c r="DL27" s="27">
        <f>IF(BK27&lt;&gt;-999,BK27*$DI27, -999)</f>
        <v>-755651014.97126913</v>
      </c>
      <c r="DM27" s="28">
        <f t="shared" si="18"/>
        <v>-3086038127.6212049</v>
      </c>
      <c r="DN27" s="22">
        <f t="shared" si="19"/>
        <v>-17.170000000000002</v>
      </c>
      <c r="DO27">
        <f>IF(AT27&lt;&gt;-999,AT27*$DN27, -999)</f>
        <v>-198824812.79946071</v>
      </c>
      <c r="DP27">
        <f>IF(AU27&lt;&gt;-999,AU27*$DN27, -999)</f>
        <v>-999</v>
      </c>
      <c r="DQ27" s="24">
        <f>IF(AV27&lt;&gt;-999,AV27*$DN27, -999)</f>
        <v>-198824812.79946071</v>
      </c>
      <c r="DR27">
        <f t="shared" si="20"/>
        <v>-19.943000000000001</v>
      </c>
      <c r="DS27">
        <f>IF(AW27&lt;&gt;-999,AW27*$DR27, -999)</f>
        <v>-130300090.86122073</v>
      </c>
      <c r="DT27">
        <f>IF(AX27&lt;&gt;-999,AX27*$DR27, -999)</f>
        <v>-999</v>
      </c>
      <c r="DU27" s="24">
        <f>IF(AY27&lt;&gt;-999,AY27*$DR27, -999)</f>
        <v>-130300090.86122073</v>
      </c>
      <c r="DV27">
        <f t="shared" si="21"/>
        <v>-25.870999999999999</v>
      </c>
      <c r="DW27">
        <f>IF(AZ27&lt;&gt;-999,AZ27*$DV27, -999)</f>
        <v>-236320667.61180726</v>
      </c>
      <c r="DX27">
        <f>IF(BA27&lt;&gt;-999,BA27*$DV27, -999)</f>
        <v>-999</v>
      </c>
      <c r="DY27" s="24">
        <f>IF(BB27&lt;&gt;-999,BB27*$DV27, -999)</f>
        <v>-236320667.61180726</v>
      </c>
      <c r="DZ27">
        <f t="shared" si="22"/>
        <v>-25.245000000000001</v>
      </c>
      <c r="EA27">
        <f>IF(BC27&lt;&gt;-999, BC27*$DZ27, -999)</f>
        <v>-396831367.69992751</v>
      </c>
      <c r="EB27">
        <f>IF(BD27&lt;&gt;-999, BD27*$DZ27, -999)</f>
        <v>-999</v>
      </c>
      <c r="EC27" s="24">
        <f>IF(BE27&lt;&gt;-999, BE27*$DZ27, -999)</f>
        <v>-396831367.69992751</v>
      </c>
      <c r="ED27">
        <f t="shared" si="23"/>
        <v>-29.317</v>
      </c>
      <c r="EE27">
        <f>IF(BF27&lt;&gt;-999,BF27*$ED27, -999)</f>
        <v>-260018404.74191716</v>
      </c>
      <c r="EF27">
        <f>IF(BG27&lt;&gt;-999,BG27*$ED27, -999)</f>
        <v>-999</v>
      </c>
      <c r="EG27" s="24">
        <f>IF(BH27&lt;&gt;-999,BH27*$ED27, -999)</f>
        <v>-260018404.74191716</v>
      </c>
      <c r="EH27">
        <f t="shared" si="24"/>
        <v>-38.03</v>
      </c>
      <c r="EI27">
        <f>IF(BI27&lt;&gt;-999,BI27*$EH27, -999)</f>
        <v>-471568889.06067222</v>
      </c>
      <c r="EJ27">
        <f>IF(BJ27&lt;&gt;-999,BJ27*$EH27, -999)</f>
        <v>-999</v>
      </c>
      <c r="EK27" s="24">
        <f>IF(BK27&lt;&gt;-999,BK27*$EH27, -999)</f>
        <v>-471568889.06067222</v>
      </c>
      <c r="EL27" s="28">
        <f t="shared" si="25"/>
        <v>-1693864232.7750056</v>
      </c>
      <c r="EM27" s="22">
        <f>-17.17-(0.1023*G27)+H27*(100+102.093-66.644-64.243)</f>
        <v>32.265005619661324</v>
      </c>
      <c r="EN27">
        <f>IF(AT27&lt;&gt;-999,AT27*$EM27, -999)</f>
        <v>373621648.35775828</v>
      </c>
      <c r="EO27">
        <f>IF(AU27&lt;&gt;-999,AU27*$EM27, -999)</f>
        <v>-999</v>
      </c>
      <c r="EP27" s="23">
        <f>IF(AV27&lt;&gt;-999,AV27*$EM27, -999)</f>
        <v>373621648.35775828</v>
      </c>
      <c r="EQ27">
        <f>-19.943-(0.1023*G27)+H27*(100+102.093-66.644-64.243)</f>
        <v>29.492005619661327</v>
      </c>
      <c r="ER27">
        <f>IF(AW27&lt;&gt;-999,AW27*$EQ27, -999)</f>
        <v>192689716.28749451</v>
      </c>
      <c r="ES27">
        <f>IF(AX27&lt;&gt;-999,AX27*$EQ27, -999)</f>
        <v>-999</v>
      </c>
      <c r="ET27" s="23">
        <f>IF(AY27&lt;&gt;-999,AY27*$EQ27, -999)</f>
        <v>192689716.28749451</v>
      </c>
      <c r="EU27">
        <f>-25.871-(0.1023*G27)+H27*(100+102.093-66.644-64.243)</f>
        <v>23.56400561966133</v>
      </c>
      <c r="EV27">
        <f>IF(AZ27&lt;&gt;-999,AZ27*$EU27, -999)</f>
        <v>215247247.4835431</v>
      </c>
      <c r="EW27">
        <f>IF(BA27&lt;&gt;-999,BA27*$EU27, -999)</f>
        <v>-999</v>
      </c>
      <c r="EX27" s="23">
        <f>IF(BB27&lt;&gt;-999,BB27*$EU27, -999)</f>
        <v>215247247.4835431</v>
      </c>
      <c r="EY27">
        <f>-25.245-(0.1023*G27)+H27*(100+102.093-66.644-64.243)</f>
        <v>24.190005619661328</v>
      </c>
      <c r="EZ27">
        <f>IF(BC27&lt;&gt;-999, BC27*$EY27, -999)</f>
        <v>380247693.19545007</v>
      </c>
      <c r="FA27">
        <f>IF(BD27&lt;&gt;-999, BD27*$EY27, -999)</f>
        <v>-999</v>
      </c>
      <c r="FB27" s="23">
        <f>IF(BE27&lt;&gt;-999, BE27*$EY27, -999)</f>
        <v>380247693.19545007</v>
      </c>
      <c r="FC27">
        <f>-29.317-(0.1023*G27)+H27*(100+102.093-66.644-64.243)</f>
        <v>20.118005619661325</v>
      </c>
      <c r="FD27">
        <f>IF(BF27&lt;&gt;-999,BF27*$FC27, -999)</f>
        <v>178430662.33970946</v>
      </c>
      <c r="FE27">
        <f>IF(BG27&lt;&gt;-999,BG27*$FC27, -999)</f>
        <v>-999</v>
      </c>
      <c r="FF27" s="23">
        <f>IF(BH27&lt;&gt;-999,BH27*$FC27, -999)</f>
        <v>178430662.33970946</v>
      </c>
      <c r="FG27">
        <f>-38.03-(0.1023*G27)+H27*(100+102.093-66.644-64.243)</f>
        <v>11.405005619661324</v>
      </c>
      <c r="FH27">
        <f>IF(BI27&lt;&gt;-999,BI27*$FG27, -999)</f>
        <v>141421136.72875136</v>
      </c>
      <c r="FI27">
        <f>IF(BJ27&lt;&gt;-999,BJ27*$FG27, -999)</f>
        <v>-999</v>
      </c>
      <c r="FJ27" s="23">
        <f>IF(BK27&lt;&gt;-999,BK27*$FG27, -999)</f>
        <v>141421136.72875136</v>
      </c>
      <c r="FK27" s="28">
        <f t="shared" si="26"/>
        <v>1481658104.3927069</v>
      </c>
      <c r="FL27" s="22">
        <f t="shared" si="28"/>
        <v>10.012280000000011</v>
      </c>
      <c r="FM27">
        <f>IF(AT27&lt;&gt;-999,AT27*$FL27, -999)</f>
        <v>115939993.98344709</v>
      </c>
      <c r="FN27">
        <f>IF(AU27&lt;&gt;-999,AU27*$FL27, -999)</f>
        <v>-999</v>
      </c>
      <c r="FO27" s="29">
        <f>IF(AV27&lt;&gt;-999,AV27*$FL27, -999)</f>
        <v>115939993.98344709</v>
      </c>
      <c r="FP27">
        <f t="shared" si="29"/>
        <v>7.2392800000000115</v>
      </c>
      <c r="FQ27">
        <f>IF(AW27&lt;&gt;-999,AW27*$FP27, -999)</f>
        <v>47298743.507487312</v>
      </c>
      <c r="FR27">
        <f>IF(AX27&lt;&gt;-999,AX27*$FP27, -999)</f>
        <v>-999</v>
      </c>
      <c r="FS27" s="29">
        <f>IF(AY27&lt;&gt;-999,AY27*$FP27, -999)</f>
        <v>47298743.507487312</v>
      </c>
      <c r="FT27">
        <f t="shared" si="30"/>
        <v>1.3112800000000142</v>
      </c>
      <c r="FU27">
        <f>IF(AZ27&lt;&gt;-999,AZ27*$FT27, -999)</f>
        <v>11977989.448649608</v>
      </c>
      <c r="FV27">
        <f>IF(BA27&lt;&gt;-999,BA27*$FT27, -999)</f>
        <v>-999</v>
      </c>
      <c r="FW27" s="29">
        <f>IF(BB27&lt;&gt;-999,BB27*$FT27, -999)</f>
        <v>11977989.448649608</v>
      </c>
      <c r="FX27">
        <f t="shared" si="31"/>
        <v>1.9372800000000119</v>
      </c>
      <c r="FY27">
        <f>IF(BC27&lt;&gt;-999, BC27*$FX27, -999)</f>
        <v>30452504.338194504</v>
      </c>
      <c r="FZ27">
        <f>IF(BD27&lt;&gt;-999, BD27*$FX27, -999)</f>
        <v>-999</v>
      </c>
      <c r="GA27" s="29">
        <f>IF(BE27&lt;&gt;-999, BE27*$FX27, -999)</f>
        <v>30452504.338194504</v>
      </c>
      <c r="GB27">
        <f t="shared" si="32"/>
        <v>-2.1347199999999873</v>
      </c>
      <c r="GC27">
        <f>IF(BF27&lt;&gt;-999,BF27*$GB27, -999)</f>
        <v>-18933263.600322749</v>
      </c>
      <c r="GD27">
        <f>IF(BG27&lt;&gt;-999,BG27*$GB27, -999)</f>
        <v>-999</v>
      </c>
      <c r="GE27" s="29">
        <f>IF(BH27&lt;&gt;-999,BH27*$GB27, -999)</f>
        <v>-18933263.600322749</v>
      </c>
      <c r="GF27">
        <f t="shared" si="33"/>
        <v>-10.847719999999988</v>
      </c>
      <c r="GG27">
        <f>IF(BI27&lt;&gt;-999,BI27*$GF27, -999)</f>
        <v>-134510840.63216487</v>
      </c>
      <c r="GH27">
        <f>IF(BJ27&lt;&gt;-999,BJ27*$GF27, -999)</f>
        <v>-999</v>
      </c>
      <c r="GI27" s="29">
        <f>IF(BK27&lt;&gt;-999,BK27*$GF27, -999)</f>
        <v>-134510840.63216487</v>
      </c>
      <c r="GJ27" s="30">
        <f t="shared" si="27"/>
        <v>52225127.045290887</v>
      </c>
    </row>
    <row r="28" spans="1:192">
      <c r="A28" s="48" t="s">
        <v>146</v>
      </c>
      <c r="B28" s="48" t="s">
        <v>168</v>
      </c>
      <c r="C28" s="49">
        <v>61</v>
      </c>
      <c r="D28" s="50">
        <v>0.96299999999999997</v>
      </c>
      <c r="E28" s="49">
        <v>80.087918706316401</v>
      </c>
      <c r="F28" s="49">
        <v>0.78697517626763103</v>
      </c>
      <c r="G28" s="49">
        <v>339.57073442351702</v>
      </c>
      <c r="H28" s="49">
        <v>0.79924512453026297</v>
      </c>
      <c r="I28" s="42">
        <v>4884.6000000000004</v>
      </c>
      <c r="J28" s="43">
        <v>4535.7</v>
      </c>
      <c r="K28" s="43">
        <f t="shared" si="0"/>
        <v>9420.2999999999993</v>
      </c>
      <c r="L28" s="43">
        <v>4390.3999999999996</v>
      </c>
      <c r="M28" s="43">
        <v>4076.8</v>
      </c>
      <c r="N28" s="43">
        <f t="shared" si="1"/>
        <v>8467.2000000000007</v>
      </c>
      <c r="O28" s="43">
        <v>6036.1</v>
      </c>
      <c r="P28" s="43">
        <v>5605</v>
      </c>
      <c r="Q28" s="43">
        <f t="shared" si="2"/>
        <v>11641.1</v>
      </c>
      <c r="R28" s="43">
        <v>4612</v>
      </c>
      <c r="S28" s="43">
        <v>4282.5</v>
      </c>
      <c r="T28" s="43">
        <f t="shared" si="3"/>
        <v>8894.5</v>
      </c>
      <c r="U28" s="43">
        <v>4145.3999999999996</v>
      </c>
      <c r="V28" s="43">
        <v>3849.3</v>
      </c>
      <c r="W28" s="43">
        <f t="shared" si="4"/>
        <v>7994.7</v>
      </c>
      <c r="X28" s="43">
        <v>5699.2</v>
      </c>
      <c r="Y28" s="43">
        <v>5292.1</v>
      </c>
      <c r="Z28" s="43">
        <f t="shared" si="5"/>
        <v>10991.3</v>
      </c>
      <c r="AA28" s="22">
        <v>71592.100000000006</v>
      </c>
      <c r="AB28">
        <v>60038.5</v>
      </c>
      <c r="AC28">
        <v>131630.5</v>
      </c>
      <c r="AD28">
        <v>64349</v>
      </c>
      <c r="AE28">
        <v>53964.3</v>
      </c>
      <c r="AF28">
        <v>118313.2</v>
      </c>
      <c r="AG28">
        <v>88469.5</v>
      </c>
      <c r="AH28">
        <v>74192.2</v>
      </c>
      <c r="AI28">
        <v>162661.79999999999</v>
      </c>
      <c r="AJ28">
        <v>67595.7</v>
      </c>
      <c r="AK28">
        <v>56687.1</v>
      </c>
      <c r="AL28">
        <v>124282.8</v>
      </c>
      <c r="AM28">
        <v>60756.9</v>
      </c>
      <c r="AN28">
        <v>50951.9</v>
      </c>
      <c r="AO28">
        <v>111708.9</v>
      </c>
      <c r="AP28">
        <v>83531.100000000006</v>
      </c>
      <c r="AQ28">
        <v>70050.7</v>
      </c>
      <c r="AR28">
        <v>153581.79999999999</v>
      </c>
      <c r="AS28">
        <v>802178.96</v>
      </c>
      <c r="AT28" s="22">
        <f t="shared" si="34"/>
        <v>119178.25740264752</v>
      </c>
      <c r="AU28">
        <f t="shared" si="34"/>
        <v>99945.158852287495</v>
      </c>
      <c r="AV28">
        <f t="shared" si="34"/>
        <v>219123.24978648749</v>
      </c>
      <c r="AW28">
        <f t="shared" si="34"/>
        <v>107120.78128177499</v>
      </c>
      <c r="AX28">
        <f t="shared" si="34"/>
        <v>89833.532414242509</v>
      </c>
      <c r="AY28">
        <f t="shared" si="34"/>
        <v>196954.14722756998</v>
      </c>
      <c r="AZ28">
        <f t="shared" si="34"/>
        <v>147273.8031610125</v>
      </c>
      <c r="BA28">
        <f t="shared" si="34"/>
        <v>123506.60350609501</v>
      </c>
      <c r="BB28">
        <f t="shared" si="34"/>
        <v>270780.57313555502</v>
      </c>
      <c r="BC28">
        <f t="shared" si="34"/>
        <v>112525.5123667575</v>
      </c>
      <c r="BD28">
        <f t="shared" si="34"/>
        <v>94366.135302772498</v>
      </c>
      <c r="BE28">
        <f t="shared" si="34"/>
        <v>206891.64766953001</v>
      </c>
      <c r="BF28">
        <f t="shared" si="34"/>
        <v>101141.0681791275</v>
      </c>
      <c r="BG28">
        <f t="shared" si="34"/>
        <v>84818.836901752496</v>
      </c>
      <c r="BH28">
        <f t="shared" si="34"/>
        <v>185960.07154932749</v>
      </c>
      <c r="BI28">
        <f t="shared" si="34"/>
        <v>139052.9253496725</v>
      </c>
      <c r="BJ28">
        <f t="shared" si="7"/>
        <v>116612.3127528825</v>
      </c>
      <c r="BK28">
        <f t="shared" si="7"/>
        <v>255665.23810255495</v>
      </c>
      <c r="BL28">
        <f t="shared" si="7"/>
        <v>1335374.8608836459</v>
      </c>
      <c r="BM28" s="22">
        <f>-17.17-(0.1023*E28)+F28*(100-8.576-13.681)</f>
        <v>35.818817044918276</v>
      </c>
      <c r="BN28">
        <f>IF(AT28&lt;&gt;-999,AT28*$BM28, -999)</f>
        <v>4268824.1976376083</v>
      </c>
      <c r="BO28">
        <f>IF(AU28&lt;&gt;-999,AU28*$BM28, -999)</f>
        <v>3579917.3594553801</v>
      </c>
      <c r="BP28" s="25">
        <f>IF(AV28&lt;&gt;-999,AV28*$BM28, -999)</f>
        <v>7848735.5943901232</v>
      </c>
      <c r="BQ28">
        <f>-19.943-(0.1023*E28)+F28*(100-8.576-13.681)</f>
        <v>33.045817044918273</v>
      </c>
      <c r="BR28">
        <f>IF(AW28&lt;&gt;-999,AW28*$BQ28, -999)</f>
        <v>3539893.7399462424</v>
      </c>
      <c r="BS28">
        <f>IF(AX28&lt;&gt;-999,AX28*$BQ28, -999)</f>
        <v>2968622.4766597934</v>
      </c>
      <c r="BT28" s="25">
        <f>IF(AY28&lt;&gt;-999,AY28*$BQ28, -999)</f>
        <v>6508510.7155201752</v>
      </c>
      <c r="BU28">
        <f>-25.871-(0.1023*E28)+F28*(100-8.576-13.681)</f>
        <v>27.117817044918276</v>
      </c>
      <c r="BV28">
        <f>IF(AZ28&lt;&gt;-999,AZ28*$BU28, -999)</f>
        <v>3993744.049629644</v>
      </c>
      <c r="BW28">
        <f>IF(BA28&lt;&gt;-999,BA28*$BU28, -999)</f>
        <v>3349229.4777175467</v>
      </c>
      <c r="BX28" s="25">
        <f>IF(BB28&lt;&gt;-999,BB28*$BU28, -999)</f>
        <v>7342978.0416080942</v>
      </c>
      <c r="BY28">
        <f>-25.245-(0.1023*E28)+F28*(100-8.576-13.681)</f>
        <v>27.743817044918273</v>
      </c>
      <c r="BZ28">
        <f>IF(BC28&lt;&gt;-999,BC28*$BY28, -999)</f>
        <v>3121887.2279890087</v>
      </c>
      <c r="CA28">
        <f>IF(BD28&lt;&gt;-999,BD28*$BY28, -999)</f>
        <v>2618076.7930761236</v>
      </c>
      <c r="CB28" s="25">
        <f>IF(BE28&lt;&gt;-999,BE28*$BY28, -999)</f>
        <v>5739964.0210651327</v>
      </c>
      <c r="CC28">
        <f>-29.317-(0.1023*E28)+F28*(100-8.576-13.681)</f>
        <v>23.671817044918278</v>
      </c>
      <c r="CD28">
        <f>IF(BF28&lt;&gt;-999,BF28*$CC28, -999)</f>
        <v>2394192.861663912</v>
      </c>
      <c r="CE28">
        <f>IF(BG28&lt;&gt;-999,BG28*$CC28, -999)</f>
        <v>2007815.9891010481</v>
      </c>
      <c r="CF28" s="25">
        <f>IF(BH28&lt;&gt;-999,BH28*$CC28, -999)</f>
        <v>4402012.7913755933</v>
      </c>
      <c r="CG28">
        <f>-38.03-(0.1023*E28)+F28*(100-8.576-13.681)</f>
        <v>14.958817044918277</v>
      </c>
      <c r="CH28">
        <f>IF(BI28&lt;&gt;-999,BI28*$CG28, -999)</f>
        <v>2080067.2698664297</v>
      </c>
      <c r="CI28">
        <f>IF(BJ28&lt;&gt;-999,BJ28*$CG28, -999)</f>
        <v>1744382.2516551598</v>
      </c>
      <c r="CJ28" s="25">
        <f>IF(BK28&lt;&gt;-999,BK28*$CG28, -999)</f>
        <v>3824449.5215215888</v>
      </c>
      <c r="CK28" s="26">
        <f t="shared" si="8"/>
        <v>35666650.685480706</v>
      </c>
      <c r="CL28">
        <f t="shared" si="9"/>
        <v>-38.26842361278414</v>
      </c>
      <c r="CM28">
        <f t="shared" si="10"/>
        <v>19.477997583791531</v>
      </c>
      <c r="CN28">
        <f t="shared" si="11"/>
        <v>-95.017354642359876</v>
      </c>
      <c r="CO28" s="22">
        <f t="shared" si="12"/>
        <v>-40.08</v>
      </c>
      <c r="CP28">
        <f>IF(AT28&lt;&gt;-999,AT28*$CO28, -999)</f>
        <v>-4776664.5566981127</v>
      </c>
      <c r="CQ28">
        <f>IF(AU28&lt;&gt;-999,AU28*$CO28, -999)</f>
        <v>-4005801.9667996825</v>
      </c>
      <c r="CR28" s="27">
        <f>IF(AV28&lt;&gt;-999,AV28*$CO28, -999)</f>
        <v>-8782459.851442419</v>
      </c>
      <c r="CS28">
        <f t="shared" si="13"/>
        <v>-42.853000000000002</v>
      </c>
      <c r="CT28">
        <f>IF(AW28&lt;&gt;-999,AW28*$CS28, -999)</f>
        <v>-4590446.8402679041</v>
      </c>
      <c r="CU28">
        <f>IF(AX28&lt;&gt;-999,AX28*$CS28, -999)</f>
        <v>-3849636.3645475344</v>
      </c>
      <c r="CV28" s="27">
        <f>IF(AY28&lt;&gt;-999,AY28*$CS28, -999)</f>
        <v>-8440076.0711430572</v>
      </c>
      <c r="CW28">
        <f t="shared" si="14"/>
        <v>-48.780999999999999</v>
      </c>
      <c r="CX28">
        <f>IF(AZ28&lt;&gt;-999,AZ28*$CO28, -999)</f>
        <v>-5902734.0306933811</v>
      </c>
      <c r="CY28">
        <f>IF(BA28&lt;&gt;-999,BA28*$CO28, -999)</f>
        <v>-4950144.6685242876</v>
      </c>
      <c r="CZ28" s="27">
        <f>IF(BB28&lt;&gt;-999,BB28*$CO28, -999)</f>
        <v>-10852885.371273044</v>
      </c>
      <c r="DA28">
        <f t="shared" si="15"/>
        <v>-48.155000000000001</v>
      </c>
      <c r="DB28">
        <f>IF(BC28&lt;&gt;-999,BC28*$DA28, -999)</f>
        <v>-5418666.0480212076</v>
      </c>
      <c r="DC28">
        <f>IF(BD28&lt;&gt;-999,BD28*$DA28, -999)</f>
        <v>-4544201.2455050098</v>
      </c>
      <c r="DD28" s="27">
        <f>IF(BE28&lt;&gt;-999,BE28*$DA28, -999)</f>
        <v>-9962867.2935262173</v>
      </c>
      <c r="DE28">
        <f t="shared" si="16"/>
        <v>-52.227000000000004</v>
      </c>
      <c r="DF28">
        <f>IF(BF28&lt;&gt;-999,BF28*$DE28, -999)</f>
        <v>-5282294.5677912924</v>
      </c>
      <c r="DG28">
        <f>IF(BG28&lt;&gt;-999,BG28*$DE28, -999)</f>
        <v>-4429833.3948678281</v>
      </c>
      <c r="DH28" s="27">
        <f>IF(BH28&lt;&gt;-999,BH28*$DE28, -999)</f>
        <v>-9712136.6568067279</v>
      </c>
      <c r="DI28">
        <f t="shared" si="17"/>
        <v>-60.94</v>
      </c>
      <c r="DJ28">
        <f>IF(BI28&lt;&gt;-999,BI28*$DI28, -999)</f>
        <v>-8473885.2708090413</v>
      </c>
      <c r="DK28">
        <f>IF(BJ28&lt;&gt;-999,BJ28*$DI28, -999)</f>
        <v>-7106354.3391606594</v>
      </c>
      <c r="DL28" s="27">
        <f>IF(BK28&lt;&gt;-999,BK28*$DI28, -999)</f>
        <v>-15580239.609969698</v>
      </c>
      <c r="DM28" s="28">
        <f t="shared" si="18"/>
        <v>-63330664.854161166</v>
      </c>
      <c r="DN28" s="22">
        <f t="shared" si="19"/>
        <v>-17.170000000000002</v>
      </c>
      <c r="DO28">
        <f>IF(AT28&lt;&gt;-999,AT28*$DN28, -999)</f>
        <v>-2046290.6796034581</v>
      </c>
      <c r="DP28">
        <f>IF(AU28&lt;&gt;-999,AU28*$DN28, -999)</f>
        <v>-1716058.3774937764</v>
      </c>
      <c r="DQ28" s="24">
        <f>IF(AV28&lt;&gt;-999,AV28*$DN28, -999)</f>
        <v>-3762346.1988339904</v>
      </c>
      <c r="DR28">
        <f t="shared" si="20"/>
        <v>-19.943000000000001</v>
      </c>
      <c r="DS28">
        <f>IF(AW28&lt;&gt;-999,AW28*$DR28, -999)</f>
        <v>-2136309.7411024389</v>
      </c>
      <c r="DT28">
        <f>IF(AX28&lt;&gt;-999,AX28*$DR28, -999)</f>
        <v>-1791550.1369372385</v>
      </c>
      <c r="DU28" s="24">
        <f>IF(AY28&lt;&gt;-999,AY28*$DR28, -999)</f>
        <v>-3927856.5581594282</v>
      </c>
      <c r="DV28">
        <f t="shared" si="21"/>
        <v>-25.870999999999999</v>
      </c>
      <c r="DW28">
        <f>IF(AZ28&lt;&gt;-999,AZ28*$DV28, -999)</f>
        <v>-3810120.5615785541</v>
      </c>
      <c r="DX28">
        <f>IF(BA28&lt;&gt;-999,BA28*$DV28, -999)</f>
        <v>-3195239.3393061836</v>
      </c>
      <c r="DY28" s="24">
        <f>IF(BB28&lt;&gt;-999,BB28*$DV28, -999)</f>
        <v>-7005364.2075899439</v>
      </c>
      <c r="DZ28">
        <f t="shared" si="22"/>
        <v>-25.245000000000001</v>
      </c>
      <c r="EA28">
        <f>IF(BC28&lt;&gt;-999, BC28*$DZ28, -999)</f>
        <v>-2840706.5596987931</v>
      </c>
      <c r="EB28">
        <f>IF(BD28&lt;&gt;-999, BD28*$DZ28, -999)</f>
        <v>-2382273.0857184916</v>
      </c>
      <c r="EC28" s="24">
        <f>IF(BE28&lt;&gt;-999, BE28*$DZ28, -999)</f>
        <v>-5222979.6454172852</v>
      </c>
      <c r="ED28">
        <f t="shared" si="23"/>
        <v>-29.317</v>
      </c>
      <c r="EE28">
        <f>IF(BF28&lt;&gt;-999,BF28*$ED28, -999)</f>
        <v>-2965152.6958074807</v>
      </c>
      <c r="EF28">
        <f>IF(BG28&lt;&gt;-999,BG28*$ED28, -999)</f>
        <v>-2486633.8414486782</v>
      </c>
      <c r="EG28" s="24">
        <f>IF(BH28&lt;&gt;-999,BH28*$ED28, -999)</f>
        <v>-5451791.4176116344</v>
      </c>
      <c r="EH28">
        <f t="shared" si="24"/>
        <v>-38.03</v>
      </c>
      <c r="EI28">
        <f>IF(BI28&lt;&gt;-999,BI28*$EH28, -999)</f>
        <v>-5288182.7510480452</v>
      </c>
      <c r="EJ28">
        <f>IF(BJ28&lt;&gt;-999,BJ28*$EH28, -999)</f>
        <v>-4434766.2539921217</v>
      </c>
      <c r="EK28" s="24">
        <f>IF(BK28&lt;&gt;-999,BK28*$EH28, -999)</f>
        <v>-9722949.005040165</v>
      </c>
      <c r="EL28" s="28">
        <f t="shared" si="25"/>
        <v>-35093287.032652453</v>
      </c>
      <c r="EM28" s="22">
        <f>-17.17-(0.1023*G28)+H28*(100+102.093-66.644-64.243)</f>
        <v>5.0029622057761287</v>
      </c>
      <c r="EN28">
        <f>IF(AT28&lt;&gt;-999,AT28*$EM28, -999)</f>
        <v>596244.3175357047</v>
      </c>
      <c r="EO28">
        <f>IF(AU28&lt;&gt;-999,AU28*$EM28, -999)</f>
        <v>500021.8523882858</v>
      </c>
      <c r="EP28" s="23">
        <f>IF(AV28&lt;&gt;-999,AV28*$EM28, -999)</f>
        <v>1096265.3370886391</v>
      </c>
      <c r="EQ28">
        <f>-19.943-(0.1023*G28)+H28*(100+102.093-66.644-64.243)</f>
        <v>2.2299622057761326</v>
      </c>
      <c r="ER28">
        <f>IF(AW28&lt;&gt;-999,AW28*$EQ28, -999)</f>
        <v>238875.29371156963</v>
      </c>
      <c r="ES28">
        <f>IF(AX28&lt;&gt;-999,AX28*$EQ28, -999)</f>
        <v>200325.38209512594</v>
      </c>
      <c r="ET28" s="23">
        <f>IF(AY28&lt;&gt;-999,AY28*$EQ28, -999)</f>
        <v>439200.30458834913</v>
      </c>
      <c r="EU28">
        <f>-25.871-(0.1023*G28)+H28*(100+102.093-66.644-64.243)</f>
        <v>-3.6980377942238647</v>
      </c>
      <c r="EV28">
        <f>IF(AZ28&lt;&gt;-999,AZ28*$EU28, -999)</f>
        <v>-544624.09018851037</v>
      </c>
      <c r="EW28">
        <f>IF(BA28&lt;&gt;-999,BA28*$EU28, -999)</f>
        <v>-456732.08760176104</v>
      </c>
      <c r="EX28" s="23">
        <f>IF(BB28&lt;&gt;-999,BB28*$EU28, -999)</f>
        <v>-1001356.7933968818</v>
      </c>
      <c r="EY28">
        <f>-25.245-(0.1023*G28)+H28*(100+102.093-66.644-64.243)</f>
        <v>-3.0720377942238741</v>
      </c>
      <c r="EZ28">
        <f>IF(BC28&lt;&gt;-999, BC28*$EY28, -999)</f>
        <v>-345682.62680508499</v>
      </c>
      <c r="FA28">
        <f>IF(BD28&lt;&gt;-999, BD28*$EY28, -999)</f>
        <v>-289896.33414496086</v>
      </c>
      <c r="FB28" s="23">
        <f>IF(BE28&lt;&gt;-999, BE28*$EY28, -999)</f>
        <v>-635578.96095004585</v>
      </c>
      <c r="FC28">
        <f>-29.317-(0.1023*G28)+H28*(100+102.093-66.644-64.243)</f>
        <v>-7.1440377942238769</v>
      </c>
      <c r="FD28">
        <f>IF(BF28&lt;&gt;-999,BF28*$FC28, -999)</f>
        <v>-722555.61361986073</v>
      </c>
      <c r="FE28">
        <f>IF(BG28&lt;&gt;-999,BG28*$FC28, -999)</f>
        <v>-605948.97648823063</v>
      </c>
      <c r="FF28" s="23">
        <f>IF(BH28&lt;&gt;-999,BH28*$FC28, -999)</f>
        <v>-1328505.7793649719</v>
      </c>
      <c r="FG28">
        <f>-38.03-(0.1023*G28)+H28*(100+102.093-66.644-64.243)</f>
        <v>-15.857037794223871</v>
      </c>
      <c r="FH28">
        <f>IF(BI28&lt;&gt;-999,BI28*$FG28, -999)</f>
        <v>-2204967.4926671474</v>
      </c>
      <c r="FI28">
        <f>IF(BJ28&lt;&gt;-999,BJ28*$FG28, -999)</f>
        <v>-1849125.850594312</v>
      </c>
      <c r="FJ28" s="23">
        <f>IF(BK28&lt;&gt;-999,BK28*$FG28, -999)</f>
        <v>-4054093.3432614589</v>
      </c>
      <c r="FK28" s="28">
        <f t="shared" si="26"/>
        <v>-5484069.2352963705</v>
      </c>
      <c r="FL28" s="22">
        <f t="shared" si="28"/>
        <v>10.012280000000011</v>
      </c>
      <c r="FM28">
        <f>IF(AT28&lt;&gt;-999,AT28*$FL28, -999)</f>
        <v>1193246.083027381</v>
      </c>
      <c r="FN28">
        <f>IF(AU28&lt;&gt;-999,AU28*$FL28, -999)</f>
        <v>1000678.9150735822</v>
      </c>
      <c r="FO28" s="29">
        <f>IF(AV28&lt;&gt;-999,AV28*$FL28, -999)</f>
        <v>2193923.3313722555</v>
      </c>
      <c r="FP28">
        <f t="shared" si="29"/>
        <v>7.2392800000000115</v>
      </c>
      <c r="FQ28">
        <f>IF(AW28&lt;&gt;-999,AW28*$FP28, -999)</f>
        <v>775477.32951752935</v>
      </c>
      <c r="FR28">
        <f>IF(AX28&lt;&gt;-999,AX28*$FP28, -999)</f>
        <v>650330.09453577851</v>
      </c>
      <c r="FS28" s="29">
        <f>IF(AY28&lt;&gt;-999,AY28*$FP28, -999)</f>
        <v>1425806.218941605</v>
      </c>
      <c r="FT28">
        <f t="shared" si="30"/>
        <v>1.3112800000000142</v>
      </c>
      <c r="FU28">
        <f>IF(AZ28&lt;&gt;-999,AZ28*$FT28, -999)</f>
        <v>193117.19260897458</v>
      </c>
      <c r="FV28">
        <f>IF(BA28&lt;&gt;-999,BA28*$FT28, -999)</f>
        <v>161951.73904547401</v>
      </c>
      <c r="FW28" s="29">
        <f>IF(BB28&lt;&gt;-999,BB28*$FT28, -999)</f>
        <v>355069.14994119445</v>
      </c>
      <c r="FX28">
        <f t="shared" si="31"/>
        <v>1.9372800000000119</v>
      </c>
      <c r="FY28">
        <f>IF(BC28&lt;&gt;-999, BC28*$FX28, -999)</f>
        <v>217993.42459787329</v>
      </c>
      <c r="FZ28">
        <f>IF(BD28&lt;&gt;-999, BD28*$FX28, -999)</f>
        <v>182813.62659935621</v>
      </c>
      <c r="GA28" s="29">
        <f>IF(BE28&lt;&gt;-999, BE28*$FX28, -999)</f>
        <v>400807.05119722954</v>
      </c>
      <c r="GB28">
        <f t="shared" si="32"/>
        <v>-2.1347199999999873</v>
      </c>
      <c r="GC28">
        <f>IF(BF28&lt;&gt;-999,BF28*$GB28, -999)</f>
        <v>-215907.86106334577</v>
      </c>
      <c r="GD28">
        <f>IF(BG28&lt;&gt;-999,BG28*$GB28, -999)</f>
        <v>-181064.467510908</v>
      </c>
      <c r="GE28" s="29">
        <f>IF(BH28&lt;&gt;-999,BH28*$GB28, -999)</f>
        <v>-396972.683937778</v>
      </c>
      <c r="GF28">
        <f t="shared" si="33"/>
        <v>-10.847719999999988</v>
      </c>
      <c r="GG28">
        <f>IF(BI28&lt;&gt;-999,BI28*$GF28, -999)</f>
        <v>-1508407.1993741477</v>
      </c>
      <c r="GH28">
        <f>IF(BJ28&lt;&gt;-999,BJ28*$GF28, -999)</f>
        <v>-1264977.7172956972</v>
      </c>
      <c r="GI28" s="29">
        <f>IF(BK28&lt;&gt;-999,BK28*$GF28, -999)</f>
        <v>-2773384.9166698446</v>
      </c>
      <c r="GJ28" s="30">
        <f t="shared" si="27"/>
        <v>1205248.1508446615</v>
      </c>
    </row>
    <row r="29" spans="1:192">
      <c r="A29" s="48" t="s">
        <v>151</v>
      </c>
      <c r="B29" s="48" t="s">
        <v>169</v>
      </c>
      <c r="C29" s="49">
        <v>150</v>
      </c>
      <c r="D29" s="50">
        <v>0.96299999999999997</v>
      </c>
      <c r="E29" s="49">
        <v>89.605552943342005</v>
      </c>
      <c r="F29" s="49">
        <v>0.78986997443433804</v>
      </c>
      <c r="G29" s="49">
        <v>303.60144294653998</v>
      </c>
      <c r="H29" s="49">
        <v>0.80178680115718004</v>
      </c>
      <c r="I29" s="42">
        <v>2471.5</v>
      </c>
      <c r="J29" s="43">
        <v>12700.1</v>
      </c>
      <c r="K29" s="43">
        <f t="shared" si="0"/>
        <v>15171.6</v>
      </c>
      <c r="L29" s="43">
        <v>854.1</v>
      </c>
      <c r="M29" s="43">
        <v>4388.8</v>
      </c>
      <c r="N29" s="43">
        <f t="shared" si="1"/>
        <v>5242.9000000000005</v>
      </c>
      <c r="O29" s="43">
        <v>2671.8</v>
      </c>
      <c r="P29" s="43">
        <v>13729</v>
      </c>
      <c r="Q29" s="43">
        <f t="shared" si="2"/>
        <v>16400.8</v>
      </c>
      <c r="R29" s="43">
        <v>4732.6000000000004</v>
      </c>
      <c r="S29" s="43">
        <v>24318.5</v>
      </c>
      <c r="T29" s="43">
        <f t="shared" si="3"/>
        <v>29051.1</v>
      </c>
      <c r="U29" s="43">
        <v>1635.4</v>
      </c>
      <c r="V29" s="43">
        <v>8403.7999999999993</v>
      </c>
      <c r="W29" s="43">
        <f t="shared" si="4"/>
        <v>10039.199999999999</v>
      </c>
      <c r="X29" s="43">
        <v>5115.8999999999996</v>
      </c>
      <c r="Y29" s="43">
        <v>26288.5</v>
      </c>
      <c r="Z29" s="43">
        <f t="shared" si="5"/>
        <v>31404.400000000001</v>
      </c>
      <c r="AA29" s="22">
        <v>15873.1</v>
      </c>
      <c r="AB29">
        <v>57939</v>
      </c>
      <c r="AC29">
        <v>73812.100000000006</v>
      </c>
      <c r="AD29">
        <v>5485.3</v>
      </c>
      <c r="AE29">
        <v>20022.099999999999</v>
      </c>
      <c r="AF29">
        <v>25507.4</v>
      </c>
      <c r="AG29">
        <v>17159</v>
      </c>
      <c r="AH29">
        <v>62632.7</v>
      </c>
      <c r="AI29">
        <v>79791.600000000006</v>
      </c>
      <c r="AJ29">
        <v>30394.1</v>
      </c>
      <c r="AK29">
        <v>110942.8</v>
      </c>
      <c r="AL29">
        <v>141336.9</v>
      </c>
      <c r="AM29">
        <v>10503.4</v>
      </c>
      <c r="AN29">
        <v>38338.699999999997</v>
      </c>
      <c r="AO29">
        <v>48842.1</v>
      </c>
      <c r="AP29">
        <v>32856.300000000003</v>
      </c>
      <c r="AQ29">
        <v>119930.3</v>
      </c>
      <c r="AR29">
        <v>152786.6</v>
      </c>
      <c r="AS29">
        <v>522076.74</v>
      </c>
      <c r="AT29" s="22">
        <f t="shared" si="34"/>
        <v>26423.703140122503</v>
      </c>
      <c r="AU29">
        <f t="shared" si="34"/>
        <v>96450.153797025006</v>
      </c>
      <c r="AV29">
        <f t="shared" si="34"/>
        <v>122873.8569371475</v>
      </c>
      <c r="AW29">
        <f t="shared" si="34"/>
        <v>9131.2937507174993</v>
      </c>
      <c r="AX29">
        <f t="shared" si="34"/>
        <v>33330.479026897498</v>
      </c>
      <c r="AY29">
        <f t="shared" si="34"/>
        <v>42461.772777615006</v>
      </c>
      <c r="AZ29">
        <f t="shared" si="34"/>
        <v>28564.320906525001</v>
      </c>
      <c r="BA29">
        <f t="shared" si="34"/>
        <v>104263.6833173325</v>
      </c>
      <c r="BB29">
        <f t="shared" si="34"/>
        <v>132827.83775541</v>
      </c>
      <c r="BC29">
        <f t="shared" si="34"/>
        <v>50596.586401597502</v>
      </c>
      <c r="BD29">
        <f t="shared" si="34"/>
        <v>184684.75677303001</v>
      </c>
      <c r="BE29">
        <f t="shared" si="34"/>
        <v>235281.34317462749</v>
      </c>
      <c r="BF29">
        <f t="shared" si="34"/>
        <v>17484.846914714999</v>
      </c>
      <c r="BG29">
        <f t="shared" si="34"/>
        <v>63821.838681682493</v>
      </c>
      <c r="BH29">
        <f t="shared" si="34"/>
        <v>81306.685596397496</v>
      </c>
      <c r="BI29">
        <f t="shared" si="34"/>
        <v>54695.372515942508</v>
      </c>
      <c r="BJ29">
        <f t="shared" si="7"/>
        <v>199646.10849209249</v>
      </c>
      <c r="BK29">
        <f t="shared" si="7"/>
        <v>254341.48100803501</v>
      </c>
      <c r="BL29">
        <f t="shared" si="7"/>
        <v>869093.04383661144</v>
      </c>
      <c r="BM29" s="22">
        <f>-17.17-(0.1023*E29)+F29*(100-8.576-13.681)</f>
        <v>35.070213356344858</v>
      </c>
      <c r="BN29">
        <f>IF(AT29&lt;&gt;-999,AT29*$BM29, -999)</f>
        <v>926684.90678881574</v>
      </c>
      <c r="BO29">
        <f>IF(AU29&lt;&gt;-999,AU29*$BM29, -999)</f>
        <v>3382527.4719139421</v>
      </c>
      <c r="BP29" s="25">
        <f>IF(AV29&lt;&gt;-999,AV29*$BM29, -999)</f>
        <v>4309212.3787027579</v>
      </c>
      <c r="BQ29">
        <f>-19.943-(0.1023*E29)+F29*(100-8.576-13.681)</f>
        <v>32.297213356344862</v>
      </c>
      <c r="BR29">
        <f>IF(AW29&lt;&gt;-999,AW29*$BQ29, -999)</f>
        <v>294915.34248638159</v>
      </c>
      <c r="BS29">
        <f>IF(AX29&lt;&gt;-999,AX29*$BQ29, -999)</f>
        <v>1076481.5924008861</v>
      </c>
      <c r="BT29" s="25">
        <f>IF(AY29&lt;&gt;-999,AY29*$BQ29, -999)</f>
        <v>1371396.9348872681</v>
      </c>
      <c r="BU29">
        <f>-25.871-(0.1023*E29)+F29*(100-8.576-13.681)</f>
        <v>26.369213356344865</v>
      </c>
      <c r="BV29">
        <f>IF(AZ29&lt;&gt;-999,AZ29*$BU29, -999)</f>
        <v>753218.67236325995</v>
      </c>
      <c r="BW29">
        <f>IF(BA29&lt;&gt;-999,BA29*$BU29, -999)</f>
        <v>2749351.3107131156</v>
      </c>
      <c r="BX29" s="25">
        <f>IF(BB29&lt;&gt;-999,BB29*$BU29, -999)</f>
        <v>3502565.5934343659</v>
      </c>
      <c r="BY29">
        <f>-25.245-(0.1023*E29)+F29*(100-8.576-13.681)</f>
        <v>26.995213356344863</v>
      </c>
      <c r="BZ29">
        <f>IF(BC29&lt;&gt;-999,BC29*$BY29, -999)</f>
        <v>1365865.6450138618</v>
      </c>
      <c r="CA29">
        <f>IF(BD29&lt;&gt;-999,BD29*$BY29, -999)</f>
        <v>4985604.4127526022</v>
      </c>
      <c r="CB29" s="25">
        <f>IF(BE29&lt;&gt;-999,BE29*$BY29, -999)</f>
        <v>6351470.0577664627</v>
      </c>
      <c r="CC29">
        <f>-29.317-(0.1023*E29)+F29*(100-8.576-13.681)</f>
        <v>22.92321335634486</v>
      </c>
      <c r="CD29">
        <f>IF(BF29&lt;&gt;-999,BF29*$CC29, -999)</f>
        <v>400808.8763290401</v>
      </c>
      <c r="CE29">
        <f>IF(BG29&lt;&gt;-999,BG29*$CC29, -999)</f>
        <v>1463001.6248944311</v>
      </c>
      <c r="CF29" s="25">
        <f>IF(BH29&lt;&gt;-999,BH29*$CC29, -999)</f>
        <v>1863810.5012234712</v>
      </c>
      <c r="CG29">
        <f>-38.03-(0.1023*E29)+F29*(100-8.576-13.681)</f>
        <v>14.210213356344859</v>
      </c>
      <c r="CH29">
        <f>IF(BI29&lt;&gt;-999,BI29*$CG29, -999)</f>
        <v>777232.91305630375</v>
      </c>
      <c r="CI29">
        <f>IF(BJ29&lt;&gt;-999,BJ29*$CG29, -999)</f>
        <v>2837013.7974366075</v>
      </c>
      <c r="CJ29" s="25">
        <f>IF(BK29&lt;&gt;-999,BK29*$CG29, -999)</f>
        <v>3614246.7104929113</v>
      </c>
      <c r="CK29" s="26">
        <f t="shared" si="8"/>
        <v>21012702.176507238</v>
      </c>
      <c r="CL29">
        <f t="shared" si="9"/>
        <v>-36.813927423605755</v>
      </c>
      <c r="CM29">
        <f t="shared" si="10"/>
        <v>20.720858643614033</v>
      </c>
      <c r="CN29">
        <f t="shared" si="11"/>
        <v>-93.354879030207925</v>
      </c>
      <c r="CO29" s="22">
        <f t="shared" si="12"/>
        <v>-40.08</v>
      </c>
      <c r="CP29">
        <f>IF(AT29&lt;&gt;-999,AT29*$CO29, -999)</f>
        <v>-1059062.0218561098</v>
      </c>
      <c r="CQ29">
        <f>IF(AU29&lt;&gt;-999,AU29*$CO29, -999)</f>
        <v>-3865722.1641847622</v>
      </c>
      <c r="CR29" s="27">
        <f>IF(AV29&lt;&gt;-999,AV29*$CO29, -999)</f>
        <v>-4924784.1860408718</v>
      </c>
      <c r="CS29">
        <f t="shared" si="13"/>
        <v>-42.853000000000002</v>
      </c>
      <c r="CT29">
        <f>IF(AW29&lt;&gt;-999,AW29*$CS29, -999)</f>
        <v>-391303.33109949704</v>
      </c>
      <c r="CU29">
        <f>IF(AX29&lt;&gt;-999,AX29*$CS29, -999)</f>
        <v>-1428311.0177396385</v>
      </c>
      <c r="CV29" s="27">
        <f>IF(AY29&lt;&gt;-999,AY29*$CS29, -999)</f>
        <v>-1819614.3488391358</v>
      </c>
      <c r="CW29">
        <f t="shared" si="14"/>
        <v>-48.780999999999999</v>
      </c>
      <c r="CX29">
        <f>IF(AZ29&lt;&gt;-999,AZ29*$CO29, -999)</f>
        <v>-1144857.981933522</v>
      </c>
      <c r="CY29">
        <f>IF(BA29&lt;&gt;-999,BA29*$CO29, -999)</f>
        <v>-4178888.4273586865</v>
      </c>
      <c r="CZ29" s="27">
        <f>IF(BB29&lt;&gt;-999,BB29*$CO29, -999)</f>
        <v>-5323739.7372368323</v>
      </c>
      <c r="DA29">
        <f t="shared" si="15"/>
        <v>-48.155000000000001</v>
      </c>
      <c r="DB29">
        <f>IF(BC29&lt;&gt;-999,BC29*$DA29, -999)</f>
        <v>-2436478.6181689277</v>
      </c>
      <c r="DC29">
        <f>IF(BD29&lt;&gt;-999,BD29*$DA29, -999)</f>
        <v>-8893494.4624052607</v>
      </c>
      <c r="DD29" s="27">
        <f>IF(BE29&lt;&gt;-999,BE29*$DA29, -999)</f>
        <v>-11329973.080574187</v>
      </c>
      <c r="DE29">
        <f t="shared" si="16"/>
        <v>-52.227000000000004</v>
      </c>
      <c r="DF29">
        <f>IF(BF29&lt;&gt;-999,BF29*$DE29, -999)</f>
        <v>-913181.09981482034</v>
      </c>
      <c r="DG29">
        <f>IF(BG29&lt;&gt;-999,BG29*$DE29, -999)</f>
        <v>-3333223.1688282317</v>
      </c>
      <c r="DH29" s="27">
        <f>IF(BH29&lt;&gt;-999,BH29*$DE29, -999)</f>
        <v>-4246404.2686430523</v>
      </c>
      <c r="DI29">
        <f t="shared" si="17"/>
        <v>-60.94</v>
      </c>
      <c r="DJ29">
        <f>IF(BI29&lt;&gt;-999,BI29*$DI29, -999)</f>
        <v>-3333136.0011215364</v>
      </c>
      <c r="DK29">
        <f>IF(BJ29&lt;&gt;-999,BJ29*$DI29, -999)</f>
        <v>-12166433.851508116</v>
      </c>
      <c r="DL29" s="27">
        <f>IF(BK29&lt;&gt;-999,BK29*$DI29, -999)</f>
        <v>-15499569.852629654</v>
      </c>
      <c r="DM29" s="28">
        <f t="shared" si="18"/>
        <v>-43144085.47396373</v>
      </c>
      <c r="DN29" s="22">
        <f t="shared" si="19"/>
        <v>-17.170000000000002</v>
      </c>
      <c r="DO29">
        <f>IF(AT29&lt;&gt;-999,AT29*$DN29, -999)</f>
        <v>-453694.98291590344</v>
      </c>
      <c r="DP29">
        <f>IF(AU29&lt;&gt;-999,AU29*$DN29, -999)</f>
        <v>-1656049.1406949195</v>
      </c>
      <c r="DQ29" s="24">
        <f>IF(AV29&lt;&gt;-999,AV29*$DN29, -999)</f>
        <v>-2109744.1236108229</v>
      </c>
      <c r="DR29">
        <f t="shared" si="20"/>
        <v>-19.943000000000001</v>
      </c>
      <c r="DS29">
        <f>IF(AW29&lt;&gt;-999,AW29*$DR29, -999)</f>
        <v>-182105.39127055911</v>
      </c>
      <c r="DT29">
        <f>IF(AX29&lt;&gt;-999,AX29*$DR29, -999)</f>
        <v>-664709.74323341681</v>
      </c>
      <c r="DU29" s="24">
        <f>IF(AY29&lt;&gt;-999,AY29*$DR29, -999)</f>
        <v>-846815.13450397609</v>
      </c>
      <c r="DV29">
        <f t="shared" si="21"/>
        <v>-25.870999999999999</v>
      </c>
      <c r="DW29">
        <f>IF(AZ29&lt;&gt;-999,AZ29*$DV29, -999)</f>
        <v>-738987.54617270827</v>
      </c>
      <c r="DX29">
        <f>IF(BA29&lt;&gt;-999,BA29*$DV29, -999)</f>
        <v>-2697405.7511027087</v>
      </c>
      <c r="DY29" s="24">
        <f>IF(BB29&lt;&gt;-999,BB29*$DV29, -999)</f>
        <v>-3436388.9905702118</v>
      </c>
      <c r="DZ29">
        <f t="shared" si="22"/>
        <v>-25.245000000000001</v>
      </c>
      <c r="EA29">
        <f>IF(BC29&lt;&gt;-999, BC29*$DZ29, -999)</f>
        <v>-1277310.8237083289</v>
      </c>
      <c r="EB29">
        <f>IF(BD29&lt;&gt;-999, BD29*$DZ29, -999)</f>
        <v>-4662366.6847351426</v>
      </c>
      <c r="EC29" s="24">
        <f>IF(BE29&lt;&gt;-999, BE29*$DZ29, -999)</f>
        <v>-5939677.508443471</v>
      </c>
      <c r="ED29">
        <f t="shared" si="23"/>
        <v>-29.317</v>
      </c>
      <c r="EE29">
        <f>IF(BF29&lt;&gt;-999,BF29*$ED29, -999)</f>
        <v>-512603.25699869962</v>
      </c>
      <c r="EF29">
        <f>IF(BG29&lt;&gt;-999,BG29*$ED29, -999)</f>
        <v>-1871064.8446308856</v>
      </c>
      <c r="EG29" s="24">
        <f>IF(BH29&lt;&gt;-999,BH29*$ED29, -999)</f>
        <v>-2383668.1016295855</v>
      </c>
      <c r="EH29">
        <f t="shared" si="24"/>
        <v>-38.03</v>
      </c>
      <c r="EI29">
        <f>IF(BI29&lt;&gt;-999,BI29*$EH29, -999)</f>
        <v>-2080065.0167812936</v>
      </c>
      <c r="EJ29">
        <f>IF(BJ29&lt;&gt;-999,BJ29*$EH29, -999)</f>
        <v>-7592541.5059542777</v>
      </c>
      <c r="EK29" s="24">
        <f>IF(BK29&lt;&gt;-999,BK29*$EH29, -999)</f>
        <v>-9672606.5227355715</v>
      </c>
      <c r="EL29" s="28">
        <f t="shared" si="25"/>
        <v>-24388900.381493635</v>
      </c>
      <c r="EM29" s="22">
        <f>-17.17-(0.1023*G29)+H29*(100+102.093-66.644-64.243)</f>
        <v>8.8636033497671392</v>
      </c>
      <c r="EN29">
        <f>IF(AT29&lt;&gt;-999,AT29*$EM29, -999)</f>
        <v>234209.22366604229</v>
      </c>
      <c r="EO29">
        <f>IF(AU29&lt;&gt;-999,AU29*$EM29, -999)</f>
        <v>854895.90628086659</v>
      </c>
      <c r="EP29" s="23">
        <f>IF(AV29&lt;&gt;-999,AV29*$EM29, -999)</f>
        <v>1089105.1299469089</v>
      </c>
      <c r="EQ29">
        <f>-19.943-(0.1023*G29)+H29*(100+102.093-66.644-64.243)</f>
        <v>6.0906033497671359</v>
      </c>
      <c r="ER29">
        <f>IF(AW29&lt;&gt;-999,AW29*$EQ29, -999)</f>
        <v>55615.088305827718</v>
      </c>
      <c r="ES29">
        <f>IF(AX29&lt;&gt;-999,AX29*$EQ29, -999)</f>
        <v>203002.72721056518</v>
      </c>
      <c r="ET29" s="23">
        <f>IF(AY29&lt;&gt;-999,AY29*$EQ29, -999)</f>
        <v>258617.81551639293</v>
      </c>
      <c r="EU29">
        <f>-25.871-(0.1023*G29)+H29*(100+102.093-66.644-64.243)</f>
        <v>0.16260334976713864</v>
      </c>
      <c r="EV29">
        <f>IF(AZ29&lt;&gt;-999,AZ29*$EU29, -999)</f>
        <v>4644.6542632244755</v>
      </c>
      <c r="EW29">
        <f>IF(BA29&lt;&gt;-999,BA29*$EU29, -999)</f>
        <v>16953.624166458394</v>
      </c>
      <c r="EX29" s="23">
        <f>IF(BB29&lt;&gt;-999,BB29*$EU29, -999)</f>
        <v>21598.251361355677</v>
      </c>
      <c r="EY29">
        <f>-25.245-(0.1023*G29)+H29*(100+102.093-66.644-64.243)</f>
        <v>0.78860334976713631</v>
      </c>
      <c r="EZ29">
        <f>IF(BC29&lt;&gt;-999, BC29*$EY29, -999)</f>
        <v>39900.637523082129</v>
      </c>
      <c r="FA29">
        <f>IF(BD29&lt;&gt;-999, BD29*$EY29, -999)</f>
        <v>145643.01784214028</v>
      </c>
      <c r="FB29" s="23">
        <f>IF(BE29&lt;&gt;-999, BE29*$EY29, -999)</f>
        <v>185543.6553652224</v>
      </c>
      <c r="FC29">
        <f>-29.317-(0.1023*G29)+H29*(100+102.093-66.644-64.243)</f>
        <v>-3.2833966502328664</v>
      </c>
      <c r="FD29">
        <f>IF(BF29&lt;&gt;-999,BF29*$FC29, -999)</f>
        <v>-57409.687789609699</v>
      </c>
      <c r="FE29">
        <f>IF(BG29&lt;&gt;-999,BG29*$FC29, -999)</f>
        <v>-209552.41133913866</v>
      </c>
      <c r="FF29" s="23">
        <f>IF(BH29&lt;&gt;-999,BH29*$FC29, -999)</f>
        <v>-266962.09912874841</v>
      </c>
      <c r="FG29">
        <f>-38.03-(0.1023*G29)+H29*(100+102.093-66.644-64.243)</f>
        <v>-11.99639665023286</v>
      </c>
      <c r="FH29">
        <f>IF(BI29&lt;&gt;-999,BI29*$FG29, -999)</f>
        <v>-656147.38363349112</v>
      </c>
      <c r="FI29">
        <f>IF(BJ29&lt;&gt;-999,BJ29*$FG29, -999)</f>
        <v>-2395033.9071465647</v>
      </c>
      <c r="FJ29" s="23">
        <f>IF(BK29&lt;&gt;-999,BK29*$FG29, -999)</f>
        <v>-3051181.2907800558</v>
      </c>
      <c r="FK29" s="28">
        <f t="shared" si="26"/>
        <v>-1763278.5377189242</v>
      </c>
      <c r="FL29" s="22">
        <f t="shared" si="28"/>
        <v>10.012280000000011</v>
      </c>
      <c r="FM29">
        <f>IF(AT29&lt;&gt;-999,AT29*$FL29, -999)</f>
        <v>264561.51447578601</v>
      </c>
      <c r="FN29">
        <f>IF(AU29&lt;&gt;-999,AU29*$FL29, -999)</f>
        <v>965685.94585887867</v>
      </c>
      <c r="FO29" s="29">
        <f>IF(AV29&lt;&gt;-999,AV29*$FL29, -999)</f>
        <v>1230247.4603346647</v>
      </c>
      <c r="FP29">
        <f t="shared" si="29"/>
        <v>7.2392800000000115</v>
      </c>
      <c r="FQ29">
        <f>IF(AW29&lt;&gt;-999,AW29*$FP29, -999)</f>
        <v>66103.99222369428</v>
      </c>
      <c r="FR29">
        <f>IF(AX29&lt;&gt;-999,AX29*$FP29, -999)</f>
        <v>241288.67020983889</v>
      </c>
      <c r="FS29" s="29">
        <f>IF(AY29&lt;&gt;-999,AY29*$FP29, -999)</f>
        <v>307392.66243353323</v>
      </c>
      <c r="FT29">
        <f t="shared" si="30"/>
        <v>1.3112800000000142</v>
      </c>
      <c r="FU29">
        <f>IF(AZ29&lt;&gt;-999,AZ29*$FT29, -999)</f>
        <v>37455.822718308511</v>
      </c>
      <c r="FV29">
        <f>IF(BA29&lt;&gt;-999,BA29*$FT29, -999)</f>
        <v>136718.88266035324</v>
      </c>
      <c r="FW29" s="29">
        <f>IF(BB29&lt;&gt;-999,BB29*$FT29, -999)</f>
        <v>174174.48709191591</v>
      </c>
      <c r="FX29">
        <f t="shared" si="31"/>
        <v>1.9372800000000119</v>
      </c>
      <c r="FY29">
        <f>IF(BC29&lt;&gt;-999, BC29*$FX29, -999)</f>
        <v>98019.754904087415</v>
      </c>
      <c r="FZ29">
        <f>IF(BD29&lt;&gt;-999, BD29*$FX29, -999)</f>
        <v>357786.08560125774</v>
      </c>
      <c r="GA29" s="29">
        <f>IF(BE29&lt;&gt;-999, BE29*$FX29, -999)</f>
        <v>455805.84050534514</v>
      </c>
      <c r="GB29">
        <f t="shared" si="32"/>
        <v>-2.1347199999999873</v>
      </c>
      <c r="GC29">
        <f>IF(BF29&lt;&gt;-999,BF29*$GB29, -999)</f>
        <v>-37325.252405780178</v>
      </c>
      <c r="GD29">
        <f>IF(BG29&lt;&gt;-999,BG29*$GB29, -999)</f>
        <v>-136241.75547056043</v>
      </c>
      <c r="GE29" s="29">
        <f>IF(BH29&lt;&gt;-999,BH29*$GB29, -999)</f>
        <v>-173567.00787634062</v>
      </c>
      <c r="GF29">
        <f t="shared" si="33"/>
        <v>-10.847719999999988</v>
      </c>
      <c r="GG29">
        <f>IF(BI29&lt;&gt;-999,BI29*$GF29, -999)</f>
        <v>-593320.08634863922</v>
      </c>
      <c r="GH29">
        <f>IF(BJ29&lt;&gt;-999,BJ29*$GF29, -999)</f>
        <v>-2165705.0840118392</v>
      </c>
      <c r="GI29" s="29">
        <f>IF(BK29&lt;&gt;-999,BK29*$GF29, -999)</f>
        <v>-2759025.1703604786</v>
      </c>
      <c r="GJ29" s="30">
        <f t="shared" si="27"/>
        <v>-764971.72787136002</v>
      </c>
    </row>
    <row r="30" spans="1:192">
      <c r="A30" s="48" t="s">
        <v>153</v>
      </c>
      <c r="B30" s="48" t="s">
        <v>153</v>
      </c>
      <c r="C30" s="49">
        <v>160</v>
      </c>
      <c r="D30" s="50">
        <v>0.96299999999999997</v>
      </c>
      <c r="E30" s="49">
        <v>179.30157468856899</v>
      </c>
      <c r="F30" s="49">
        <v>0.77447986075917097</v>
      </c>
      <c r="G30" s="49">
        <v>258.15435741768999</v>
      </c>
      <c r="H30" s="49">
        <v>0.80519558280719705</v>
      </c>
      <c r="I30" s="42">
        <v>17168.8</v>
      </c>
      <c r="J30" s="43">
        <v>24432</v>
      </c>
      <c r="K30" s="43">
        <f t="shared" si="0"/>
        <v>41600.800000000003</v>
      </c>
      <c r="L30" s="43">
        <v>8943.7000000000007</v>
      </c>
      <c r="M30" s="43">
        <v>12727.3</v>
      </c>
      <c r="N30" s="43">
        <f t="shared" si="1"/>
        <v>21671</v>
      </c>
      <c r="O30" s="43">
        <v>9130.2000000000007</v>
      </c>
      <c r="P30" s="43">
        <v>12992.7</v>
      </c>
      <c r="Q30" s="43">
        <f t="shared" si="2"/>
        <v>22122.9</v>
      </c>
      <c r="R30" s="43">
        <v>15263.2</v>
      </c>
      <c r="S30" s="43">
        <v>21720.400000000001</v>
      </c>
      <c r="T30" s="43">
        <f t="shared" si="3"/>
        <v>36983.600000000006</v>
      </c>
      <c r="U30" s="43">
        <v>7951</v>
      </c>
      <c r="V30" s="43">
        <v>11314.7</v>
      </c>
      <c r="W30" s="43">
        <f t="shared" si="4"/>
        <v>19265.7</v>
      </c>
      <c r="X30" s="43">
        <v>8116.9</v>
      </c>
      <c r="Y30" s="43">
        <v>11550.7</v>
      </c>
      <c r="Z30" s="43">
        <f t="shared" si="5"/>
        <v>19667.599999999999</v>
      </c>
      <c r="AA30" s="22">
        <v>171578.6</v>
      </c>
      <c r="AB30">
        <v>244804.8</v>
      </c>
      <c r="AC30">
        <v>416383.3</v>
      </c>
      <c r="AD30">
        <v>89379.7</v>
      </c>
      <c r="AE30">
        <v>127525.2</v>
      </c>
      <c r="AF30">
        <v>216904.9</v>
      </c>
      <c r="AG30">
        <v>91243.9</v>
      </c>
      <c r="AH30">
        <v>130184.9</v>
      </c>
      <c r="AI30">
        <v>221428.9</v>
      </c>
      <c r="AJ30">
        <v>152535.5</v>
      </c>
      <c r="AK30">
        <v>217634.5</v>
      </c>
      <c r="AL30">
        <v>370170</v>
      </c>
      <c r="AM30">
        <v>79459.7</v>
      </c>
      <c r="AN30">
        <v>113371.5</v>
      </c>
      <c r="AO30">
        <v>192831.2</v>
      </c>
      <c r="AP30">
        <v>81117</v>
      </c>
      <c r="AQ30">
        <v>115736</v>
      </c>
      <c r="AR30">
        <v>196853.1</v>
      </c>
      <c r="AS30">
        <v>1614571.37</v>
      </c>
      <c r="AT30" s="22">
        <f t="shared" si="34"/>
        <v>285624.23166223505</v>
      </c>
      <c r="AU30">
        <f t="shared" si="34"/>
        <v>407522.74996547995</v>
      </c>
      <c r="AV30">
        <f t="shared" si="34"/>
        <v>693146.81515926751</v>
      </c>
      <c r="AW30">
        <f t="shared" si="34"/>
        <v>148788.9989701575</v>
      </c>
      <c r="AX30">
        <f t="shared" si="34"/>
        <v>212289.22061126999</v>
      </c>
      <c r="AY30">
        <f t="shared" si="34"/>
        <v>361078.21958142752</v>
      </c>
      <c r="AZ30">
        <f t="shared" si="34"/>
        <v>151892.30376845249</v>
      </c>
      <c r="BA30">
        <f t="shared" si="34"/>
        <v>216716.78190942749</v>
      </c>
      <c r="BB30">
        <f t="shared" si="34"/>
        <v>368609.25214632752</v>
      </c>
      <c r="BC30">
        <f t="shared" si="34"/>
        <v>253923.47873636251</v>
      </c>
      <c r="BD30">
        <f t="shared" si="34"/>
        <v>362292.77337438753</v>
      </c>
      <c r="BE30">
        <f t="shared" si="34"/>
        <v>616216.25211074995</v>
      </c>
      <c r="BF30">
        <f t="shared" si="34"/>
        <v>132275.32897815749</v>
      </c>
      <c r="BG30">
        <f t="shared" si="34"/>
        <v>188727.77595746249</v>
      </c>
      <c r="BH30">
        <f t="shared" si="34"/>
        <v>321003.10493562004</v>
      </c>
      <c r="BI30">
        <f t="shared" si="34"/>
        <v>135034.210558575</v>
      </c>
      <c r="BJ30">
        <f t="shared" si="7"/>
        <v>192663.9223986</v>
      </c>
      <c r="BK30">
        <f t="shared" si="7"/>
        <v>327698.29942562251</v>
      </c>
      <c r="BL30">
        <f t="shared" si="7"/>
        <v>2687751.8934184811</v>
      </c>
      <c r="BM30" s="22">
        <f>-17.17-(0.1023*E30)+F30*(100-8.576-13.681)</f>
        <v>24.697836724359625</v>
      </c>
      <c r="BN30">
        <f>IF(AT30&lt;&gt;-999,AT30*$BM30, -999)</f>
        <v>7054300.6381145502</v>
      </c>
      <c r="BO30">
        <f>IF(AU30&lt;&gt;-999,AU30*$BM30, -999)</f>
        <v>10064930.340109456</v>
      </c>
      <c r="BP30" s="25">
        <f>IF(AV30&lt;&gt;-999,AV30*$BM30, -999)</f>
        <v>17119226.86681347</v>
      </c>
      <c r="BQ30">
        <f>-19.943-(0.1023*E30)+F30*(100-8.576-13.681)</f>
        <v>21.924836724359629</v>
      </c>
      <c r="BR30">
        <f>IF(AW30&lt;&gt;-999,AW30*$BQ30, -999)</f>
        <v>3262174.5088016163</v>
      </c>
      <c r="BS30">
        <f>IF(AX30&lt;&gt;-999,AX30*$BQ30, -999)</f>
        <v>4654406.5002436554</v>
      </c>
      <c r="BT30" s="25">
        <f>IF(AY30&lt;&gt;-999,AY30*$BQ30, -999)</f>
        <v>7916581.0090452721</v>
      </c>
      <c r="BU30">
        <f>-25.871-(0.1023*E30)+F30*(100-8.576-13.681)</f>
        <v>15.996836724359632</v>
      </c>
      <c r="BV30">
        <f>IF(AZ30&lt;&gt;-999,AZ30*$BU30, -999)</f>
        <v>2429796.3830707697</v>
      </c>
      <c r="BW30">
        <f>IF(BA30&lt;&gt;-999,BA30*$BU30, -999)</f>
        <v>3466782.975633767</v>
      </c>
      <c r="BX30" s="25">
        <f>IF(BB30&lt;&gt;-999,BB30*$BU30, -999)</f>
        <v>5896582.0216731112</v>
      </c>
      <c r="BY30">
        <f>-25.245-(0.1023*E30)+F30*(100-8.576-13.681)</f>
        <v>16.62283672435963</v>
      </c>
      <c r="BZ30">
        <f>IF(BC30&lt;&gt;-999,BC30*$BY30, -999)</f>
        <v>4220928.5275159581</v>
      </c>
      <c r="CA30">
        <f>IF(BD30&lt;&gt;-999,BD30*$BY30, -999)</f>
        <v>6022333.6182178697</v>
      </c>
      <c r="CB30" s="25">
        <f>IF(BE30&lt;&gt;-999,BE30*$BY30, -999)</f>
        <v>10243262.145733826</v>
      </c>
      <c r="CC30">
        <f>-29.317-(0.1023*E30)+F30*(100-8.576-13.681)</f>
        <v>12.550836724359634</v>
      </c>
      <c r="CD30">
        <f>IF(BF30&lt;&gt;-999,BF30*$CC30, -999)</f>
        <v>1660166.056665811</v>
      </c>
      <c r="CE30">
        <f>IF(BG30&lt;&gt;-999,BG30*$CC30, -999)</f>
        <v>2368691.5013936376</v>
      </c>
      <c r="CF30" s="25">
        <f>IF(BH30&lt;&gt;-999,BH30*$CC30, -999)</f>
        <v>4028857.5580594493</v>
      </c>
      <c r="CG30">
        <f>-38.03-(0.1023*E30)+F30*(100-8.576-13.681)</f>
        <v>3.8378367243596259</v>
      </c>
      <c r="CH30">
        <f>IF(BI30&lt;&gt;-999,BI30*$CG30, -999)</f>
        <v>518239.25232660945</v>
      </c>
      <c r="CI30">
        <f>IF(BJ30&lt;&gt;-999,BJ30*$CG30, -999)</f>
        <v>739412.67684052023</v>
      </c>
      <c r="CJ30" s="25">
        <f>IF(BK30&lt;&gt;-999,BK30*$CG30, -999)</f>
        <v>1257652.5680458508</v>
      </c>
      <c r="CK30" s="26">
        <f t="shared" si="8"/>
        <v>46462162.169370979</v>
      </c>
      <c r="CL30">
        <f t="shared" si="9"/>
        <v>-26.139931680854616</v>
      </c>
      <c r="CM30">
        <f t="shared" si="10"/>
        <v>32.538159645436679</v>
      </c>
      <c r="CN30">
        <f t="shared" si="11"/>
        <v>-83.804439517407999</v>
      </c>
      <c r="CO30" s="22">
        <f t="shared" si="12"/>
        <v>-40.08</v>
      </c>
      <c r="CP30">
        <f>IF(AT30&lt;&gt;-999,AT30*$CO30, -999)</f>
        <v>-11447819.20502238</v>
      </c>
      <c r="CQ30">
        <f>IF(AU30&lt;&gt;-999,AU30*$CO30, -999)</f>
        <v>-16333511.818616435</v>
      </c>
      <c r="CR30" s="27">
        <f>IF(AV30&lt;&gt;-999,AV30*$CO30, -999)</f>
        <v>-27781324.35158344</v>
      </c>
      <c r="CS30">
        <f t="shared" si="13"/>
        <v>-42.853000000000002</v>
      </c>
      <c r="CT30">
        <f>IF(AW30&lt;&gt;-999,AW30*$CS30, -999)</f>
        <v>-6376054.9728681594</v>
      </c>
      <c r="CU30">
        <f>IF(AX30&lt;&gt;-999,AX30*$CS30, -999)</f>
        <v>-9097229.9708547536</v>
      </c>
      <c r="CV30" s="27">
        <f>IF(AY30&lt;&gt;-999,AY30*$CS30, -999)</f>
        <v>-15473284.943722915</v>
      </c>
      <c r="CW30">
        <f t="shared" si="14"/>
        <v>-48.780999999999999</v>
      </c>
      <c r="CX30">
        <f>IF(AZ30&lt;&gt;-999,AZ30*$CO30, -999)</f>
        <v>-6087843.5350395758</v>
      </c>
      <c r="CY30">
        <f>IF(BA30&lt;&gt;-999,BA30*$CO30, -999)</f>
        <v>-8686008.6189298537</v>
      </c>
      <c r="CZ30" s="27">
        <f>IF(BB30&lt;&gt;-999,BB30*$CO30, -999)</f>
        <v>-14773858.826024806</v>
      </c>
      <c r="DA30">
        <f t="shared" si="15"/>
        <v>-48.155000000000001</v>
      </c>
      <c r="DB30">
        <f>IF(BC30&lt;&gt;-999,BC30*$DA30, -999)</f>
        <v>-12227685.118549537</v>
      </c>
      <c r="DC30">
        <f>IF(BD30&lt;&gt;-999,BD30*$DA30, -999)</f>
        <v>-17446208.501843631</v>
      </c>
      <c r="DD30" s="27">
        <f>IF(BE30&lt;&gt;-999,BE30*$DA30, -999)</f>
        <v>-29673893.620393164</v>
      </c>
      <c r="DE30">
        <f t="shared" si="16"/>
        <v>-52.227000000000004</v>
      </c>
      <c r="DF30">
        <f>IF(BF30&lt;&gt;-999,BF30*$DE30, -999)</f>
        <v>-6908343.6065422315</v>
      </c>
      <c r="DG30">
        <f>IF(BG30&lt;&gt;-999,BG30*$DE30, -999)</f>
        <v>-9856685.5549303945</v>
      </c>
      <c r="DH30" s="27">
        <f>IF(BH30&lt;&gt;-999,BH30*$DE30, -999)</f>
        <v>-16765029.16147263</v>
      </c>
      <c r="DI30">
        <f t="shared" si="17"/>
        <v>-60.94</v>
      </c>
      <c r="DJ30">
        <f>IF(BI30&lt;&gt;-999,BI30*$DI30, -999)</f>
        <v>-8228984.7914395602</v>
      </c>
      <c r="DK30">
        <f>IF(BJ30&lt;&gt;-999,BJ30*$DI30, -999)</f>
        <v>-11740939.430970684</v>
      </c>
      <c r="DL30" s="27">
        <f>IF(BK30&lt;&gt;-999,BK30*$DI30, -999)</f>
        <v>-19969934.366997436</v>
      </c>
      <c r="DM30" s="28">
        <f t="shared" si="18"/>
        <v>-124437325.2701944</v>
      </c>
      <c r="DN30" s="22">
        <f t="shared" si="19"/>
        <v>-17.170000000000002</v>
      </c>
      <c r="DO30">
        <f>IF(AT30&lt;&gt;-999,AT30*$DN30, -999)</f>
        <v>-4904168.0576405758</v>
      </c>
      <c r="DP30">
        <f>IF(AU30&lt;&gt;-999,AU30*$DN30, -999)</f>
        <v>-6997165.6169072911</v>
      </c>
      <c r="DQ30" s="24">
        <f>IF(AV30&lt;&gt;-999,AV30*$DN30, -999)</f>
        <v>-11901330.816284625</v>
      </c>
      <c r="DR30">
        <f t="shared" si="20"/>
        <v>-19.943000000000001</v>
      </c>
      <c r="DS30">
        <f>IF(AW30&lt;&gt;-999,AW30*$DR30, -999)</f>
        <v>-2967299.0064618513</v>
      </c>
      <c r="DT30">
        <f>IF(AX30&lt;&gt;-999,AX30*$DR30, -999)</f>
        <v>-4233683.9266505577</v>
      </c>
      <c r="DU30" s="24">
        <f>IF(AY30&lt;&gt;-999,AY30*$DR30, -999)</f>
        <v>-7200982.9331124099</v>
      </c>
      <c r="DV30">
        <f t="shared" si="21"/>
        <v>-25.870999999999999</v>
      </c>
      <c r="DW30">
        <f>IF(AZ30&lt;&gt;-999,AZ30*$DV30, -999)</f>
        <v>-3929605.790793634</v>
      </c>
      <c r="DX30">
        <f>IF(BA30&lt;&gt;-999,BA30*$DV30, -999)</f>
        <v>-5606679.8647787981</v>
      </c>
      <c r="DY30" s="24">
        <f>IF(BB30&lt;&gt;-999,BB30*$DV30, -999)</f>
        <v>-9536289.9622776397</v>
      </c>
      <c r="DZ30">
        <f t="shared" si="22"/>
        <v>-25.245000000000001</v>
      </c>
      <c r="EA30">
        <f>IF(BC30&lt;&gt;-999, BC30*$DZ30, -999)</f>
        <v>-6410298.2206994714</v>
      </c>
      <c r="EB30">
        <f>IF(BD30&lt;&gt;-999, BD30*$DZ30, -999)</f>
        <v>-9146081.0638364144</v>
      </c>
      <c r="EC30" s="24">
        <f>IF(BE30&lt;&gt;-999, BE30*$DZ30, -999)</f>
        <v>-15556379.284535883</v>
      </c>
      <c r="ED30">
        <f t="shared" si="23"/>
        <v>-29.317</v>
      </c>
      <c r="EE30">
        <f>IF(BF30&lt;&gt;-999,BF30*$ED30, -999)</f>
        <v>-3877915.8196526431</v>
      </c>
      <c r="EF30">
        <f>IF(BG30&lt;&gt;-999,BG30*$ED30, -999)</f>
        <v>-5532932.2077449281</v>
      </c>
      <c r="EG30" s="24">
        <f>IF(BH30&lt;&gt;-999,BH30*$ED30, -999)</f>
        <v>-9410848.027397573</v>
      </c>
      <c r="EH30">
        <f t="shared" si="24"/>
        <v>-38.03</v>
      </c>
      <c r="EI30">
        <f>IF(BI30&lt;&gt;-999,BI30*$EH30, -999)</f>
        <v>-5135351.0275426069</v>
      </c>
      <c r="EJ30">
        <f>IF(BJ30&lt;&gt;-999,BJ30*$EH30, -999)</f>
        <v>-7327008.9688187586</v>
      </c>
      <c r="EK30" s="24">
        <f>IF(BK30&lt;&gt;-999,BK30*$EH30, -999)</f>
        <v>-12462366.327156425</v>
      </c>
      <c r="EL30" s="28">
        <f t="shared" si="25"/>
        <v>-66068197.350764558</v>
      </c>
      <c r="EM30" s="22">
        <f>-17.17-(0.1023*G30)+H30*(100+102.093-66.644-64.243)</f>
        <v>13.755565905539598</v>
      </c>
      <c r="EN30">
        <f>IF(AT30&lt;&gt;-999,AT30*$EM30, -999)</f>
        <v>3928922.9428489842</v>
      </c>
      <c r="EO30">
        <f>IF(AU30&lt;&gt;-999,AU30*$EM30, -999)</f>
        <v>5605706.0451568943</v>
      </c>
      <c r="EP30" s="23">
        <f>IF(AV30&lt;&gt;-999,AV30*$EM30, -999)</f>
        <v>9534626.6981381774</v>
      </c>
      <c r="EQ30">
        <f>-19.943-(0.1023*G30)+H30*(100+102.093-66.644-64.243)</f>
        <v>10.982565905539595</v>
      </c>
      <c r="ER30">
        <f>IF(AW30&lt;&gt;-999,AW30*$EQ30, -999)</f>
        <v>1634084.9872090176</v>
      </c>
      <c r="ES30">
        <f>IF(AX30&lt;&gt;-999,AX30*$EQ30, -999)</f>
        <v>2331480.356398907</v>
      </c>
      <c r="ET30" s="23">
        <f>IF(AY30&lt;&gt;-999,AY30*$EQ30, -999)</f>
        <v>3965565.3436079249</v>
      </c>
      <c r="EU30">
        <f>-25.871-(0.1023*G30)+H30*(100+102.093-66.644-64.243)</f>
        <v>5.0545659055395973</v>
      </c>
      <c r="EV30">
        <f>IF(AZ30&lt;&gt;-999,AZ30*$EU30, -999)</f>
        <v>767749.65994188364</v>
      </c>
      <c r="EW30">
        <f>IF(BA30&lt;&gt;-999,BA30*$EU30, -999)</f>
        <v>1095409.2569976528</v>
      </c>
      <c r="EX30" s="23">
        <f>IF(BB30&lt;&gt;-999,BB30*$EU30, -999)</f>
        <v>1863159.7583652758</v>
      </c>
      <c r="EY30">
        <f>-25.245-(0.1023*G30)+H30*(100+102.093-66.644-64.243)</f>
        <v>5.680565905539595</v>
      </c>
      <c r="EZ30">
        <f>IF(BC30&lt;&gt;-999, BC30*$EY30, -999)</f>
        <v>1442429.0559257891</v>
      </c>
      <c r="FA30">
        <f>IF(BD30&lt;&gt;-999, BD30*$EY30, -999)</f>
        <v>2058027.9762539288</v>
      </c>
      <c r="FB30" s="23">
        <f>IF(BE30&lt;&gt;-999, BE30*$EY30, -999)</f>
        <v>3500457.0321797174</v>
      </c>
      <c r="FC30">
        <f>-29.317-(0.1023*G30)+H30*(100+102.093-66.644-64.243)</f>
        <v>1.6085659055395922</v>
      </c>
      <c r="FD30">
        <f>IF(BF30&lt;&gt;-999,BF30*$FC30, -999)</f>
        <v>212773.58433829737</v>
      </c>
      <c r="FE30">
        <f>IF(BG30&lt;&gt;-999,BG30*$FC30, -999)</f>
        <v>303581.06583348894</v>
      </c>
      <c r="FF30" s="23">
        <f>IF(BH30&lt;&gt;-999,BH30*$FC30, -999)</f>
        <v>516354.65017178637</v>
      </c>
      <c r="FG30">
        <f>-38.03-(0.1023*G30)+H30*(100+102.093-66.644-64.243)</f>
        <v>-7.1044340944604016</v>
      </c>
      <c r="FH30">
        <f>IF(BI30&lt;&gt;-999,BI30*$FG30, -999)</f>
        <v>-959341.64941088494</v>
      </c>
      <c r="FI30">
        <f>IF(BJ30&lt;&gt;-999,BJ30*$FG30, -999)</f>
        <v>-1368768.1390610868</v>
      </c>
      <c r="FJ30" s="23">
        <f>IF(BK30&lt;&gt;-999,BK30*$FG30, -999)</f>
        <v>-2328110.9711360862</v>
      </c>
      <c r="FK30" s="28">
        <f t="shared" si="26"/>
        <v>17052052.511326797</v>
      </c>
      <c r="FL30" s="22">
        <f t="shared" si="28"/>
        <v>10.012280000000011</v>
      </c>
      <c r="FM30">
        <f>IF(AT30&lt;&gt;-999,AT30*$FL30, -999)</f>
        <v>2859749.7821871657</v>
      </c>
      <c r="FN30">
        <f>IF(AU30&lt;&gt;-999,AU30*$FL30, -999)</f>
        <v>4080231.8790243799</v>
      </c>
      <c r="FO30" s="29">
        <f>IF(AV30&lt;&gt;-999,AV30*$FL30, -999)</f>
        <v>6939979.9944828385</v>
      </c>
      <c r="FP30">
        <f t="shared" si="29"/>
        <v>7.2392800000000115</v>
      </c>
      <c r="FQ30">
        <f>IF(AW30&lt;&gt;-999,AW30*$FP30, -999)</f>
        <v>1077125.2244646836</v>
      </c>
      <c r="FR30">
        <f>IF(AX30&lt;&gt;-999,AX30*$FP30, -999)</f>
        <v>1536821.108986757</v>
      </c>
      <c r="FS30" s="29">
        <f>IF(AY30&lt;&gt;-999,AY30*$FP30, -999)</f>
        <v>2613946.3334514406</v>
      </c>
      <c r="FT30">
        <f t="shared" si="30"/>
        <v>1.3112800000000142</v>
      </c>
      <c r="FU30">
        <f>IF(AZ30&lt;&gt;-999,AZ30*$FT30, -999)</f>
        <v>199173.34008549855</v>
      </c>
      <c r="FV30">
        <f>IF(BA30&lt;&gt;-999,BA30*$FT30, -999)</f>
        <v>284176.38178219716</v>
      </c>
      <c r="FW30" s="29">
        <f>IF(BB30&lt;&gt;-999,BB30*$FT30, -999)</f>
        <v>483349.94015444157</v>
      </c>
      <c r="FX30">
        <f t="shared" si="31"/>
        <v>1.9372800000000119</v>
      </c>
      <c r="FY30">
        <f>IF(BC30&lt;&gt;-999, BC30*$FX30, -999)</f>
        <v>491920.8768863834</v>
      </c>
      <c r="FZ30">
        <f>IF(BD30&lt;&gt;-999, BD30*$FX30, -999)</f>
        <v>701862.54400273773</v>
      </c>
      <c r="GA30" s="29">
        <f>IF(BE30&lt;&gt;-999, BE30*$FX30, -999)</f>
        <v>1193783.420889121</v>
      </c>
      <c r="GB30">
        <f t="shared" si="32"/>
        <v>-2.1347199999999873</v>
      </c>
      <c r="GC30">
        <f>IF(BF30&lt;&gt;-999,BF30*$GB30, -999)</f>
        <v>-282370.79027625069</v>
      </c>
      <c r="GD30">
        <f>IF(BG30&lt;&gt;-999,BG30*$GB30, -999)</f>
        <v>-402880.95789191197</v>
      </c>
      <c r="GE30" s="29">
        <f>IF(BH30&lt;&gt;-999,BH30*$GB30, -999)</f>
        <v>-685251.74816816277</v>
      </c>
      <c r="GF30">
        <f t="shared" si="33"/>
        <v>-10.847719999999988</v>
      </c>
      <c r="GG30">
        <f>IF(BI30&lt;&gt;-999,BI30*$GF30, -999)</f>
        <v>-1464813.3065604635</v>
      </c>
      <c r="GH30">
        <f>IF(BJ30&lt;&gt;-999,BJ30*$GF30, -999)</f>
        <v>-2089964.284281739</v>
      </c>
      <c r="GI30" s="29">
        <f>IF(BK30&lt;&gt;-999,BK30*$GF30, -999)</f>
        <v>-3554779.3966453099</v>
      </c>
      <c r="GJ30" s="30">
        <f t="shared" si="27"/>
        <v>6991028.5441643689</v>
      </c>
    </row>
    <row r="31" spans="1:192">
      <c r="A31" s="48" t="s">
        <v>161</v>
      </c>
      <c r="B31" s="48" t="s">
        <v>170</v>
      </c>
      <c r="C31" s="49">
        <v>92</v>
      </c>
      <c r="D31" s="50">
        <v>0.96199999999999997</v>
      </c>
      <c r="E31" s="49">
        <v>184.298422373953</v>
      </c>
      <c r="F31" s="49">
        <v>0.78883163056746997</v>
      </c>
      <c r="G31" s="49">
        <v>47.7293372727814</v>
      </c>
      <c r="H31" s="49">
        <v>0.82003771725918395</v>
      </c>
      <c r="I31" s="42">
        <v>10887.4</v>
      </c>
      <c r="J31" s="43">
        <v>-999</v>
      </c>
      <c r="K31" s="43">
        <f t="shared" si="0"/>
        <v>10887.4</v>
      </c>
      <c r="L31" s="43">
        <v>17459.900000000001</v>
      </c>
      <c r="M31" s="43">
        <v>-999</v>
      </c>
      <c r="N31" s="43">
        <f t="shared" si="1"/>
        <v>17459.900000000001</v>
      </c>
      <c r="O31" s="43">
        <v>60698.5</v>
      </c>
      <c r="P31" s="43">
        <v>-999</v>
      </c>
      <c r="Q31" s="43">
        <f t="shared" si="2"/>
        <v>60698.5</v>
      </c>
      <c r="R31" s="43">
        <v>10387</v>
      </c>
      <c r="S31" s="43">
        <v>-999</v>
      </c>
      <c r="T31" s="43">
        <f t="shared" si="3"/>
        <v>10387</v>
      </c>
      <c r="U31" s="43">
        <v>16657.5</v>
      </c>
      <c r="V31" s="43">
        <v>-999</v>
      </c>
      <c r="W31" s="43">
        <f t="shared" si="4"/>
        <v>16657.5</v>
      </c>
      <c r="X31" s="43">
        <v>57908.9</v>
      </c>
      <c r="Y31" s="43">
        <v>-999</v>
      </c>
      <c r="Z31" s="43">
        <f t="shared" si="5"/>
        <v>57908.9</v>
      </c>
      <c r="AA31" s="22">
        <v>42729.599999999999</v>
      </c>
      <c r="AB31">
        <v>-999</v>
      </c>
      <c r="AC31">
        <v>42729.599999999999</v>
      </c>
      <c r="AD31">
        <v>68524.5</v>
      </c>
      <c r="AE31">
        <v>-999</v>
      </c>
      <c r="AF31">
        <v>68524.5</v>
      </c>
      <c r="AG31">
        <v>238222.1</v>
      </c>
      <c r="AH31">
        <v>-999</v>
      </c>
      <c r="AI31">
        <v>238222.1</v>
      </c>
      <c r="AJ31">
        <v>40765.800000000003</v>
      </c>
      <c r="AK31">
        <v>-999</v>
      </c>
      <c r="AL31">
        <v>40765.800000000003</v>
      </c>
      <c r="AM31">
        <v>65375.199999999997</v>
      </c>
      <c r="AN31">
        <v>-999</v>
      </c>
      <c r="AO31">
        <v>65375.199999999997</v>
      </c>
      <c r="AP31">
        <v>227273.7</v>
      </c>
      <c r="AQ31">
        <v>-999</v>
      </c>
      <c r="AR31">
        <v>227273.7</v>
      </c>
      <c r="AS31">
        <v>682890.87</v>
      </c>
      <c r="AT31" s="22">
        <f t="shared" si="34"/>
        <v>71131.30174296</v>
      </c>
      <c r="AU31">
        <f t="shared" si="34"/>
        <v>-999</v>
      </c>
      <c r="AV31">
        <f t="shared" si="34"/>
        <v>71131.30174296</v>
      </c>
      <c r="AW31">
        <f t="shared" si="34"/>
        <v>114071.67130713751</v>
      </c>
      <c r="AX31">
        <f t="shared" si="34"/>
        <v>-999</v>
      </c>
      <c r="AY31">
        <f t="shared" si="34"/>
        <v>114071.67130713751</v>
      </c>
      <c r="AZ31">
        <f t="shared" si="34"/>
        <v>396564.63147189748</v>
      </c>
      <c r="BA31">
        <f t="shared" si="34"/>
        <v>-999</v>
      </c>
      <c r="BB31">
        <f t="shared" si="34"/>
        <v>396564.63147189748</v>
      </c>
      <c r="BC31">
        <f t="shared" si="34"/>
        <v>67862.194370955011</v>
      </c>
      <c r="BD31">
        <f t="shared" si="34"/>
        <v>-999</v>
      </c>
      <c r="BE31">
        <f t="shared" si="34"/>
        <v>67862.194370955011</v>
      </c>
      <c r="BF31">
        <f t="shared" si="34"/>
        <v>108829.08049002</v>
      </c>
      <c r="BG31">
        <f t="shared" si="34"/>
        <v>-999</v>
      </c>
      <c r="BH31">
        <f t="shared" si="34"/>
        <v>108829.08049002</v>
      </c>
      <c r="BI31">
        <f t="shared" si="34"/>
        <v>378338.99996580754</v>
      </c>
      <c r="BJ31">
        <f t="shared" si="7"/>
        <v>-999</v>
      </c>
      <c r="BK31">
        <f t="shared" si="7"/>
        <v>378338.99996580754</v>
      </c>
      <c r="BL31">
        <f t="shared" si="7"/>
        <v>1136797.8294082433</v>
      </c>
      <c r="BM31" s="22">
        <f>-17.17-(0.1023*E31)+F31*(100-8.576-13.681)</f>
        <v>25.302408846351433</v>
      </c>
      <c r="BN31">
        <f>IF(AT31&lt;&gt;-999,AT31*$BM31, -999)</f>
        <v>1799793.2784735642</v>
      </c>
      <c r="BO31">
        <f>IF(AU31&lt;&gt;-999,AU31*$BM31, -999)</f>
        <v>-999</v>
      </c>
      <c r="BP31" s="25">
        <f>IF(AV31&lt;&gt;-999,AV31*$BM31, -999)</f>
        <v>1799793.2784735642</v>
      </c>
      <c r="BQ31">
        <f>-19.943-(0.1023*E31)+F31*(100-8.576-13.681)</f>
        <v>22.529408846351437</v>
      </c>
      <c r="BR31">
        <f>IF(AW31&lt;&gt;-999,AW31*$BQ31, -999)</f>
        <v>2569967.3206651174</v>
      </c>
      <c r="BS31">
        <f>IF(AX31&lt;&gt;-999,AX31*$BQ31, -999)</f>
        <v>-999</v>
      </c>
      <c r="BT31" s="25">
        <f>IF(AY31&lt;&gt;-999,AY31*$BQ31, -999)</f>
        <v>2569967.3206651174</v>
      </c>
      <c r="BU31">
        <f>-25.871-(0.1023*E31)+F31*(100-8.576-13.681)</f>
        <v>16.60140884635144</v>
      </c>
      <c r="BV31">
        <f>IF(AZ31&lt;&gt;-999,AZ31*$BU31, -999)</f>
        <v>6583531.5810676571</v>
      </c>
      <c r="BW31">
        <f>IF(BA31&lt;&gt;-999,BA31*$BU31, -999)</f>
        <v>-999</v>
      </c>
      <c r="BX31" s="25">
        <f>IF(BB31&lt;&gt;-999,BB31*$BU31, -999)</f>
        <v>6583531.5810676571</v>
      </c>
      <c r="BY31">
        <f>-25.245-(0.1023*E31)+F31*(100-8.576-13.681)</f>
        <v>17.22740884635143</v>
      </c>
      <c r="BZ31">
        <f>IF(BC31&lt;&gt;-999,BC31*$BY31, -999)</f>
        <v>1169089.7676390107</v>
      </c>
      <c r="CA31">
        <f>IF(BD31&lt;&gt;-999,BD31*$BY31, -999)</f>
        <v>-999</v>
      </c>
      <c r="CB31" s="25">
        <f>IF(BE31&lt;&gt;-999,BE31*$BY31, -999)</f>
        <v>1169089.7676390107</v>
      </c>
      <c r="CC31">
        <f>-29.317-(0.1023*E31)+F31*(100-8.576-13.681)</f>
        <v>13.155408846351435</v>
      </c>
      <c r="CD31">
        <f>IF(BF31&lt;&gt;-999,BF31*$CC31, -999)</f>
        <v>1431691.0482187015</v>
      </c>
      <c r="CE31">
        <f>IF(BG31&lt;&gt;-999,BG31*$CC31, -999)</f>
        <v>-999</v>
      </c>
      <c r="CF31" s="25">
        <f>IF(BH31&lt;&gt;-999,BH31*$CC31, -999)</f>
        <v>1431691.0482187015</v>
      </c>
      <c r="CG31">
        <f>-38.03-(0.1023*E31)+F31*(100-8.576-13.681)</f>
        <v>4.4424088463514337</v>
      </c>
      <c r="CH31">
        <f>IF(BI31&lt;&gt;-999,BI31*$CG31, -999)</f>
        <v>1680736.5203678582</v>
      </c>
      <c r="CI31">
        <f>IF(BJ31&lt;&gt;-999,BJ31*$CG31, -999)</f>
        <v>-999</v>
      </c>
      <c r="CJ31" s="25">
        <f>IF(BK31&lt;&gt;-999,BK31*$CG31, -999)</f>
        <v>1680736.5203678582</v>
      </c>
      <c r="CK31" s="26">
        <f t="shared" si="8"/>
        <v>15234809.516431911</v>
      </c>
      <c r="CL31">
        <f t="shared" si="9"/>
        <v>-24.611393657779935</v>
      </c>
      <c r="CM31">
        <f t="shared" si="10"/>
        <v>32.999125797820199</v>
      </c>
      <c r="CN31">
        <f t="shared" si="11"/>
        <v>-81.226770462425137</v>
      </c>
      <c r="CO31" s="22">
        <f t="shared" si="12"/>
        <v>-40.08</v>
      </c>
      <c r="CP31">
        <f>IF(AT31&lt;&gt;-999,AT31*$CO31, -999)</f>
        <v>-2850942.5738578369</v>
      </c>
      <c r="CQ31">
        <f>IF(AU31&lt;&gt;-999,AU31*$CO31, -999)</f>
        <v>-999</v>
      </c>
      <c r="CR31" s="27">
        <f>IF(AV31&lt;&gt;-999,AV31*$CO31, -999)</f>
        <v>-2850942.5738578369</v>
      </c>
      <c r="CS31">
        <f t="shared" si="13"/>
        <v>-42.853000000000002</v>
      </c>
      <c r="CT31">
        <f>IF(AW31&lt;&gt;-999,AW31*$CS31, -999)</f>
        <v>-4888313.330524764</v>
      </c>
      <c r="CU31">
        <f>IF(AX31&lt;&gt;-999,AX31*$CS31, -999)</f>
        <v>-999</v>
      </c>
      <c r="CV31" s="27">
        <f>IF(AY31&lt;&gt;-999,AY31*$CS31, -999)</f>
        <v>-4888313.330524764</v>
      </c>
      <c r="CW31">
        <f t="shared" si="14"/>
        <v>-48.780999999999999</v>
      </c>
      <c r="CX31">
        <f>IF(AZ31&lt;&gt;-999,AZ31*$CO31, -999)</f>
        <v>-15894310.429393651</v>
      </c>
      <c r="CY31">
        <f>IF(BA31&lt;&gt;-999,BA31*$CO31, -999)</f>
        <v>-999</v>
      </c>
      <c r="CZ31" s="27">
        <f>IF(BB31&lt;&gt;-999,BB31*$CO31, -999)</f>
        <v>-15894310.429393651</v>
      </c>
      <c r="DA31">
        <f t="shared" si="15"/>
        <v>-48.155000000000001</v>
      </c>
      <c r="DB31">
        <f>IF(BC31&lt;&gt;-999,BC31*$DA31, -999)</f>
        <v>-3267903.9699333385</v>
      </c>
      <c r="DC31">
        <f>IF(BD31&lt;&gt;-999,BD31*$DA31, -999)</f>
        <v>-999</v>
      </c>
      <c r="DD31" s="27">
        <f>IF(BE31&lt;&gt;-999,BE31*$DA31, -999)</f>
        <v>-3267903.9699333385</v>
      </c>
      <c r="DE31">
        <f t="shared" si="16"/>
        <v>-52.227000000000004</v>
      </c>
      <c r="DF31">
        <f>IF(BF31&lt;&gt;-999,BF31*$DE31, -999)</f>
        <v>-5683816.3867522748</v>
      </c>
      <c r="DG31">
        <f>IF(BG31&lt;&gt;-999,BG31*$DE31, -999)</f>
        <v>-999</v>
      </c>
      <c r="DH31" s="27">
        <f>IF(BH31&lt;&gt;-999,BH31*$DE31, -999)</f>
        <v>-5683816.3867522748</v>
      </c>
      <c r="DI31">
        <f t="shared" si="17"/>
        <v>-60.94</v>
      </c>
      <c r="DJ31">
        <f>IF(BI31&lt;&gt;-999,BI31*$DI31, -999)</f>
        <v>-23055978.657916311</v>
      </c>
      <c r="DK31">
        <f>IF(BJ31&lt;&gt;-999,BJ31*$DI31, -999)</f>
        <v>-999</v>
      </c>
      <c r="DL31" s="27">
        <f>IF(BK31&lt;&gt;-999,BK31*$DI31, -999)</f>
        <v>-23055978.657916311</v>
      </c>
      <c r="DM31" s="28">
        <f t="shared" si="18"/>
        <v>-55641265.348378174</v>
      </c>
      <c r="DN31" s="22">
        <f t="shared" si="19"/>
        <v>-17.170000000000002</v>
      </c>
      <c r="DO31">
        <f>IF(AT31&lt;&gt;-999,AT31*$DN31, -999)</f>
        <v>-1221324.4509266233</v>
      </c>
      <c r="DP31">
        <f>IF(AU31&lt;&gt;-999,AU31*$DN31, -999)</f>
        <v>-999</v>
      </c>
      <c r="DQ31" s="24">
        <f>IF(AV31&lt;&gt;-999,AV31*$DN31, -999)</f>
        <v>-1221324.4509266233</v>
      </c>
      <c r="DR31">
        <f t="shared" si="20"/>
        <v>-19.943000000000001</v>
      </c>
      <c r="DS31">
        <f>IF(AW31&lt;&gt;-999,AW31*$DR31, -999)</f>
        <v>-2274931.3408782436</v>
      </c>
      <c r="DT31">
        <f>IF(AX31&lt;&gt;-999,AX31*$DR31, -999)</f>
        <v>-999</v>
      </c>
      <c r="DU31" s="24">
        <f>IF(AY31&lt;&gt;-999,AY31*$DR31, -999)</f>
        <v>-2274931.3408782436</v>
      </c>
      <c r="DV31">
        <f t="shared" si="21"/>
        <v>-25.870999999999999</v>
      </c>
      <c r="DW31">
        <f>IF(AZ31&lt;&gt;-999,AZ31*$DV31, -999)</f>
        <v>-10259523.580809459</v>
      </c>
      <c r="DX31">
        <f>IF(BA31&lt;&gt;-999,BA31*$DV31, -999)</f>
        <v>-999</v>
      </c>
      <c r="DY31" s="24">
        <f>IF(BB31&lt;&gt;-999,BB31*$DV31, -999)</f>
        <v>-10259523.580809459</v>
      </c>
      <c r="DZ31">
        <f t="shared" si="22"/>
        <v>-25.245000000000001</v>
      </c>
      <c r="EA31">
        <f>IF(BC31&lt;&gt;-999, BC31*$DZ31, -999)</f>
        <v>-1713181.0968947592</v>
      </c>
      <c r="EB31">
        <f>IF(BD31&lt;&gt;-999, BD31*$DZ31, -999)</f>
        <v>-999</v>
      </c>
      <c r="EC31" s="24">
        <f>IF(BE31&lt;&gt;-999, BE31*$DZ31, -999)</f>
        <v>-1713181.0968947592</v>
      </c>
      <c r="ED31">
        <f t="shared" si="23"/>
        <v>-29.317</v>
      </c>
      <c r="EE31">
        <f>IF(BF31&lt;&gt;-999,BF31*$ED31, -999)</f>
        <v>-3190542.1527259164</v>
      </c>
      <c r="EF31">
        <f>IF(BG31&lt;&gt;-999,BG31*$ED31, -999)</f>
        <v>-999</v>
      </c>
      <c r="EG31" s="24">
        <f>IF(BH31&lt;&gt;-999,BH31*$ED31, -999)</f>
        <v>-3190542.1527259164</v>
      </c>
      <c r="EH31">
        <f t="shared" si="24"/>
        <v>-38.03</v>
      </c>
      <c r="EI31">
        <f>IF(BI31&lt;&gt;-999,BI31*$EH31, -999)</f>
        <v>-14388232.168699661</v>
      </c>
      <c r="EJ31">
        <f>IF(BJ31&lt;&gt;-999,BJ31*$EH31, -999)</f>
        <v>-999</v>
      </c>
      <c r="EK31" s="24">
        <f>IF(BK31&lt;&gt;-999,BK31*$EH31, -999)</f>
        <v>-14388232.168699661</v>
      </c>
      <c r="EL31" s="28">
        <f t="shared" si="25"/>
        <v>-33047734.79093466</v>
      </c>
      <c r="EM31" s="22">
        <f>-17.17-(0.1023*G31)+H31*(100+102.093-66.644-64.243)</f>
        <v>36.338894492151923</v>
      </c>
      <c r="EN31">
        <f>IF(AT31&lt;&gt;-999,AT31*$EM31, -999)</f>
        <v>2584832.8691268456</v>
      </c>
      <c r="EO31">
        <f>IF(AU31&lt;&gt;-999,AU31*$EM31, -999)</f>
        <v>-999</v>
      </c>
      <c r="EP31" s="23">
        <f>IF(AV31&lt;&gt;-999,AV31*$EM31, -999)</f>
        <v>2584832.8691268456</v>
      </c>
      <c r="EQ31">
        <f>-19.943-(0.1023*G31)+H31*(100+102.093-66.644-64.243)</f>
        <v>33.565894492151926</v>
      </c>
      <c r="ER31">
        <f>IF(AW31&lt;&gt;-999,AW31*$EQ31, -999)</f>
        <v>3828917.683638812</v>
      </c>
      <c r="ES31">
        <f>IF(AX31&lt;&gt;-999,AX31*$EQ31, -999)</f>
        <v>-999</v>
      </c>
      <c r="ET31" s="23">
        <f>IF(AY31&lt;&gt;-999,AY31*$EQ31, -999)</f>
        <v>3828917.683638812</v>
      </c>
      <c r="EU31">
        <f>-25.871-(0.1023*G31)+H31*(100+102.093-66.644-64.243)</f>
        <v>27.637894492151929</v>
      </c>
      <c r="EV31">
        <f>IF(AZ31&lt;&gt;-999,AZ31*$EU31, -999)</f>
        <v>10960211.443939416</v>
      </c>
      <c r="EW31">
        <f>IF(BA31&lt;&gt;-999,BA31*$EU31, -999)</f>
        <v>-999</v>
      </c>
      <c r="EX31" s="23">
        <f>IF(BB31&lt;&gt;-999,BB31*$EU31, -999)</f>
        <v>10960211.443939416</v>
      </c>
      <c r="EY31">
        <f>-25.245-(0.1023*G31)+H31*(100+102.093-66.644-64.243)</f>
        <v>28.263894492151927</v>
      </c>
      <c r="EZ31">
        <f>IF(BC31&lt;&gt;-999, BC31*$EY31, -999)</f>
        <v>1918049.9017065789</v>
      </c>
      <c r="FA31">
        <f>IF(BD31&lt;&gt;-999, BD31*$EY31, -999)</f>
        <v>-999</v>
      </c>
      <c r="FB31" s="23">
        <f>IF(BE31&lt;&gt;-999, BE31*$EY31, -999)</f>
        <v>1918049.9017065789</v>
      </c>
      <c r="FC31">
        <f>-29.317-(0.1023*G31)+H31*(100+102.093-66.644-64.243)</f>
        <v>24.191894492151931</v>
      </c>
      <c r="FD31">
        <f>IF(BF31&lt;&gt;-999,BF31*$FC31, -999)</f>
        <v>2632781.6328924741</v>
      </c>
      <c r="FE31">
        <f>IF(BG31&lt;&gt;-999,BG31*$FC31, -999)</f>
        <v>-999</v>
      </c>
      <c r="FF31" s="23">
        <f>IF(BH31&lt;&gt;-999,BH31*$FC31, -999)</f>
        <v>2632781.6328924741</v>
      </c>
      <c r="FG31">
        <f>-38.03-(0.1023*G31)+H31*(100+102.093-66.644-64.243)</f>
        <v>15.47889449215193</v>
      </c>
      <c r="FH31">
        <f>IF(BI31&lt;&gt;-999,BI31*$FG31, -999)</f>
        <v>5856269.462737008</v>
      </c>
      <c r="FI31">
        <f>IF(BJ31&lt;&gt;-999,BJ31*$FG31, -999)</f>
        <v>-999</v>
      </c>
      <c r="FJ31" s="23">
        <f>IF(BK31&lt;&gt;-999,BK31*$FG31, -999)</f>
        <v>5856269.462737008</v>
      </c>
      <c r="FK31" s="28">
        <f t="shared" si="26"/>
        <v>27781062.994041137</v>
      </c>
      <c r="FL31" s="22">
        <f t="shared" si="28"/>
        <v>10.012280000000011</v>
      </c>
      <c r="FM31">
        <f>IF(AT31&lt;&gt;-999,AT31*$FL31, -999)</f>
        <v>712186.5098150043</v>
      </c>
      <c r="FN31">
        <f>IF(AU31&lt;&gt;-999,AU31*$FL31, -999)</f>
        <v>-999</v>
      </c>
      <c r="FO31" s="29">
        <f>IF(AV31&lt;&gt;-999,AV31*$FL31, -999)</f>
        <v>712186.5098150043</v>
      </c>
      <c r="FP31">
        <f t="shared" si="29"/>
        <v>7.2392800000000115</v>
      </c>
      <c r="FQ31">
        <f>IF(AW31&lt;&gt;-999,AW31*$FP31, -999)</f>
        <v>825796.7686603358</v>
      </c>
      <c r="FR31">
        <f>IF(AX31&lt;&gt;-999,AX31*$FP31, -999)</f>
        <v>-999</v>
      </c>
      <c r="FS31" s="29">
        <f>IF(AY31&lt;&gt;-999,AY31*$FP31, -999)</f>
        <v>825796.7686603358</v>
      </c>
      <c r="FT31">
        <f t="shared" si="30"/>
        <v>1.3112800000000142</v>
      </c>
      <c r="FU31">
        <f>IF(AZ31&lt;&gt;-999,AZ31*$FT31, -999)</f>
        <v>520007.26995647536</v>
      </c>
      <c r="FV31">
        <f>IF(BA31&lt;&gt;-999,BA31*$FT31, -999)</f>
        <v>-999</v>
      </c>
      <c r="FW31" s="29">
        <f>IF(BB31&lt;&gt;-999,BB31*$FT31, -999)</f>
        <v>520007.26995647536</v>
      </c>
      <c r="FX31">
        <f t="shared" si="31"/>
        <v>1.9372800000000119</v>
      </c>
      <c r="FY31">
        <f>IF(BC31&lt;&gt;-999, BC31*$FX31, -999)</f>
        <v>131468.07191096453</v>
      </c>
      <c r="FZ31">
        <f>IF(BD31&lt;&gt;-999, BD31*$FX31, -999)</f>
        <v>-999</v>
      </c>
      <c r="GA31" s="29">
        <f>IF(BE31&lt;&gt;-999, BE31*$FX31, -999)</f>
        <v>131468.07191096453</v>
      </c>
      <c r="GB31">
        <f t="shared" si="32"/>
        <v>-2.1347199999999873</v>
      </c>
      <c r="GC31">
        <f>IF(BF31&lt;&gt;-999,BF31*$GB31, -999)</f>
        <v>-232319.61470365411</v>
      </c>
      <c r="GD31">
        <f>IF(BG31&lt;&gt;-999,BG31*$GB31, -999)</f>
        <v>-999</v>
      </c>
      <c r="GE31" s="29">
        <f>IF(BH31&lt;&gt;-999,BH31*$GB31, -999)</f>
        <v>-232319.61470365411</v>
      </c>
      <c r="GF31">
        <f t="shared" si="33"/>
        <v>-10.847719999999988</v>
      </c>
      <c r="GG31">
        <f>IF(BI31&lt;&gt;-999,BI31*$GF31, -999)</f>
        <v>-4104115.5367090851</v>
      </c>
      <c r="GH31">
        <f>IF(BJ31&lt;&gt;-999,BJ31*$GF31, -999)</f>
        <v>-999</v>
      </c>
      <c r="GI31" s="29">
        <f>IF(BK31&lt;&gt;-999,BK31*$GF31, -999)</f>
        <v>-4104115.5367090851</v>
      </c>
      <c r="GJ31" s="30">
        <f t="shared" si="27"/>
        <v>-2146976.5310699595</v>
      </c>
    </row>
    <row r="32" spans="1:192">
      <c r="A32" s="48" t="s">
        <v>138</v>
      </c>
      <c r="B32" s="48" t="s">
        <v>171</v>
      </c>
      <c r="C32" s="49">
        <v>32</v>
      </c>
      <c r="D32" s="50">
        <v>0.96099999999999997</v>
      </c>
      <c r="E32" s="49">
        <v>145.908945368845</v>
      </c>
      <c r="F32" s="49">
        <v>0.79219987567105998</v>
      </c>
      <c r="G32" s="49">
        <v>201.44708363456601</v>
      </c>
      <c r="H32" s="49">
        <v>0.80874551360880398</v>
      </c>
      <c r="I32" s="42">
        <v>12280.7</v>
      </c>
      <c r="J32" s="43">
        <v>-999</v>
      </c>
      <c r="K32" s="43">
        <f t="shared" si="0"/>
        <v>12280.7</v>
      </c>
      <c r="L32" s="43">
        <v>31985.7</v>
      </c>
      <c r="M32" s="43">
        <v>-999</v>
      </c>
      <c r="N32" s="43">
        <f t="shared" si="1"/>
        <v>31985.7</v>
      </c>
      <c r="O32" s="43">
        <v>34837.800000000003</v>
      </c>
      <c r="P32" s="43">
        <v>-999</v>
      </c>
      <c r="Q32" s="43">
        <f t="shared" si="2"/>
        <v>34837.800000000003</v>
      </c>
      <c r="R32" s="43">
        <v>5970.4</v>
      </c>
      <c r="S32" s="43">
        <v>-999</v>
      </c>
      <c r="T32" s="43">
        <f t="shared" si="3"/>
        <v>5970.4</v>
      </c>
      <c r="U32" s="43">
        <v>15550.2</v>
      </c>
      <c r="V32" s="43">
        <v>-999</v>
      </c>
      <c r="W32" s="43">
        <f t="shared" si="4"/>
        <v>15550.2</v>
      </c>
      <c r="X32" s="43">
        <v>16936.8</v>
      </c>
      <c r="Y32" s="43">
        <v>-999</v>
      </c>
      <c r="Z32" s="43">
        <f t="shared" si="5"/>
        <v>16936.8</v>
      </c>
      <c r="AA32" s="22">
        <v>29057.200000000001</v>
      </c>
      <c r="AB32">
        <v>-999</v>
      </c>
      <c r="AC32">
        <v>29057.200000000001</v>
      </c>
      <c r="AD32">
        <v>75681</v>
      </c>
      <c r="AE32">
        <v>-999</v>
      </c>
      <c r="AF32">
        <v>75681</v>
      </c>
      <c r="AG32">
        <v>82429.3</v>
      </c>
      <c r="AH32">
        <v>-999</v>
      </c>
      <c r="AI32">
        <v>82429.3</v>
      </c>
      <c r="AJ32">
        <v>14126.5</v>
      </c>
      <c r="AK32">
        <v>-999</v>
      </c>
      <c r="AL32">
        <v>14126.5</v>
      </c>
      <c r="AM32">
        <v>36793.199999999997</v>
      </c>
      <c r="AN32">
        <v>-999</v>
      </c>
      <c r="AO32">
        <v>36793.199999999997</v>
      </c>
      <c r="AP32">
        <v>40074</v>
      </c>
      <c r="AQ32">
        <v>-999</v>
      </c>
      <c r="AR32">
        <v>40074</v>
      </c>
      <c r="AS32">
        <v>278161.23</v>
      </c>
      <c r="AT32" s="22">
        <f t="shared" si="34"/>
        <v>48371.069726970003</v>
      </c>
      <c r="AU32">
        <f t="shared" si="34"/>
        <v>-999</v>
      </c>
      <c r="AV32">
        <f t="shared" si="34"/>
        <v>48371.069726970003</v>
      </c>
      <c r="AW32">
        <f t="shared" si="34"/>
        <v>125984.98575247501</v>
      </c>
      <c r="AX32">
        <f t="shared" si="34"/>
        <v>-999</v>
      </c>
      <c r="AY32">
        <f t="shared" si="34"/>
        <v>125984.98575247501</v>
      </c>
      <c r="AZ32">
        <f t="shared" si="34"/>
        <v>137218.77599511752</v>
      </c>
      <c r="BA32">
        <f t="shared" si="34"/>
        <v>-999</v>
      </c>
      <c r="BB32">
        <f t="shared" si="34"/>
        <v>137218.77599511752</v>
      </c>
      <c r="BC32">
        <f t="shared" si="34"/>
        <v>23516.165236087498</v>
      </c>
      <c r="BD32">
        <f t="shared" si="34"/>
        <v>-999</v>
      </c>
      <c r="BE32">
        <f t="shared" si="34"/>
        <v>23516.165236087498</v>
      </c>
      <c r="BF32">
        <f t="shared" si="34"/>
        <v>61249.068825570001</v>
      </c>
      <c r="BG32">
        <f t="shared" si="34"/>
        <v>-999</v>
      </c>
      <c r="BH32">
        <f t="shared" si="34"/>
        <v>61249.068825570001</v>
      </c>
      <c r="BI32">
        <f t="shared" si="34"/>
        <v>66710.565651149998</v>
      </c>
      <c r="BJ32">
        <f t="shared" si="7"/>
        <v>-999</v>
      </c>
      <c r="BK32">
        <f t="shared" si="7"/>
        <v>66710.565651149998</v>
      </c>
      <c r="BL32">
        <f t="shared" si="7"/>
        <v>463050.68112790422</v>
      </c>
      <c r="BM32" s="22">
        <f>-17.17-(0.1023*E32)+F32*(100-8.576-13.681)</f>
        <v>29.49150982306238</v>
      </c>
      <c r="BN32">
        <f>IF(AT32&lt;&gt;-999,AT32*$BM32, -999)</f>
        <v>1426535.8780049712</v>
      </c>
      <c r="BO32">
        <f>IF(AU32&lt;&gt;-999,AU32*$BM32, -999)</f>
        <v>-999</v>
      </c>
      <c r="BP32" s="25">
        <f>IF(AV32&lt;&gt;-999,AV32*$BM32, -999)</f>
        <v>1426535.8780049712</v>
      </c>
      <c r="BQ32">
        <f>-19.943-(0.1023*E32)+F32*(100-8.576-13.681)</f>
        <v>26.718509823062377</v>
      </c>
      <c r="BR32">
        <f>IF(AW32&lt;&gt;-999,AW32*$BQ32, -999)</f>
        <v>3366131.0793858771</v>
      </c>
      <c r="BS32">
        <f>IF(AX32&lt;&gt;-999,AX32*$BQ32, -999)</f>
        <v>-999</v>
      </c>
      <c r="BT32" s="25">
        <f>IF(AY32&lt;&gt;-999,AY32*$BQ32, -999)</f>
        <v>3366131.0793858771</v>
      </c>
      <c r="BU32">
        <f>-25.871-(0.1023*E32)+F32*(100-8.576-13.681)</f>
        <v>20.790509823062379</v>
      </c>
      <c r="BV32">
        <f>IF(AZ32&lt;&gt;-999,AZ32*$BU32, -999)</f>
        <v>2852848.3102350873</v>
      </c>
      <c r="BW32">
        <f>IF(BA32&lt;&gt;-999,BA32*$BU32, -999)</f>
        <v>-999</v>
      </c>
      <c r="BX32" s="25">
        <f>IF(BB32&lt;&gt;-999,BB32*$BU32, -999)</f>
        <v>2852848.3102350873</v>
      </c>
      <c r="BY32">
        <f>-25.245-(0.1023*E32)+F32*(100-8.576-13.681)</f>
        <v>21.416509823062384</v>
      </c>
      <c r="BZ32">
        <f>IF(BC32&lt;&gt;-999,BC32*$BY32, -999)</f>
        <v>503634.18377942604</v>
      </c>
      <c r="CA32">
        <f>IF(BD32&lt;&gt;-999,BD32*$BY32, -999)</f>
        <v>-999</v>
      </c>
      <c r="CB32" s="25">
        <f>IF(BE32&lt;&gt;-999,BE32*$BY32, -999)</f>
        <v>503634.18377942604</v>
      </c>
      <c r="CC32">
        <f>-29.317-(0.1023*E32)+F32*(100-8.576-13.681)</f>
        <v>17.344509823062381</v>
      </c>
      <c r="CD32">
        <f>IF(BF32&lt;&gt;-999,BF32*$CC32, -999)</f>
        <v>1062335.0758985227</v>
      </c>
      <c r="CE32">
        <f>IF(BG32&lt;&gt;-999,BG32*$CC32, -999)</f>
        <v>-999</v>
      </c>
      <c r="CF32" s="25">
        <f>IF(BH32&lt;&gt;-999,BH32*$CC32, -999)</f>
        <v>1062335.0758985227</v>
      </c>
      <c r="CG32">
        <f>-38.03-(0.1023*E32)+F32*(100-8.576-13.681)</f>
        <v>8.6315098230623803</v>
      </c>
      <c r="CH32">
        <f>IF(BI32&lt;&gt;-999,BI32*$CG32, -999)</f>
        <v>575812.90271994902</v>
      </c>
      <c r="CI32">
        <f>IF(BJ32&lt;&gt;-999,BJ32*$CG32, -999)</f>
        <v>-999</v>
      </c>
      <c r="CJ32" s="25">
        <f>IF(BK32&lt;&gt;-999,BK32*$CG32, -999)</f>
        <v>575812.90271994902</v>
      </c>
      <c r="CK32" s="26">
        <f t="shared" si="8"/>
        <v>9787297.4300238322</v>
      </c>
      <c r="CL32">
        <f t="shared" si="9"/>
        <v>-29.369510107847056</v>
      </c>
      <c r="CM32">
        <f t="shared" si="10"/>
        <v>27.996063146635294</v>
      </c>
      <c r="CN32">
        <f t="shared" si="11"/>
        <v>-85.744171820800759</v>
      </c>
      <c r="CO32" s="22">
        <f t="shared" si="12"/>
        <v>-40.08</v>
      </c>
      <c r="CP32">
        <f>IF(AT32&lt;&gt;-999,AT32*$CO32, -999)</f>
        <v>-1938712.4746569577</v>
      </c>
      <c r="CQ32">
        <f>IF(AU32&lt;&gt;-999,AU32*$CO32, -999)</f>
        <v>-999</v>
      </c>
      <c r="CR32" s="27">
        <f>IF(AV32&lt;&gt;-999,AV32*$CO32, -999)</f>
        <v>-1938712.4746569577</v>
      </c>
      <c r="CS32">
        <f t="shared" si="13"/>
        <v>-42.853000000000002</v>
      </c>
      <c r="CT32">
        <f>IF(AW32&lt;&gt;-999,AW32*$CS32, -999)</f>
        <v>-5398834.5944508119</v>
      </c>
      <c r="CU32">
        <f>IF(AX32&lt;&gt;-999,AX32*$CS32, -999)</f>
        <v>-999</v>
      </c>
      <c r="CV32" s="27">
        <f>IF(AY32&lt;&gt;-999,AY32*$CS32, -999)</f>
        <v>-5398834.5944508119</v>
      </c>
      <c r="CW32">
        <f t="shared" si="14"/>
        <v>-48.780999999999999</v>
      </c>
      <c r="CX32">
        <f>IF(AZ32&lt;&gt;-999,AZ32*$CO32, -999)</f>
        <v>-5499728.5418843105</v>
      </c>
      <c r="CY32">
        <f>IF(BA32&lt;&gt;-999,BA32*$CO32, -999)</f>
        <v>-999</v>
      </c>
      <c r="CZ32" s="27">
        <f>IF(BB32&lt;&gt;-999,BB32*$CO32, -999)</f>
        <v>-5499728.5418843105</v>
      </c>
      <c r="DA32">
        <f t="shared" si="15"/>
        <v>-48.155000000000001</v>
      </c>
      <c r="DB32">
        <f>IF(BC32&lt;&gt;-999,BC32*$DA32, -999)</f>
        <v>-1132420.9369437934</v>
      </c>
      <c r="DC32">
        <f>IF(BD32&lt;&gt;-999,BD32*$DA32, -999)</f>
        <v>-999</v>
      </c>
      <c r="DD32" s="27">
        <f>IF(BE32&lt;&gt;-999,BE32*$DA32, -999)</f>
        <v>-1132420.9369437934</v>
      </c>
      <c r="DE32">
        <f t="shared" si="16"/>
        <v>-52.227000000000004</v>
      </c>
      <c r="DF32">
        <f>IF(BF32&lt;&gt;-999,BF32*$DE32, -999)</f>
        <v>-3198855.1175530446</v>
      </c>
      <c r="DG32">
        <f>IF(BG32&lt;&gt;-999,BG32*$DE32, -999)</f>
        <v>-999</v>
      </c>
      <c r="DH32" s="27">
        <f>IF(BH32&lt;&gt;-999,BH32*$DE32, -999)</f>
        <v>-3198855.1175530446</v>
      </c>
      <c r="DI32">
        <f t="shared" si="17"/>
        <v>-60.94</v>
      </c>
      <c r="DJ32">
        <f>IF(BI32&lt;&gt;-999,BI32*$DI32, -999)</f>
        <v>-4065341.8707810808</v>
      </c>
      <c r="DK32">
        <f>IF(BJ32&lt;&gt;-999,BJ32*$DI32, -999)</f>
        <v>-999</v>
      </c>
      <c r="DL32" s="27">
        <f>IF(BK32&lt;&gt;-999,BK32*$DI32, -999)</f>
        <v>-4065341.8707810808</v>
      </c>
      <c r="DM32" s="28">
        <f t="shared" si="18"/>
        <v>-21233893.53627</v>
      </c>
      <c r="DN32" s="22">
        <f t="shared" si="19"/>
        <v>-17.170000000000002</v>
      </c>
      <c r="DO32">
        <f>IF(AT32&lt;&gt;-999,AT32*$DN32, -999)</f>
        <v>-830531.26721207506</v>
      </c>
      <c r="DP32">
        <f>IF(AU32&lt;&gt;-999,AU32*$DN32, -999)</f>
        <v>-999</v>
      </c>
      <c r="DQ32" s="24">
        <f>IF(AV32&lt;&gt;-999,AV32*$DN32, -999)</f>
        <v>-830531.26721207506</v>
      </c>
      <c r="DR32">
        <f t="shared" si="20"/>
        <v>-19.943000000000001</v>
      </c>
      <c r="DS32">
        <f>IF(AW32&lt;&gt;-999,AW32*$DR32, -999)</f>
        <v>-2512518.5708616092</v>
      </c>
      <c r="DT32">
        <f>IF(AX32&lt;&gt;-999,AX32*$DR32, -999)</f>
        <v>-999</v>
      </c>
      <c r="DU32" s="24">
        <f>IF(AY32&lt;&gt;-999,AY32*$DR32, -999)</f>
        <v>-2512518.5708616092</v>
      </c>
      <c r="DV32">
        <f t="shared" si="21"/>
        <v>-25.870999999999999</v>
      </c>
      <c r="DW32">
        <f>IF(AZ32&lt;&gt;-999,AZ32*$DV32, -999)</f>
        <v>-3549986.9537696852</v>
      </c>
      <c r="DX32">
        <f>IF(BA32&lt;&gt;-999,BA32*$DV32, -999)</f>
        <v>-999</v>
      </c>
      <c r="DY32" s="24">
        <f>IF(BB32&lt;&gt;-999,BB32*$DV32, -999)</f>
        <v>-3549986.9537696852</v>
      </c>
      <c r="DZ32">
        <f t="shared" si="22"/>
        <v>-25.245000000000001</v>
      </c>
      <c r="EA32">
        <f>IF(BC32&lt;&gt;-999, BC32*$DZ32, -999)</f>
        <v>-593665.59138502891</v>
      </c>
      <c r="EB32">
        <f>IF(BD32&lt;&gt;-999, BD32*$DZ32, -999)</f>
        <v>-999</v>
      </c>
      <c r="EC32" s="24">
        <f>IF(BE32&lt;&gt;-999, BE32*$DZ32, -999)</f>
        <v>-593665.59138502891</v>
      </c>
      <c r="ED32">
        <f t="shared" si="23"/>
        <v>-29.317</v>
      </c>
      <c r="EE32">
        <f>IF(BF32&lt;&gt;-999,BF32*$ED32, -999)</f>
        <v>-1795638.9507592358</v>
      </c>
      <c r="EF32">
        <f>IF(BG32&lt;&gt;-999,BG32*$ED32, -999)</f>
        <v>-999</v>
      </c>
      <c r="EG32" s="24">
        <f>IF(BH32&lt;&gt;-999,BH32*$ED32, -999)</f>
        <v>-1795638.9507592358</v>
      </c>
      <c r="EH32">
        <f t="shared" si="24"/>
        <v>-38.03</v>
      </c>
      <c r="EI32">
        <f>IF(BI32&lt;&gt;-999,BI32*$EH32, -999)</f>
        <v>-2537002.8117132345</v>
      </c>
      <c r="EJ32">
        <f>IF(BJ32&lt;&gt;-999,BJ32*$EH32, -999)</f>
        <v>-999</v>
      </c>
      <c r="EK32" s="24">
        <f>IF(BK32&lt;&gt;-999,BK32*$EH32, -999)</f>
        <v>-2537002.8117132345</v>
      </c>
      <c r="EL32" s="28">
        <f t="shared" si="25"/>
        <v>-11819344.145700868</v>
      </c>
      <c r="EM32" s="22">
        <f>-17.17-(0.1023*G32)+H32*(100+102.093-66.644-64.243)</f>
        <v>19.809496386212402</v>
      </c>
      <c r="EN32">
        <f>IF(AT32&lt;&gt;-999,AT32*$EM32, -999)</f>
        <v>958206.53095364035</v>
      </c>
      <c r="EO32">
        <f>IF(AU32&lt;&gt;-999,AU32*$EM32, -999)</f>
        <v>-999</v>
      </c>
      <c r="EP32" s="23">
        <f>IF(AV32&lt;&gt;-999,AV32*$EM32, -999)</f>
        <v>958206.53095364035</v>
      </c>
      <c r="EQ32">
        <f>-19.943-(0.1023*G32)+H32*(100+102.093-66.644-64.243)</f>
        <v>17.036496386212406</v>
      </c>
      <c r="ER32">
        <f>IF(AW32&lt;&gt;-999,AW32*$EQ32, -999)</f>
        <v>2146342.7544890619</v>
      </c>
      <c r="ES32">
        <f>IF(AX32&lt;&gt;-999,AX32*$EQ32, -999)</f>
        <v>-999</v>
      </c>
      <c r="ET32" s="23">
        <f>IF(AY32&lt;&gt;-999,AY32*$EQ32, -999)</f>
        <v>2146342.7544890619</v>
      </c>
      <c r="EU32">
        <f>-25.871-(0.1023*G32)+H32*(100+102.093-66.644-64.243)</f>
        <v>11.108496386212408</v>
      </c>
      <c r="EV32">
        <f>IF(AZ32&lt;&gt;-999,AZ32*$EU32, -999)</f>
        <v>1524294.277262253</v>
      </c>
      <c r="EW32">
        <f>IF(BA32&lt;&gt;-999,BA32*$EU32, -999)</f>
        <v>-999</v>
      </c>
      <c r="EX32" s="23">
        <f>IF(BB32&lt;&gt;-999,BB32*$EU32, -999)</f>
        <v>1524294.277262253</v>
      </c>
      <c r="EY32">
        <f>-25.245-(0.1023*G32)+H32*(100+102.093-66.644-64.243)</f>
        <v>11.734496386212406</v>
      </c>
      <c r="EZ32">
        <f>IF(BC32&lt;&gt;-999, BC32*$EY32, -999)</f>
        <v>275950.35598044255</v>
      </c>
      <c r="FA32">
        <f>IF(BD32&lt;&gt;-999, BD32*$EY32, -999)</f>
        <v>-999</v>
      </c>
      <c r="FB32" s="23">
        <f>IF(BE32&lt;&gt;-999, BE32*$EY32, -999)</f>
        <v>275950.35598044255</v>
      </c>
      <c r="FC32">
        <f>-29.317-(0.1023*G32)+H32*(100+102.093-66.644-64.243)</f>
        <v>7.6624963862124105</v>
      </c>
      <c r="FD32">
        <f>IF(BF32&lt;&gt;-999,BF32*$FC32, -999)</f>
        <v>469320.76853480533</v>
      </c>
      <c r="FE32">
        <f>IF(BG32&lt;&gt;-999,BG32*$FC32, -999)</f>
        <v>-999</v>
      </c>
      <c r="FF32" s="23">
        <f>IF(BH32&lt;&gt;-999,BH32*$FC32, -999)</f>
        <v>469320.76853480533</v>
      </c>
      <c r="FG32">
        <f>-38.03-(0.1023*G32)+H32*(100+102.093-66.644-64.243)</f>
        <v>-1.0505036137875976</v>
      </c>
      <c r="FH32">
        <f>IF(BI32&lt;&gt;-999,BI32*$FG32, -999)</f>
        <v>-70079.690294347849</v>
      </c>
      <c r="FI32">
        <f>IF(BJ32&lt;&gt;-999,BJ32*$FG32, -999)</f>
        <v>-999</v>
      </c>
      <c r="FJ32" s="23">
        <f>IF(BK32&lt;&gt;-999,BK32*$FG32, -999)</f>
        <v>-70079.690294347849</v>
      </c>
      <c r="FK32" s="28">
        <f t="shared" si="26"/>
        <v>5304034.996925856</v>
      </c>
      <c r="FL32" s="22">
        <f t="shared" si="28"/>
        <v>10.012280000000011</v>
      </c>
      <c r="FM32">
        <f>IF(AT32&lt;&gt;-999,AT32*$FL32, -999)</f>
        <v>484304.69400594773</v>
      </c>
      <c r="FN32">
        <f>IF(AU32&lt;&gt;-999,AU32*$FL32, -999)</f>
        <v>-999</v>
      </c>
      <c r="FO32" s="29">
        <f>IF(AV32&lt;&gt;-999,AV32*$FL32, -999)</f>
        <v>484304.69400594773</v>
      </c>
      <c r="FP32">
        <f t="shared" si="29"/>
        <v>7.2392800000000115</v>
      </c>
      <c r="FQ32">
        <f>IF(AW32&lt;&gt;-999,AW32*$FP32, -999)</f>
        <v>912040.58765817876</v>
      </c>
      <c r="FR32">
        <f>IF(AX32&lt;&gt;-999,AX32*$FP32, -999)</f>
        <v>-999</v>
      </c>
      <c r="FS32" s="29">
        <f>IF(AY32&lt;&gt;-999,AY32*$FP32, -999)</f>
        <v>912040.58765817876</v>
      </c>
      <c r="FT32">
        <f t="shared" si="30"/>
        <v>1.3112800000000142</v>
      </c>
      <c r="FU32">
        <f>IF(AZ32&lt;&gt;-999,AZ32*$FT32, -999)</f>
        <v>179932.23658687965</v>
      </c>
      <c r="FV32">
        <f>IF(BA32&lt;&gt;-999,BA32*$FT32, -999)</f>
        <v>-999</v>
      </c>
      <c r="FW32" s="29">
        <f>IF(BB32&lt;&gt;-999,BB32*$FT32, -999)</f>
        <v>179932.23658687965</v>
      </c>
      <c r="FX32">
        <f t="shared" si="31"/>
        <v>1.9372800000000119</v>
      </c>
      <c r="FY32">
        <f>IF(BC32&lt;&gt;-999, BC32*$FX32, -999)</f>
        <v>45557.39658856787</v>
      </c>
      <c r="FZ32">
        <f>IF(BD32&lt;&gt;-999, BD32*$FX32, -999)</f>
        <v>-999</v>
      </c>
      <c r="GA32" s="29">
        <f>IF(BE32&lt;&gt;-999, BE32*$FX32, -999)</f>
        <v>45557.39658856787</v>
      </c>
      <c r="GB32">
        <f t="shared" si="32"/>
        <v>-2.1347199999999873</v>
      </c>
      <c r="GC32">
        <f>IF(BF32&lt;&gt;-999,BF32*$GB32, -999)</f>
        <v>-130749.61220332001</v>
      </c>
      <c r="GD32">
        <f>IF(BG32&lt;&gt;-999,BG32*$GB32, -999)</f>
        <v>-999</v>
      </c>
      <c r="GE32" s="29">
        <f>IF(BH32&lt;&gt;-999,BH32*$GB32, -999)</f>
        <v>-130749.61220332001</v>
      </c>
      <c r="GF32">
        <f t="shared" si="33"/>
        <v>-10.847719999999988</v>
      </c>
      <c r="GG32">
        <f>IF(BI32&lt;&gt;-999,BI32*$GF32, -999)</f>
        <v>-723657.53722529206</v>
      </c>
      <c r="GH32">
        <f>IF(BJ32&lt;&gt;-999,BJ32*$GF32, -999)</f>
        <v>-999</v>
      </c>
      <c r="GI32" s="29">
        <f>IF(BK32&lt;&gt;-999,BK32*$GF32, -999)</f>
        <v>-723657.53722529206</v>
      </c>
      <c r="GJ32" s="30">
        <f t="shared" si="27"/>
        <v>767427.76541096205</v>
      </c>
    </row>
    <row r="33" spans="1:192">
      <c r="A33" s="48" t="s">
        <v>146</v>
      </c>
      <c r="B33" s="48" t="s">
        <v>146</v>
      </c>
      <c r="C33" s="49">
        <v>53</v>
      </c>
      <c r="D33" s="50">
        <v>0.95</v>
      </c>
      <c r="E33" s="49">
        <v>169.079781344662</v>
      </c>
      <c r="F33" s="49">
        <v>0.78483331238168397</v>
      </c>
      <c r="G33" s="49">
        <v>83.375213450907395</v>
      </c>
      <c r="H33" s="49">
        <v>0.81752078277456297</v>
      </c>
      <c r="I33" s="42">
        <v>21641.200000000001</v>
      </c>
      <c r="J33" s="43">
        <v>25929.9</v>
      </c>
      <c r="K33" s="43">
        <f t="shared" si="0"/>
        <v>47571.100000000006</v>
      </c>
      <c r="L33" s="43">
        <v>4740.8</v>
      </c>
      <c r="M33" s="43">
        <v>5680.3</v>
      </c>
      <c r="N33" s="43">
        <f t="shared" si="1"/>
        <v>10421.1</v>
      </c>
      <c r="O33" s="43">
        <v>22447.599999999999</v>
      </c>
      <c r="P33" s="43">
        <v>26896.2</v>
      </c>
      <c r="Q33" s="43">
        <f t="shared" si="2"/>
        <v>49343.8</v>
      </c>
      <c r="R33" s="43">
        <v>24750.7</v>
      </c>
      <c r="S33" s="43">
        <v>29655.7</v>
      </c>
      <c r="T33" s="43">
        <f t="shared" si="3"/>
        <v>54406.400000000001</v>
      </c>
      <c r="U33" s="43">
        <v>5422</v>
      </c>
      <c r="V33" s="43">
        <v>6496.5</v>
      </c>
      <c r="W33" s="43">
        <f t="shared" si="4"/>
        <v>11918.5</v>
      </c>
      <c r="X33" s="43">
        <v>25673.1</v>
      </c>
      <c r="Y33" s="43">
        <v>30760.9</v>
      </c>
      <c r="Z33" s="43">
        <f t="shared" si="5"/>
        <v>56434</v>
      </c>
      <c r="AA33" s="22">
        <v>89320.6</v>
      </c>
      <c r="AB33">
        <v>115816.1</v>
      </c>
      <c r="AC33">
        <v>205136.7</v>
      </c>
      <c r="AD33">
        <v>19567</v>
      </c>
      <c r="AE33">
        <v>25371.200000000001</v>
      </c>
      <c r="AF33">
        <v>44938.2</v>
      </c>
      <c r="AG33">
        <v>92649.2</v>
      </c>
      <c r="AH33">
        <v>120132.1</v>
      </c>
      <c r="AI33">
        <v>212781.3</v>
      </c>
      <c r="AJ33">
        <v>102154.9</v>
      </c>
      <c r="AK33">
        <v>132457.5</v>
      </c>
      <c r="AL33">
        <v>234612.4</v>
      </c>
      <c r="AM33">
        <v>22378.5</v>
      </c>
      <c r="AN33">
        <v>29016.7</v>
      </c>
      <c r="AO33">
        <v>51395.199999999997</v>
      </c>
      <c r="AP33">
        <v>105961.8</v>
      </c>
      <c r="AQ33">
        <v>137393.60000000001</v>
      </c>
      <c r="AR33">
        <v>243355.4</v>
      </c>
      <c r="AS33">
        <v>992219.22</v>
      </c>
      <c r="AT33" s="22">
        <f t="shared" si="34"/>
        <v>148690.61611768501</v>
      </c>
      <c r="AU33">
        <f t="shared" si="34"/>
        <v>192797.26362504749</v>
      </c>
      <c r="AV33">
        <f t="shared" si="34"/>
        <v>341487.8797427325</v>
      </c>
      <c r="AW33">
        <f t="shared" si="34"/>
        <v>32572.881122325001</v>
      </c>
      <c r="AX33">
        <f t="shared" si="34"/>
        <v>42235.042752120004</v>
      </c>
      <c r="AY33">
        <f t="shared" si="34"/>
        <v>74807.923874444998</v>
      </c>
      <c r="AZ33">
        <f t="shared" si="34"/>
        <v>154231.68486116998</v>
      </c>
      <c r="BA33">
        <f t="shared" si="34"/>
        <v>199982.0418191475</v>
      </c>
      <c r="BB33">
        <f t="shared" si="34"/>
        <v>354213.72668031749</v>
      </c>
      <c r="BC33">
        <f t="shared" si="34"/>
        <v>170055.67607517747</v>
      </c>
      <c r="BD33">
        <f t="shared" si="34"/>
        <v>220499.94384731248</v>
      </c>
      <c r="BE33">
        <f t="shared" si="34"/>
        <v>390555.61992248998</v>
      </c>
      <c r="BF33">
        <f t="shared" si="34"/>
        <v>37253.141523787504</v>
      </c>
      <c r="BG33">
        <f t="shared" si="34"/>
        <v>48303.650005732503</v>
      </c>
      <c r="BH33">
        <f t="shared" si="34"/>
        <v>85556.791529519993</v>
      </c>
      <c r="BI33">
        <f t="shared" ref="BI33:BL64" si="35">IF(AP33&lt;&gt;-999,AP33*0.5*3.67*0.907185, -999)</f>
        <v>176392.96340305501</v>
      </c>
      <c r="BJ33">
        <f t="shared" si="7"/>
        <v>228716.99288435999</v>
      </c>
      <c r="BK33">
        <f t="shared" si="7"/>
        <v>405109.956287415</v>
      </c>
      <c r="BL33">
        <f t="shared" si="7"/>
        <v>1651731.9313306094</v>
      </c>
      <c r="BM33" s="22">
        <f>-17.17-(0.1023*E33)+F33*(100-8.576-13.681)</f>
        <v>26.548434572930333</v>
      </c>
      <c r="BN33">
        <f>IF(AT33&lt;&gt;-999,AT33*$BM33, -999)</f>
        <v>3947503.0936090611</v>
      </c>
      <c r="BO33">
        <f>IF(AU33&lt;&gt;-999,AU33*$BM33, -999)</f>
        <v>5118465.5391895743</v>
      </c>
      <c r="BP33" s="25">
        <f>IF(AV33&lt;&gt;-999,AV33*$BM33, -999)</f>
        <v>9065968.6327986363</v>
      </c>
      <c r="BQ33">
        <f>-19.943-(0.1023*E33)+F33*(100-8.576-13.681)</f>
        <v>23.775434572930337</v>
      </c>
      <c r="BR33">
        <f>IF(AW33&lt;&gt;-999,AW33*$BQ33, -999)</f>
        <v>774434.4039756757</v>
      </c>
      <c r="BS33">
        <f>IF(AX33&lt;&gt;-999,AX33*$BQ33, -999)</f>
        <v>1004156.4956379448</v>
      </c>
      <c r="BT33" s="25">
        <f>IF(AY33&lt;&gt;-999,AY33*$BQ33, -999)</f>
        <v>1778590.8996136202</v>
      </c>
      <c r="BU33">
        <f>-25.871-(0.1023*E33)+F33*(100-8.576-13.681)</f>
        <v>17.847434572930339</v>
      </c>
      <c r="BV33">
        <f>IF(AZ33&lt;&gt;-999,AZ33*$BU33, -999)</f>
        <v>2752639.9046325418</v>
      </c>
      <c r="BW33">
        <f>IF(BA33&lt;&gt;-999,BA33*$BU33, -999)</f>
        <v>3569166.407128254</v>
      </c>
      <c r="BX33" s="25">
        <f>IF(BB33&lt;&gt;-999,BB33*$BU33, -999)</f>
        <v>6321806.3117607962</v>
      </c>
      <c r="BY33">
        <f>-25.245-(0.1023*E33)+F33*(100-8.576-13.681)</f>
        <v>18.473434572930337</v>
      </c>
      <c r="BZ33">
        <f>IF(BC33&lt;&gt;-999,BC33*$BY33, -999)</f>
        <v>3141512.4057302261</v>
      </c>
      <c r="CA33">
        <f>IF(BD33&lt;&gt;-999,BD33*$BY33, -999)</f>
        <v>4073391.2859981405</v>
      </c>
      <c r="CB33" s="25">
        <f>IF(BE33&lt;&gt;-999,BE33*$BY33, -999)</f>
        <v>7214903.6917283665</v>
      </c>
      <c r="CC33">
        <f>-29.317-(0.1023*E33)+F33*(100-8.576-13.681)</f>
        <v>14.401434572930341</v>
      </c>
      <c r="CD33">
        <f>IF(BF33&lt;&gt;-999,BF33*$CC33, -999)</f>
        <v>536498.68029094022</v>
      </c>
      <c r="CE33">
        <f>IF(BG33&lt;&gt;-999,BG33*$CC33, -999)</f>
        <v>695641.85519128293</v>
      </c>
      <c r="CF33" s="25">
        <f>IF(BH33&lt;&gt;-999,BH33*$CC33, -999)</f>
        <v>1232140.5354822229</v>
      </c>
      <c r="CG33">
        <f>-38.03-(0.1023*E33)+F33*(100-8.576-13.681)</f>
        <v>5.6884345729303334</v>
      </c>
      <c r="CH33">
        <f>IF(BI33&lt;&gt;-999,BI33*$CG33, -999)</f>
        <v>1003399.8314435731</v>
      </c>
      <c r="CI33">
        <f>IF(BJ33&lt;&gt;-999,BJ33*$CG33, -999)</f>
        <v>1301041.6497400545</v>
      </c>
      <c r="CJ33" s="25">
        <f>IF(BK33&lt;&gt;-999,BK33*$CG33, -999)</f>
        <v>2304441.4811836276</v>
      </c>
      <c r="CK33" s="26">
        <f t="shared" si="8"/>
        <v>27917851.552567273</v>
      </c>
      <c r="CL33">
        <f t="shared" si="9"/>
        <v>-26.833855039679925</v>
      </c>
      <c r="CM33">
        <f t="shared" si="10"/>
        <v>31.070160097102352</v>
      </c>
      <c r="CN33">
        <f t="shared" si="11"/>
        <v>-83.737657790448893</v>
      </c>
      <c r="CO33" s="22">
        <f t="shared" si="12"/>
        <v>-40.08</v>
      </c>
      <c r="CP33">
        <f>IF(AT33&lt;&gt;-999,AT33*$CO33, -999)</f>
        <v>-5959519.8939968152</v>
      </c>
      <c r="CQ33">
        <f>IF(AU33&lt;&gt;-999,AU33*$CO33, -999)</f>
        <v>-7727314.3260919033</v>
      </c>
      <c r="CR33" s="27">
        <f>IF(AV33&lt;&gt;-999,AV33*$CO33, -999)</f>
        <v>-13686834.220088718</v>
      </c>
      <c r="CS33">
        <f t="shared" si="13"/>
        <v>-42.853000000000002</v>
      </c>
      <c r="CT33">
        <f>IF(AW33&lt;&gt;-999,AW33*$CS33, -999)</f>
        <v>-1395845.6747349934</v>
      </c>
      <c r="CU33">
        <f>IF(AX33&lt;&gt;-999,AX33*$CS33, -999)</f>
        <v>-1809898.2870565986</v>
      </c>
      <c r="CV33" s="27">
        <f>IF(AY33&lt;&gt;-999,AY33*$CS33, -999)</f>
        <v>-3205743.9617915917</v>
      </c>
      <c r="CW33">
        <f t="shared" si="14"/>
        <v>-48.780999999999999</v>
      </c>
      <c r="CX33">
        <f>IF(AZ33&lt;&gt;-999,AZ33*$CO33, -999)</f>
        <v>-6181605.9292356931</v>
      </c>
      <c r="CY33">
        <f>IF(BA33&lt;&gt;-999,BA33*$CO33, -999)</f>
        <v>-8015280.2361114314</v>
      </c>
      <c r="CZ33" s="27">
        <f>IF(BB33&lt;&gt;-999,BB33*$CO33, -999)</f>
        <v>-14196886.165347124</v>
      </c>
      <c r="DA33">
        <f t="shared" si="15"/>
        <v>-48.155000000000001</v>
      </c>
      <c r="DB33">
        <f>IF(BC33&lt;&gt;-999,BC33*$DA33, -999)</f>
        <v>-8189031.0814001709</v>
      </c>
      <c r="DC33">
        <f>IF(BD33&lt;&gt;-999,BD33*$DA33, -999)</f>
        <v>-10618174.795967333</v>
      </c>
      <c r="DD33" s="27">
        <f>IF(BE33&lt;&gt;-999,BE33*$DA33, -999)</f>
        <v>-18807205.877367504</v>
      </c>
      <c r="DE33">
        <f t="shared" si="16"/>
        <v>-52.227000000000004</v>
      </c>
      <c r="DF33">
        <f>IF(BF33&lt;&gt;-999,BF33*$DE33, -999)</f>
        <v>-1945619.8223628502</v>
      </c>
      <c r="DG33">
        <f>IF(BG33&lt;&gt;-999,BG33*$DE33, -999)</f>
        <v>-2522754.7288493915</v>
      </c>
      <c r="DH33" s="27">
        <f>IF(BH33&lt;&gt;-999,BH33*$DE33, -999)</f>
        <v>-4468374.5512122409</v>
      </c>
      <c r="DI33">
        <f t="shared" si="17"/>
        <v>-60.94</v>
      </c>
      <c r="DJ33">
        <f>IF(BI33&lt;&gt;-999,BI33*$DI33, -999)</f>
        <v>-10749387.189782172</v>
      </c>
      <c r="DK33">
        <f>IF(BJ33&lt;&gt;-999,BJ33*$DI33, -999)</f>
        <v>-13938013.546372898</v>
      </c>
      <c r="DL33" s="27">
        <f>IF(BK33&lt;&gt;-999,BK33*$DI33, -999)</f>
        <v>-24687400.73615507</v>
      </c>
      <c r="DM33" s="28">
        <f t="shared" si="18"/>
        <v>-79052445.51196225</v>
      </c>
      <c r="DN33" s="22">
        <f t="shared" si="19"/>
        <v>-17.170000000000002</v>
      </c>
      <c r="DO33">
        <f>IF(AT33&lt;&gt;-999,AT33*$DN33, -999)</f>
        <v>-2553017.878740652</v>
      </c>
      <c r="DP33">
        <f>IF(AU33&lt;&gt;-999,AU33*$DN33, -999)</f>
        <v>-3310329.0164420656</v>
      </c>
      <c r="DQ33" s="24">
        <f>IF(AV33&lt;&gt;-999,AV33*$DN33, -999)</f>
        <v>-5863346.8951827176</v>
      </c>
      <c r="DR33">
        <f t="shared" si="20"/>
        <v>-19.943000000000001</v>
      </c>
      <c r="DS33">
        <f>IF(AW33&lt;&gt;-999,AW33*$DR33, -999)</f>
        <v>-649600.96822252753</v>
      </c>
      <c r="DT33">
        <f>IF(AX33&lt;&gt;-999,AX33*$DR33, -999)</f>
        <v>-842293.45760552934</v>
      </c>
      <c r="DU33" s="24">
        <f>IF(AY33&lt;&gt;-999,AY33*$DR33, -999)</f>
        <v>-1491894.4258280566</v>
      </c>
      <c r="DV33">
        <f t="shared" si="21"/>
        <v>-25.870999999999999</v>
      </c>
      <c r="DW33">
        <f>IF(AZ33&lt;&gt;-999,AZ33*$DV33, -999)</f>
        <v>-3990127.9190433286</v>
      </c>
      <c r="DX33">
        <f>IF(BA33&lt;&gt;-999,BA33*$DV33, -999)</f>
        <v>-5173735.4039031649</v>
      </c>
      <c r="DY33" s="24">
        <f>IF(BB33&lt;&gt;-999,BB33*$DV33, -999)</f>
        <v>-9163863.3229464926</v>
      </c>
      <c r="DZ33">
        <f t="shared" si="22"/>
        <v>-25.245000000000001</v>
      </c>
      <c r="EA33">
        <f>IF(BC33&lt;&gt;-999, BC33*$DZ33, -999)</f>
        <v>-4293055.5425178558</v>
      </c>
      <c r="EB33">
        <f>IF(BD33&lt;&gt;-999, BD33*$DZ33, -999)</f>
        <v>-5566521.0824254034</v>
      </c>
      <c r="EC33" s="24">
        <f>IF(BE33&lt;&gt;-999, BE33*$DZ33, -999)</f>
        <v>-9859576.6249432601</v>
      </c>
      <c r="ED33">
        <f t="shared" si="23"/>
        <v>-29.317</v>
      </c>
      <c r="EE33">
        <f>IF(BF33&lt;&gt;-999,BF33*$ED33, -999)</f>
        <v>-1092150.3500528783</v>
      </c>
      <c r="EF33">
        <f>IF(BG33&lt;&gt;-999,BG33*$ED33, -999)</f>
        <v>-1416118.1072180597</v>
      </c>
      <c r="EG33" s="24">
        <f>IF(BH33&lt;&gt;-999,BH33*$ED33, -999)</f>
        <v>-2508268.4572709375</v>
      </c>
      <c r="EH33">
        <f t="shared" si="24"/>
        <v>-38.03</v>
      </c>
      <c r="EI33">
        <f>IF(BI33&lt;&gt;-999,BI33*$EH33, -999)</f>
        <v>-6708224.3982181819</v>
      </c>
      <c r="EJ33">
        <f>IF(BJ33&lt;&gt;-999,BJ33*$EH33, -999)</f>
        <v>-8698107.2393922117</v>
      </c>
      <c r="EK33" s="24">
        <f>IF(BK33&lt;&gt;-999,BK33*$EH33, -999)</f>
        <v>-15406331.637610393</v>
      </c>
      <c r="EL33" s="28">
        <f t="shared" si="25"/>
        <v>-44293281.363781862</v>
      </c>
      <c r="EM33" s="22">
        <f>-17.17-(0.1023*G33)+H33*(100+102.093-66.644-64.243)</f>
        <v>32.513100522217712</v>
      </c>
      <c r="EN33">
        <f>IF(AT33&lt;&gt;-999,AT33*$EM33, -999)</f>
        <v>4834392.9485447779</v>
      </c>
      <c r="EO33">
        <f>IF(AU33&lt;&gt;-999,AU33*$EM33, -999)</f>
        <v>6268436.8126496775</v>
      </c>
      <c r="EP33" s="23">
        <f>IF(AV33&lt;&gt;-999,AV33*$EM33, -999)</f>
        <v>11102829.761194456</v>
      </c>
      <c r="EQ33">
        <f>-19.943-(0.1023*G33)+H33*(100+102.093-66.644-64.243)</f>
        <v>29.740100522217716</v>
      </c>
      <c r="ER33">
        <f>IF(AW33&lt;&gt;-999,AW33*$EQ33, -999)</f>
        <v>968720.75887619331</v>
      </c>
      <c r="ES33">
        <f>IF(AX33&lt;&gt;-999,AX33*$EQ33, -999)</f>
        <v>1256074.4170082116</v>
      </c>
      <c r="ET33" s="23">
        <f>IF(AY33&lt;&gt;-999,AY33*$EQ33, -999)</f>
        <v>2224795.1758844047</v>
      </c>
      <c r="EU33">
        <f>-25.871-(0.1023*G33)+H33*(100+102.093-66.644-64.243)</f>
        <v>23.812100522217719</v>
      </c>
      <c r="EV33">
        <f>IF(AZ33&lt;&gt;-999,AZ33*$EU33, -999)</f>
        <v>3672580.3836251842</v>
      </c>
      <c r="EW33">
        <f>IF(BA33&lt;&gt;-999,BA33*$EU33, -999)</f>
        <v>4761992.4824358877</v>
      </c>
      <c r="EX33" s="23">
        <f>IF(BB33&lt;&gt;-999,BB33*$EU33, -999)</f>
        <v>8434572.8660610728</v>
      </c>
      <c r="EY33">
        <f>-25.245-(0.1023*G33)+H33*(100+102.093-66.644-64.243)</f>
        <v>24.438100522217717</v>
      </c>
      <c r="EZ33">
        <f>IF(BC33&lt;&gt;-999, BC33*$EY33, -999)</f>
        <v>4155837.7062988812</v>
      </c>
      <c r="FA33">
        <f>IF(BD33&lt;&gt;-999, BD33*$EY33, -999)</f>
        <v>5388599.7928839838</v>
      </c>
      <c r="FB33" s="23">
        <f>IF(BE33&lt;&gt;-999, BE33*$EY33, -999)</f>
        <v>9544437.4991828669</v>
      </c>
      <c r="FC33">
        <f>-29.317-(0.1023*G33)+H33*(100+102.093-66.644-64.243)</f>
        <v>20.366100522217714</v>
      </c>
      <c r="FD33">
        <f>IF(BF33&lt;&gt;-999,BF33*$FC33, -999)</f>
        <v>758701.22504185908</v>
      </c>
      <c r="FE33">
        <f>IF(BG33&lt;&gt;-999,BG33*$FC33, -999)</f>
        <v>983756.99160677043</v>
      </c>
      <c r="FF33" s="23">
        <f>IF(BH33&lt;&gt;-999,BH33*$FC33, -999)</f>
        <v>1742458.2166486292</v>
      </c>
      <c r="FG33">
        <f>-38.03-(0.1023*G33)+H33*(100+102.093-66.644-64.243)</f>
        <v>11.653100522217713</v>
      </c>
      <c r="FH33">
        <f>IF(BI33&lt;&gt;-999,BI33*$FG33, -999)</f>
        <v>2055524.9339476703</v>
      </c>
      <c r="FI33">
        <f>IF(BJ33&lt;&gt;-999,BJ33*$FG33, -999)</f>
        <v>2665262.1092208005</v>
      </c>
      <c r="FJ33" s="23">
        <f>IF(BK33&lt;&gt;-999,BK33*$FG33, -999)</f>
        <v>4720787.0431684703</v>
      </c>
      <c r="FK33" s="28">
        <f t="shared" si="26"/>
        <v>37769880.562139899</v>
      </c>
      <c r="FL33" s="22">
        <f t="shared" si="28"/>
        <v>10.012280000000011</v>
      </c>
      <c r="FM33">
        <f>IF(AT33&lt;&gt;-999,AT33*$FL33, -999)</f>
        <v>1488732.0819427769</v>
      </c>
      <c r="FN33">
        <f>IF(AU33&lt;&gt;-999,AU33*$FL33, -999)</f>
        <v>1930340.1866477926</v>
      </c>
      <c r="FO33" s="29">
        <f>IF(AV33&lt;&gt;-999,AV33*$FL33, -999)</f>
        <v>3419072.2685905695</v>
      </c>
      <c r="FP33">
        <f t="shared" si="29"/>
        <v>7.2392800000000115</v>
      </c>
      <c r="FQ33">
        <f>IF(AW33&lt;&gt;-999,AW33*$FP33, -999)</f>
        <v>235804.20685122532</v>
      </c>
      <c r="FR33">
        <f>IF(AX33&lt;&gt;-999,AX33*$FP33, -999)</f>
        <v>305751.30029456777</v>
      </c>
      <c r="FS33" s="29">
        <f>IF(AY33&lt;&gt;-999,AY33*$FP33, -999)</f>
        <v>541555.50714579306</v>
      </c>
      <c r="FT33">
        <f t="shared" si="30"/>
        <v>1.3112800000000142</v>
      </c>
      <c r="FU33">
        <f>IF(AZ33&lt;&gt;-999,AZ33*$FT33, -999)</f>
        <v>202240.92372475716</v>
      </c>
      <c r="FV33">
        <f>IF(BA33&lt;&gt;-999,BA33*$FT33, -999)</f>
        <v>262232.45179661456</v>
      </c>
      <c r="FW33" s="29">
        <f>IF(BB33&lt;&gt;-999,BB33*$FT33, -999)</f>
        <v>464473.37552137172</v>
      </c>
      <c r="FX33">
        <f t="shared" si="31"/>
        <v>1.9372800000000119</v>
      </c>
      <c r="FY33">
        <f>IF(BC33&lt;&gt;-999, BC33*$FX33, -999)</f>
        <v>329445.4601469218</v>
      </c>
      <c r="FZ33">
        <f>IF(BD33&lt;&gt;-999, BD33*$FX33, -999)</f>
        <v>427170.13121652411</v>
      </c>
      <c r="GA33" s="29">
        <f>IF(BE33&lt;&gt;-999, BE33*$FX33, -999)</f>
        <v>756615.59136344597</v>
      </c>
      <c r="GB33">
        <f t="shared" si="32"/>
        <v>-2.1347199999999873</v>
      </c>
      <c r="GC33">
        <f>IF(BF33&lt;&gt;-999,BF33*$GB33, -999)</f>
        <v>-79525.026273659183</v>
      </c>
      <c r="GD33">
        <f>IF(BG33&lt;&gt;-999,BG33*$GB33, -999)</f>
        <v>-103114.76774023667</v>
      </c>
      <c r="GE33" s="29">
        <f>IF(BH33&lt;&gt;-999,BH33*$GB33, -999)</f>
        <v>-182639.79401389582</v>
      </c>
      <c r="GF33">
        <f t="shared" si="33"/>
        <v>-10.847719999999988</v>
      </c>
      <c r="GG33">
        <f>IF(BI33&lt;&gt;-999,BI33*$GF33, -999)</f>
        <v>-1913461.4769665857</v>
      </c>
      <c r="GH33">
        <f>IF(BJ33&lt;&gt;-999,BJ33*$GF33, -999)</f>
        <v>-2481057.8980515269</v>
      </c>
      <c r="GI33" s="29">
        <f>IF(BK33&lt;&gt;-999,BK33*$GF33, -999)</f>
        <v>-4394519.3750181124</v>
      </c>
      <c r="GJ33" s="30">
        <f t="shared" si="27"/>
        <v>604557.57358917221</v>
      </c>
    </row>
    <row r="34" spans="1:192">
      <c r="A34" s="48" t="s">
        <v>138</v>
      </c>
      <c r="B34" s="48" t="s">
        <v>172</v>
      </c>
      <c r="C34" s="49">
        <v>57</v>
      </c>
      <c r="D34" s="50">
        <v>0.94799999999999995</v>
      </c>
      <c r="E34" s="49">
        <v>205.07343473154</v>
      </c>
      <c r="F34" s="49">
        <v>0.78561940269787101</v>
      </c>
      <c r="G34" s="49">
        <v>40.746283225278397</v>
      </c>
      <c r="H34" s="49">
        <v>0.81749830499683995</v>
      </c>
      <c r="I34" s="42">
        <v>14119.4</v>
      </c>
      <c r="J34" s="43">
        <v>-999</v>
      </c>
      <c r="K34" s="43">
        <f t="shared" si="0"/>
        <v>14119.4</v>
      </c>
      <c r="L34" s="43">
        <v>7212.1</v>
      </c>
      <c r="M34" s="43">
        <v>-999</v>
      </c>
      <c r="N34" s="43">
        <f t="shared" si="1"/>
        <v>7212.1</v>
      </c>
      <c r="O34" s="43">
        <v>21685.5</v>
      </c>
      <c r="P34" s="43">
        <v>-999</v>
      </c>
      <c r="Q34" s="43">
        <f t="shared" si="2"/>
        <v>21685.5</v>
      </c>
      <c r="R34" s="43">
        <v>6762</v>
      </c>
      <c r="S34" s="43">
        <v>-999</v>
      </c>
      <c r="T34" s="43">
        <f t="shared" si="3"/>
        <v>6762</v>
      </c>
      <c r="U34" s="43">
        <v>3454</v>
      </c>
      <c r="V34" s="43">
        <v>-999</v>
      </c>
      <c r="W34" s="43">
        <f t="shared" si="4"/>
        <v>3454</v>
      </c>
      <c r="X34" s="43">
        <v>10385.5</v>
      </c>
      <c r="Y34" s="43">
        <v>-999</v>
      </c>
      <c r="Z34" s="43">
        <f t="shared" si="5"/>
        <v>10385.5</v>
      </c>
      <c r="AA34" s="22">
        <v>186128.2</v>
      </c>
      <c r="AB34">
        <v>-999</v>
      </c>
      <c r="AC34">
        <v>186128.2</v>
      </c>
      <c r="AD34">
        <v>95073.7</v>
      </c>
      <c r="AE34">
        <v>-999</v>
      </c>
      <c r="AF34">
        <v>95073.7</v>
      </c>
      <c r="AG34">
        <v>285868.7</v>
      </c>
      <c r="AH34">
        <v>-999</v>
      </c>
      <c r="AI34">
        <v>285868.7</v>
      </c>
      <c r="AJ34">
        <v>89139.6</v>
      </c>
      <c r="AK34">
        <v>-999</v>
      </c>
      <c r="AL34">
        <v>89139.6</v>
      </c>
      <c r="AM34">
        <v>45532.2</v>
      </c>
      <c r="AN34">
        <v>-999</v>
      </c>
      <c r="AO34">
        <v>45532.2</v>
      </c>
      <c r="AP34">
        <v>136906.9</v>
      </c>
      <c r="AQ34">
        <v>-999</v>
      </c>
      <c r="AR34">
        <v>136906.9</v>
      </c>
      <c r="AS34">
        <v>838649.32</v>
      </c>
      <c r="AT34" s="22">
        <f t="shared" ref="AT34:BH50" si="36">IF(AA34&lt;&gt;-999,AA34*0.5*3.67*0.907185, -999)</f>
        <v>309844.72489969502</v>
      </c>
      <c r="AU34">
        <f t="shared" si="36"/>
        <v>-999</v>
      </c>
      <c r="AV34">
        <f t="shared" si="36"/>
        <v>309844.72489969502</v>
      </c>
      <c r="AW34">
        <f t="shared" si="36"/>
        <v>158267.71237080751</v>
      </c>
      <c r="AX34">
        <f t="shared" si="36"/>
        <v>-999</v>
      </c>
      <c r="AY34">
        <f t="shared" si="36"/>
        <v>158267.71237080751</v>
      </c>
      <c r="AZ34">
        <f t="shared" si="36"/>
        <v>475881.18677843251</v>
      </c>
      <c r="BA34">
        <f t="shared" si="36"/>
        <v>-999</v>
      </c>
      <c r="BB34">
        <f t="shared" si="36"/>
        <v>475881.18677843251</v>
      </c>
      <c r="BC34">
        <f t="shared" si="36"/>
        <v>148389.30822770999</v>
      </c>
      <c r="BD34">
        <f t="shared" si="36"/>
        <v>-999</v>
      </c>
      <c r="BE34">
        <f t="shared" si="36"/>
        <v>148389.30822770999</v>
      </c>
      <c r="BF34">
        <f t="shared" si="36"/>
        <v>75796.746452595005</v>
      </c>
      <c r="BG34">
        <f t="shared" si="36"/>
        <v>-999</v>
      </c>
      <c r="BH34">
        <f t="shared" si="36"/>
        <v>75796.746452595005</v>
      </c>
      <c r="BI34">
        <f t="shared" si="35"/>
        <v>227906.7909503775</v>
      </c>
      <c r="BJ34">
        <f t="shared" si="35"/>
        <v>-999</v>
      </c>
      <c r="BK34">
        <f t="shared" si="35"/>
        <v>227906.7909503775</v>
      </c>
      <c r="BL34">
        <f t="shared" si="35"/>
        <v>1396086.5029733069</v>
      </c>
      <c r="BM34" s="22">
        <f>-17.17-(0.1023*E34)+F34*(100-8.576-13.681)</f>
        <v>22.927396850904053</v>
      </c>
      <c r="BN34">
        <f>IF(AT34&lt;&gt;-999,AT34*$BM34, -999)</f>
        <v>7103932.9699344998</v>
      </c>
      <c r="BO34">
        <f>IF(AU34&lt;&gt;-999,AU34*$BM34, -999)</f>
        <v>-999</v>
      </c>
      <c r="BP34" s="25">
        <f>IF(AV34&lt;&gt;-999,AV34*$BM34, -999)</f>
        <v>7103932.9699344998</v>
      </c>
      <c r="BQ34">
        <f>-19.943-(0.1023*E34)+F34*(100-8.576-13.681)</f>
        <v>20.15439685090405</v>
      </c>
      <c r="BR34">
        <f>IF(AW34&lt;&gt;-999,AW34*$BQ34, -999)</f>
        <v>3189790.2838059906</v>
      </c>
      <c r="BS34">
        <f>IF(AX34&lt;&gt;-999,AX34*$BQ34, -999)</f>
        <v>-999</v>
      </c>
      <c r="BT34" s="25">
        <f>IF(AY34&lt;&gt;-999,AY34*$BQ34, -999)</f>
        <v>3189790.2838059906</v>
      </c>
      <c r="BU34">
        <f>-25.871-(0.1023*E34)+F34*(100-8.576-13.681)</f>
        <v>14.226396850904052</v>
      </c>
      <c r="BV34">
        <f>IF(AZ34&lt;&gt;-999,AZ34*$BU34, -999)</f>
        <v>6770074.6169891758</v>
      </c>
      <c r="BW34">
        <f>IF(BA34&lt;&gt;-999,BA34*$BU34, -999)</f>
        <v>-999</v>
      </c>
      <c r="BX34" s="25">
        <f>IF(BB34&lt;&gt;-999,BB34*$BU34, -999)</f>
        <v>6770074.6169891758</v>
      </c>
      <c r="BY34">
        <f>-25.245-(0.1023*E34)+F34*(100-8.576-13.681)</f>
        <v>14.85239685090405</v>
      </c>
      <c r="BZ34">
        <f>IF(BC34&lt;&gt;-999,BC34*$BY34, -999)</f>
        <v>2203936.8942290703</v>
      </c>
      <c r="CA34">
        <f>IF(BD34&lt;&gt;-999,BD34*$BY34, -999)</f>
        <v>-999</v>
      </c>
      <c r="CB34" s="25">
        <f>IF(BE34&lt;&gt;-999,BE34*$BY34, -999)</f>
        <v>2203936.8942290703</v>
      </c>
      <c r="CC34">
        <f>-29.317-(0.1023*E34)+F34*(100-8.576-13.681)</f>
        <v>10.780396850904047</v>
      </c>
      <c r="CD34">
        <f>IF(BF34&lt;&gt;-999,BF34*$CC34, -999)</f>
        <v>817119.00676632777</v>
      </c>
      <c r="CE34">
        <f>IF(BG34&lt;&gt;-999,BG34*$CC34, -999)</f>
        <v>-999</v>
      </c>
      <c r="CF34" s="25">
        <f>IF(BH34&lt;&gt;-999,BH34*$CC34, -999)</f>
        <v>817119.00676632777</v>
      </c>
      <c r="CG34">
        <f>-38.03-(0.1023*E34)+F34*(100-8.576-13.681)</f>
        <v>2.0673968509040535</v>
      </c>
      <c r="CH34">
        <f>IF(BI34&lt;&gt;-999,BI34*$CG34, -999)</f>
        <v>471173.78191045887</v>
      </c>
      <c r="CI34">
        <f>IF(BJ34&lt;&gt;-999,BJ34*$CG34, -999)</f>
        <v>-999</v>
      </c>
      <c r="CJ34" s="25">
        <f>IF(BK34&lt;&gt;-999,BK34*$CG34, -999)</f>
        <v>471173.78191045887</v>
      </c>
      <c r="CK34" s="26">
        <f t="shared" si="8"/>
        <v>20556027.553635523</v>
      </c>
      <c r="CL34">
        <f t="shared" si="9"/>
        <v>-22.097795091999956</v>
      </c>
      <c r="CM34">
        <f t="shared" si="10"/>
        <v>35.748281321004555</v>
      </c>
      <c r="CN34">
        <f t="shared" si="11"/>
        <v>-78.944659930921304</v>
      </c>
      <c r="CO34" s="22">
        <f t="shared" si="12"/>
        <v>-40.08</v>
      </c>
      <c r="CP34">
        <f>IF(AT34&lt;&gt;-999,AT34*$CO34, -999)</f>
        <v>-12418576.573979776</v>
      </c>
      <c r="CQ34">
        <f>IF(AU34&lt;&gt;-999,AU34*$CO34, -999)</f>
        <v>-999</v>
      </c>
      <c r="CR34" s="27">
        <f>IF(AV34&lt;&gt;-999,AV34*$CO34, -999)</f>
        <v>-12418576.573979776</v>
      </c>
      <c r="CS34">
        <f t="shared" si="13"/>
        <v>-42.853000000000002</v>
      </c>
      <c r="CT34">
        <f>IF(AW34&lt;&gt;-999,AW34*$CS34, -999)</f>
        <v>-6782246.2782262145</v>
      </c>
      <c r="CU34">
        <f>IF(AX34&lt;&gt;-999,AX34*$CS34, -999)</f>
        <v>-999</v>
      </c>
      <c r="CV34" s="27">
        <f>IF(AY34&lt;&gt;-999,AY34*$CS34, -999)</f>
        <v>-6782246.2782262145</v>
      </c>
      <c r="CW34">
        <f t="shared" si="14"/>
        <v>-48.780999999999999</v>
      </c>
      <c r="CX34">
        <f>IF(AZ34&lt;&gt;-999,AZ34*$CO34, -999)</f>
        <v>-19073317.966079574</v>
      </c>
      <c r="CY34">
        <f>IF(BA34&lt;&gt;-999,BA34*$CO34, -999)</f>
        <v>-999</v>
      </c>
      <c r="CZ34" s="27">
        <f>IF(BB34&lt;&gt;-999,BB34*$CO34, -999)</f>
        <v>-19073317.966079574</v>
      </c>
      <c r="DA34">
        <f t="shared" si="15"/>
        <v>-48.155000000000001</v>
      </c>
      <c r="DB34">
        <f>IF(BC34&lt;&gt;-999,BC34*$DA34, -999)</f>
        <v>-7145687.1377053745</v>
      </c>
      <c r="DC34">
        <f>IF(BD34&lt;&gt;-999,BD34*$DA34, -999)</f>
        <v>-999</v>
      </c>
      <c r="DD34" s="27">
        <f>IF(BE34&lt;&gt;-999,BE34*$DA34, -999)</f>
        <v>-7145687.1377053745</v>
      </c>
      <c r="DE34">
        <f t="shared" si="16"/>
        <v>-52.227000000000004</v>
      </c>
      <c r="DF34">
        <f>IF(BF34&lt;&gt;-999,BF34*$DE34, -999)</f>
        <v>-3958636.6769796796</v>
      </c>
      <c r="DG34">
        <f>IF(BG34&lt;&gt;-999,BG34*$DE34, -999)</f>
        <v>-999</v>
      </c>
      <c r="DH34" s="27">
        <f>IF(BH34&lt;&gt;-999,BH34*$DE34, -999)</f>
        <v>-3958636.6769796796</v>
      </c>
      <c r="DI34">
        <f t="shared" si="17"/>
        <v>-60.94</v>
      </c>
      <c r="DJ34">
        <f>IF(BI34&lt;&gt;-999,BI34*$DI34, -999)</f>
        <v>-13888639.840516005</v>
      </c>
      <c r="DK34">
        <f>IF(BJ34&lt;&gt;-999,BJ34*$DI34, -999)</f>
        <v>-999</v>
      </c>
      <c r="DL34" s="27">
        <f>IF(BK34&lt;&gt;-999,BK34*$DI34, -999)</f>
        <v>-13888639.840516005</v>
      </c>
      <c r="DM34" s="28">
        <f t="shared" si="18"/>
        <v>-63267104.473486617</v>
      </c>
      <c r="DN34" s="22">
        <f t="shared" si="19"/>
        <v>-17.170000000000002</v>
      </c>
      <c r="DO34">
        <f>IF(AT34&lt;&gt;-999,AT34*$DN34, -999)</f>
        <v>-5320033.9265277637</v>
      </c>
      <c r="DP34">
        <f>IF(AU34&lt;&gt;-999,AU34*$DN34, -999)</f>
        <v>-999</v>
      </c>
      <c r="DQ34" s="24">
        <f>IF(AV34&lt;&gt;-999,AV34*$DN34, -999)</f>
        <v>-5320033.9265277637</v>
      </c>
      <c r="DR34">
        <f t="shared" si="20"/>
        <v>-19.943000000000001</v>
      </c>
      <c r="DS34">
        <f>IF(AW34&lt;&gt;-999,AW34*$DR34, -999)</f>
        <v>-3156332.9878110145</v>
      </c>
      <c r="DT34">
        <f>IF(AX34&lt;&gt;-999,AX34*$DR34, -999)</f>
        <v>-999</v>
      </c>
      <c r="DU34" s="24">
        <f>IF(AY34&lt;&gt;-999,AY34*$DR34, -999)</f>
        <v>-3156332.9878110145</v>
      </c>
      <c r="DV34">
        <f t="shared" si="21"/>
        <v>-25.870999999999999</v>
      </c>
      <c r="DW34">
        <f>IF(AZ34&lt;&gt;-999,AZ34*$DV34, -999)</f>
        <v>-12311522.183144826</v>
      </c>
      <c r="DX34">
        <f>IF(BA34&lt;&gt;-999,BA34*$DV34, -999)</f>
        <v>-999</v>
      </c>
      <c r="DY34" s="24">
        <f>IF(BB34&lt;&gt;-999,BB34*$DV34, -999)</f>
        <v>-12311522.183144826</v>
      </c>
      <c r="DZ34">
        <f t="shared" si="22"/>
        <v>-25.245000000000001</v>
      </c>
      <c r="EA34">
        <f>IF(BC34&lt;&gt;-999, BC34*$DZ34, -999)</f>
        <v>-3746088.0862085386</v>
      </c>
      <c r="EB34">
        <f>IF(BD34&lt;&gt;-999, BD34*$DZ34, -999)</f>
        <v>-999</v>
      </c>
      <c r="EC34" s="24">
        <f>IF(BE34&lt;&gt;-999, BE34*$DZ34, -999)</f>
        <v>-3746088.0862085386</v>
      </c>
      <c r="ED34">
        <f t="shared" si="23"/>
        <v>-29.317</v>
      </c>
      <c r="EE34">
        <f>IF(BF34&lt;&gt;-999,BF34*$ED34, -999)</f>
        <v>-2222133.2157507278</v>
      </c>
      <c r="EF34">
        <f>IF(BG34&lt;&gt;-999,BG34*$ED34, -999)</f>
        <v>-999</v>
      </c>
      <c r="EG34" s="24">
        <f>IF(BH34&lt;&gt;-999,BH34*$ED34, -999)</f>
        <v>-2222133.2157507278</v>
      </c>
      <c r="EH34">
        <f t="shared" si="24"/>
        <v>-38.03</v>
      </c>
      <c r="EI34">
        <f>IF(BI34&lt;&gt;-999,BI34*$EH34, -999)</f>
        <v>-8667295.2598428559</v>
      </c>
      <c r="EJ34">
        <f>IF(BJ34&lt;&gt;-999,BJ34*$EH34, -999)</f>
        <v>-999</v>
      </c>
      <c r="EK34" s="24">
        <f>IF(BK34&lt;&gt;-999,BK34*$EH34, -999)</f>
        <v>-8667295.2598428559</v>
      </c>
      <c r="EL34" s="28">
        <f t="shared" si="25"/>
        <v>-35423405.659285724</v>
      </c>
      <c r="EM34" s="22">
        <f>-17.17-(0.1023*G34)+H34*(100+102.093-66.644-64.243)</f>
        <v>36.872439531659019</v>
      </c>
      <c r="EN34">
        <f>IF(AT34&lt;&gt;-999,AT34*$EM34, -999)</f>
        <v>11424730.883067528</v>
      </c>
      <c r="EO34">
        <f>IF(AU34&lt;&gt;-999,AU34*$EM34, -999)</f>
        <v>-999</v>
      </c>
      <c r="EP34" s="23">
        <f>IF(AV34&lt;&gt;-999,AV34*$EM34, -999)</f>
        <v>11424730.883067528</v>
      </c>
      <c r="EQ34">
        <f>-19.943-(0.1023*G34)+H34*(100+102.093-66.644-64.243)</f>
        <v>34.099439531659023</v>
      </c>
      <c r="ER34">
        <f>IF(AW34&lt;&gt;-999,AW34*$EQ34, -999)</f>
        <v>5396840.2878023535</v>
      </c>
      <c r="ES34">
        <f>IF(AX34&lt;&gt;-999,AX34*$EQ34, -999)</f>
        <v>-999</v>
      </c>
      <c r="ET34" s="23">
        <f>IF(AY34&lt;&gt;-999,AY34*$EQ34, -999)</f>
        <v>5396840.2878023535</v>
      </c>
      <c r="EU34">
        <f>-25.871-(0.1023*G34)+H34*(100+102.093-66.644-64.243)</f>
        <v>28.171439531659026</v>
      </c>
      <c r="EV34">
        <f>IF(AZ34&lt;&gt;-999,AZ34*$EU34, -999)</f>
        <v>13406258.077582747</v>
      </c>
      <c r="EW34">
        <f>IF(BA34&lt;&gt;-999,BA34*$EU34, -999)</f>
        <v>-999</v>
      </c>
      <c r="EX34" s="23">
        <f>IF(BB34&lt;&gt;-999,BB34*$EU34, -999)</f>
        <v>13406258.077582747</v>
      </c>
      <c r="EY34">
        <f>-25.245-(0.1023*G34)+H34*(100+102.093-66.644-64.243)</f>
        <v>28.797439531659023</v>
      </c>
      <c r="EZ34">
        <f>IF(BC34&lt;&gt;-999, BC34*$EY34, -999)</f>
        <v>4273232.1308321916</v>
      </c>
      <c r="FA34">
        <f>IF(BD34&lt;&gt;-999, BD34*$EY34, -999)</f>
        <v>-999</v>
      </c>
      <c r="FB34" s="23">
        <f>IF(BE34&lt;&gt;-999, BE34*$EY34, -999)</f>
        <v>4273232.1308321916</v>
      </c>
      <c r="FC34">
        <f>-29.317-(0.1023*G34)+H34*(100+102.093-66.644-64.243)</f>
        <v>24.725439531659021</v>
      </c>
      <c r="FD34">
        <f>IF(BF34&lt;&gt;-999,BF34*$FC34, -999)</f>
        <v>1874107.8711101282</v>
      </c>
      <c r="FE34">
        <f>IF(BG34&lt;&gt;-999,BG34*$FC34, -999)</f>
        <v>-999</v>
      </c>
      <c r="FF34" s="23">
        <f>IF(BH34&lt;&gt;-999,BH34*$FC34, -999)</f>
        <v>1874107.8711101282</v>
      </c>
      <c r="FG34">
        <f>-38.03-(0.1023*G34)+H34*(100+102.093-66.644-64.243)</f>
        <v>16.01243953165902</v>
      </c>
      <c r="FH34">
        <f>IF(BI34&lt;&gt;-999,BI34*$FG34, -999)</f>
        <v>3649343.7089473726</v>
      </c>
      <c r="FI34">
        <f>IF(BJ34&lt;&gt;-999,BJ34*$FG34, -999)</f>
        <v>-999</v>
      </c>
      <c r="FJ34" s="23">
        <f>IF(BK34&lt;&gt;-999,BK34*$FG34, -999)</f>
        <v>3649343.7089473726</v>
      </c>
      <c r="FK34" s="28">
        <f t="shared" si="26"/>
        <v>40024512.959342316</v>
      </c>
      <c r="FL34" s="22">
        <f t="shared" si="28"/>
        <v>10.012280000000011</v>
      </c>
      <c r="FM34">
        <f>IF(AT34&lt;&gt;-999,AT34*$FL34, -999)</f>
        <v>3102252.142218722</v>
      </c>
      <c r="FN34">
        <f>IF(AU34&lt;&gt;-999,AU34*$FL34, -999)</f>
        <v>-999</v>
      </c>
      <c r="FO34" s="29">
        <f>IF(AV34&lt;&gt;-999,AV34*$FL34, -999)</f>
        <v>3102252.142218722</v>
      </c>
      <c r="FP34">
        <f t="shared" si="29"/>
        <v>7.2392800000000115</v>
      </c>
      <c r="FQ34">
        <f>IF(AW34&lt;&gt;-999,AW34*$FP34, -999)</f>
        <v>1145744.2848117412</v>
      </c>
      <c r="FR34">
        <f>IF(AX34&lt;&gt;-999,AX34*$FP34, -999)</f>
        <v>-999</v>
      </c>
      <c r="FS34" s="29">
        <f>IF(AY34&lt;&gt;-999,AY34*$FP34, -999)</f>
        <v>1145744.2848117412</v>
      </c>
      <c r="FT34">
        <f t="shared" si="30"/>
        <v>1.3112800000000142</v>
      </c>
      <c r="FU34">
        <f>IF(AZ34&lt;&gt;-999,AZ34*$FT34, -999)</f>
        <v>624013.48259882978</v>
      </c>
      <c r="FV34">
        <f>IF(BA34&lt;&gt;-999,BA34*$FT34, -999)</f>
        <v>-999</v>
      </c>
      <c r="FW34" s="29">
        <f>IF(BB34&lt;&gt;-999,BB34*$FT34, -999)</f>
        <v>624013.48259882978</v>
      </c>
      <c r="FX34">
        <f t="shared" si="31"/>
        <v>1.9372800000000119</v>
      </c>
      <c r="FY34">
        <f>IF(BC34&lt;&gt;-999, BC34*$FX34, -999)</f>
        <v>287471.63904337975</v>
      </c>
      <c r="FZ34">
        <f>IF(BD34&lt;&gt;-999, BD34*$FX34, -999)</f>
        <v>-999</v>
      </c>
      <c r="GA34" s="29">
        <f>IF(BE34&lt;&gt;-999, BE34*$FX34, -999)</f>
        <v>287471.63904337975</v>
      </c>
      <c r="GB34">
        <f t="shared" si="32"/>
        <v>-2.1347199999999873</v>
      </c>
      <c r="GC34">
        <f>IF(BF34&lt;&gt;-999,BF34*$GB34, -999)</f>
        <v>-161804.83058728266</v>
      </c>
      <c r="GD34">
        <f>IF(BG34&lt;&gt;-999,BG34*$GB34, -999)</f>
        <v>-999</v>
      </c>
      <c r="GE34" s="29">
        <f>IF(BH34&lt;&gt;-999,BH34*$GB34, -999)</f>
        <v>-161804.83058728266</v>
      </c>
      <c r="GF34">
        <f t="shared" si="33"/>
        <v>-10.847719999999988</v>
      </c>
      <c r="GG34">
        <f>IF(BI34&lt;&gt;-999,BI34*$GF34, -999)</f>
        <v>-2472269.0543282265</v>
      </c>
      <c r="GH34">
        <f>IF(BJ34&lt;&gt;-999,BJ34*$GF34, -999)</f>
        <v>-999</v>
      </c>
      <c r="GI34" s="29">
        <f>IF(BK34&lt;&gt;-999,BK34*$GF34, -999)</f>
        <v>-2472269.0543282265</v>
      </c>
      <c r="GJ34" s="30">
        <f t="shared" si="27"/>
        <v>2525407.6637571631</v>
      </c>
    </row>
    <row r="35" spans="1:192">
      <c r="A35" s="48" t="s">
        <v>142</v>
      </c>
      <c r="B35" s="48" t="s">
        <v>173</v>
      </c>
      <c r="C35" s="49">
        <v>68</v>
      </c>
      <c r="D35" s="50">
        <v>0.94099999999999995</v>
      </c>
      <c r="E35" s="49">
        <v>132.62983946289299</v>
      </c>
      <c r="F35" s="49">
        <v>0.78948545040505402</v>
      </c>
      <c r="G35" s="49">
        <v>229.78713112990701</v>
      </c>
      <c r="H35" s="49">
        <v>0.80718853396245105</v>
      </c>
      <c r="I35" s="42">
        <v>50719</v>
      </c>
      <c r="J35" s="43">
        <v>16235.2</v>
      </c>
      <c r="K35" s="43">
        <f t="shared" si="0"/>
        <v>66954.2</v>
      </c>
      <c r="L35" s="43">
        <v>31965.599999999999</v>
      </c>
      <c r="M35" s="43">
        <v>10232.200000000001</v>
      </c>
      <c r="N35" s="43">
        <f t="shared" si="1"/>
        <v>42197.8</v>
      </c>
      <c r="O35" s="43">
        <v>75989.8</v>
      </c>
      <c r="P35" s="43">
        <v>24324.400000000001</v>
      </c>
      <c r="Q35" s="43">
        <f t="shared" si="2"/>
        <v>100314.20000000001</v>
      </c>
      <c r="R35" s="43">
        <v>44597.7</v>
      </c>
      <c r="S35" s="43">
        <v>14275.8</v>
      </c>
      <c r="T35" s="43">
        <f t="shared" si="3"/>
        <v>58873.5</v>
      </c>
      <c r="U35" s="43">
        <v>28107.599999999999</v>
      </c>
      <c r="V35" s="43">
        <v>8997.2999999999993</v>
      </c>
      <c r="W35" s="43">
        <f t="shared" si="4"/>
        <v>37104.899999999994</v>
      </c>
      <c r="X35" s="43">
        <v>66818.600000000006</v>
      </c>
      <c r="Y35" s="43">
        <v>21388.7</v>
      </c>
      <c r="Z35" s="43">
        <f t="shared" si="5"/>
        <v>88207.3</v>
      </c>
      <c r="AA35" s="22">
        <v>872709.3</v>
      </c>
      <c r="AB35">
        <v>188085.8</v>
      </c>
      <c r="AC35">
        <v>1060795.1000000001</v>
      </c>
      <c r="AD35">
        <v>550023.80000000005</v>
      </c>
      <c r="AE35">
        <v>118540.8</v>
      </c>
      <c r="AF35">
        <v>668564.6</v>
      </c>
      <c r="AG35">
        <v>1307537.6000000001</v>
      </c>
      <c r="AH35">
        <v>281799.7</v>
      </c>
      <c r="AI35">
        <v>1589337.3</v>
      </c>
      <c r="AJ35">
        <v>767381.3</v>
      </c>
      <c r="AK35">
        <v>165385.60000000001</v>
      </c>
      <c r="AL35">
        <v>932766.9</v>
      </c>
      <c r="AM35">
        <v>483641</v>
      </c>
      <c r="AN35">
        <v>104234</v>
      </c>
      <c r="AO35">
        <v>587875</v>
      </c>
      <c r="AP35">
        <v>1149729.8999999999</v>
      </c>
      <c r="AQ35">
        <v>247789.1</v>
      </c>
      <c r="AR35">
        <v>1397519</v>
      </c>
      <c r="AS35">
        <v>6236857.9100000001</v>
      </c>
      <c r="AT35" s="22">
        <f t="shared" si="36"/>
        <v>1452785.6228981176</v>
      </c>
      <c r="AU35">
        <f t="shared" si="36"/>
        <v>313103.51122795499</v>
      </c>
      <c r="AV35">
        <f t="shared" si="36"/>
        <v>1765889.1341260727</v>
      </c>
      <c r="AW35">
        <f t="shared" si="36"/>
        <v>915616.08074050513</v>
      </c>
      <c r="AX35">
        <f t="shared" si="36"/>
        <v>197333.02941408</v>
      </c>
      <c r="AY35">
        <f t="shared" si="36"/>
        <v>1112949.110154585</v>
      </c>
      <c r="AZ35">
        <f t="shared" si="36"/>
        <v>2176637.5431987601</v>
      </c>
      <c r="BA35">
        <f t="shared" si="36"/>
        <v>469107.58564965747</v>
      </c>
      <c r="BB35">
        <f t="shared" si="36"/>
        <v>2645745.1288484177</v>
      </c>
      <c r="BC35">
        <f t="shared" si="36"/>
        <v>1277447.7365153176</v>
      </c>
      <c r="BD35">
        <f t="shared" si="36"/>
        <v>275314.84070856002</v>
      </c>
      <c r="BE35">
        <f t="shared" si="36"/>
        <v>1552762.5772238777</v>
      </c>
      <c r="BF35">
        <f t="shared" si="36"/>
        <v>805109.664173475</v>
      </c>
      <c r="BG35">
        <f t="shared" si="36"/>
        <v>173516.72156715</v>
      </c>
      <c r="BH35">
        <f t="shared" si="36"/>
        <v>978626.38574062497</v>
      </c>
      <c r="BI35">
        <f t="shared" si="35"/>
        <v>1913937.5149733026</v>
      </c>
      <c r="BJ35">
        <f t="shared" si="35"/>
        <v>412490.66784422251</v>
      </c>
      <c r="BK35">
        <f t="shared" si="35"/>
        <v>2326428.1828175248</v>
      </c>
      <c r="BL35">
        <f t="shared" si="35"/>
        <v>10382400.535557948</v>
      </c>
      <c r="BM35" s="22">
        <f>-17.17-(0.1023*E35)+F35*(100-8.576-13.681)</f>
        <v>30.638934793786163</v>
      </c>
      <c r="BN35">
        <f>IF(AT35&lt;&gt;-999,AT35*$BM35, -999)</f>
        <v>44511803.969325438</v>
      </c>
      <c r="BO35">
        <f>IF(AU35&lt;&gt;-999,AU35*$BM35, -999)</f>
        <v>9593158.0642188061</v>
      </c>
      <c r="BP35" s="25">
        <f>IF(AV35&lt;&gt;-999,AV35*$BM35, -999)</f>
        <v>54104962.03354425</v>
      </c>
      <c r="BQ35">
        <f>-19.943-(0.1023*E35)+F35*(100-8.576-13.681)</f>
        <v>27.865934793786167</v>
      </c>
      <c r="BR35">
        <f>IF(AW35&lt;&gt;-999,AW35*$BQ35, -999)</f>
        <v>25514498.002056967</v>
      </c>
      <c r="BS35">
        <f>IF(AX35&lt;&gt;-999,AX35*$BQ35, -999)</f>
        <v>5498869.3303130409</v>
      </c>
      <c r="BT35" s="25">
        <f>IF(AY35&lt;&gt;-999,AY35*$BQ35, -999)</f>
        <v>31013367.332370002</v>
      </c>
      <c r="BU35">
        <f>-25.871-(0.1023*E35)+F35*(100-8.576-13.681)</f>
        <v>21.93793479378617</v>
      </c>
      <c r="BV35">
        <f>IF(AZ35&lt;&gt;-999,AZ35*$BU35, -999)</f>
        <v>47750932.492401324</v>
      </c>
      <c r="BW35">
        <f>IF(BA35&lt;&gt;-999,BA35*$BU35, -999)</f>
        <v>10291251.625252645</v>
      </c>
      <c r="BX35" s="25">
        <f>IF(BB35&lt;&gt;-999,BB35*$BU35, -999)</f>
        <v>58042184.117653973</v>
      </c>
      <c r="BY35">
        <f>-25.245-(0.1023*E35)+F35*(100-8.576-13.681)</f>
        <v>22.563934793786167</v>
      </c>
      <c r="BZ35">
        <f>IF(BC35&lt;&gt;-999,BC35*$BY35, -999)</f>
        <v>28824247.429201357</v>
      </c>
      <c r="CA35">
        <f>IF(BD35&lt;&gt;-999,BD35*$BY35, -999)</f>
        <v>6212186.113509574</v>
      </c>
      <c r="CB35" s="25">
        <f>IF(BE35&lt;&gt;-999,BE35*$BY35, -999)</f>
        <v>35036433.54271093</v>
      </c>
      <c r="CC35">
        <f>-29.317-(0.1023*E35)+F35*(100-8.576-13.681)</f>
        <v>18.491934793786164</v>
      </c>
      <c r="CD35">
        <f>IF(BF35&lt;&gt;-999,BF35*$CC35, -999)</f>
        <v>14888035.411742976</v>
      </c>
      <c r="CE35">
        <f>IF(BG35&lt;&gt;-999,BG35*$CC35, -999)</f>
        <v>3208659.9008512874</v>
      </c>
      <c r="CF35" s="25">
        <f>IF(BH35&lt;&gt;-999,BH35*$CC35, -999)</f>
        <v>18096695.312594265</v>
      </c>
      <c r="CG35">
        <f>-38.03-(0.1023*E35)+F35*(100-8.576-13.681)</f>
        <v>9.7789347937861635</v>
      </c>
      <c r="CH35">
        <f>IF(BI35&lt;&gt;-999,BI35*$CG35, -999)</f>
        <v>18716270.158305056</v>
      </c>
      <c r="CI35">
        <f>IF(BJ35&lt;&gt;-999,BJ35*$CG35, -999)</f>
        <v>4033719.3438939587</v>
      </c>
      <c r="CJ35" s="25">
        <f>IF(BK35&lt;&gt;-999,BK35*$CG35, -999)</f>
        <v>22749989.502199009</v>
      </c>
      <c r="CK35" s="26">
        <f t="shared" si="8"/>
        <v>219043631.84107244</v>
      </c>
      <c r="CL35">
        <f t="shared" si="9"/>
        <v>-31.267694345241772</v>
      </c>
      <c r="CM35">
        <f t="shared" si="10"/>
        <v>26.295114414164694</v>
      </c>
      <c r="CN35">
        <f t="shared" si="11"/>
        <v>-87.836184590485303</v>
      </c>
      <c r="CO35" s="22">
        <f t="shared" si="12"/>
        <v>-40.08</v>
      </c>
      <c r="CP35">
        <f>IF(AT35&lt;&gt;-999,AT35*$CO35, -999)</f>
        <v>-58227647.765756555</v>
      </c>
      <c r="CQ35">
        <f>IF(AU35&lt;&gt;-999,AU35*$CO35, -999)</f>
        <v>-12549188.730016436</v>
      </c>
      <c r="CR35" s="27">
        <f>IF(AV35&lt;&gt;-999,AV35*$CO35, -999)</f>
        <v>-70776836.495772988</v>
      </c>
      <c r="CS35">
        <f t="shared" si="13"/>
        <v>-42.853000000000002</v>
      </c>
      <c r="CT35">
        <f>IF(AW35&lt;&gt;-999,AW35*$CS35, -999)</f>
        <v>-39236895.907972865</v>
      </c>
      <c r="CU35">
        <f>IF(AX35&lt;&gt;-999,AX35*$CS35, -999)</f>
        <v>-8456312.3094815705</v>
      </c>
      <c r="CV35" s="27">
        <f>IF(AY35&lt;&gt;-999,AY35*$CS35, -999)</f>
        <v>-47693208.217454433</v>
      </c>
      <c r="CW35">
        <f t="shared" si="14"/>
        <v>-48.780999999999999</v>
      </c>
      <c r="CX35">
        <f>IF(AZ35&lt;&gt;-999,AZ35*$CO35, -999)</f>
        <v>-87239632.731406301</v>
      </c>
      <c r="CY35">
        <f>IF(BA35&lt;&gt;-999,BA35*$CO35, -999)</f>
        <v>-18801832.03283827</v>
      </c>
      <c r="CZ35" s="27">
        <f>IF(BB35&lt;&gt;-999,BB35*$CO35, -999)</f>
        <v>-106041464.76424457</v>
      </c>
      <c r="DA35">
        <f t="shared" si="15"/>
        <v>-48.155000000000001</v>
      </c>
      <c r="DB35">
        <f>IF(BC35&lt;&gt;-999,BC35*$DA35, -999)</f>
        <v>-61515495.751895122</v>
      </c>
      <c r="DC35">
        <f>IF(BD35&lt;&gt;-999,BD35*$DA35, -999)</f>
        <v>-13257786.154320708</v>
      </c>
      <c r="DD35" s="27">
        <f>IF(BE35&lt;&gt;-999,BE35*$DA35, -999)</f>
        <v>-74773281.906215832</v>
      </c>
      <c r="DE35">
        <f t="shared" si="16"/>
        <v>-52.227000000000004</v>
      </c>
      <c r="DF35">
        <f>IF(BF35&lt;&gt;-999,BF35*$DE35, -999)</f>
        <v>-42048462.430788085</v>
      </c>
      <c r="DG35">
        <f>IF(BG35&lt;&gt;-999,BG35*$DE35, -999)</f>
        <v>-9062257.8172875438</v>
      </c>
      <c r="DH35" s="27">
        <f>IF(BH35&lt;&gt;-999,BH35*$DE35, -999)</f>
        <v>-51110720.248075627</v>
      </c>
      <c r="DI35">
        <f t="shared" si="17"/>
        <v>-60.94</v>
      </c>
      <c r="DJ35">
        <f>IF(BI35&lt;&gt;-999,BI35*$DI35, -999)</f>
        <v>-116635352.16247305</v>
      </c>
      <c r="DK35">
        <f>IF(BJ35&lt;&gt;-999,BJ35*$DI35, -999)</f>
        <v>-25137181.298426919</v>
      </c>
      <c r="DL35" s="27">
        <f>IF(BK35&lt;&gt;-999,BK35*$DI35, -999)</f>
        <v>-141772533.46089995</v>
      </c>
      <c r="DM35" s="28">
        <f t="shared" si="18"/>
        <v>-492168045.09266341</v>
      </c>
      <c r="DN35" s="22">
        <f t="shared" si="19"/>
        <v>-17.170000000000002</v>
      </c>
      <c r="DO35">
        <f>IF(AT35&lt;&gt;-999,AT35*$DN35, -999)</f>
        <v>-24944329.145160682</v>
      </c>
      <c r="DP35">
        <f>IF(AU35&lt;&gt;-999,AU35*$DN35, -999)</f>
        <v>-5375987.2877839878</v>
      </c>
      <c r="DQ35" s="24">
        <f>IF(AV35&lt;&gt;-999,AV35*$DN35, -999)</f>
        <v>-30320316.43294467</v>
      </c>
      <c r="DR35">
        <f t="shared" si="20"/>
        <v>-19.943000000000001</v>
      </c>
      <c r="DS35">
        <f>IF(AW35&lt;&gt;-999,AW35*$DR35, -999)</f>
        <v>-18260131.498207897</v>
      </c>
      <c r="DT35">
        <f>IF(AX35&lt;&gt;-999,AX35*$DR35, -999)</f>
        <v>-3935412.6056049978</v>
      </c>
      <c r="DU35" s="24">
        <f>IF(AY35&lt;&gt;-999,AY35*$DR35, -999)</f>
        <v>-22195544.103812888</v>
      </c>
      <c r="DV35">
        <f t="shared" si="21"/>
        <v>-25.870999999999999</v>
      </c>
      <c r="DW35">
        <f>IF(AZ35&lt;&gt;-999,AZ35*$DV35, -999)</f>
        <v>-56311789.880095117</v>
      </c>
      <c r="DX35">
        <f>IF(BA35&lt;&gt;-999,BA35*$DV35, -999)</f>
        <v>-12136282.348342288</v>
      </c>
      <c r="DY35" s="24">
        <f>IF(BB35&lt;&gt;-999,BB35*$DV35, -999)</f>
        <v>-68448072.228437409</v>
      </c>
      <c r="DZ35">
        <f t="shared" si="22"/>
        <v>-25.245000000000001</v>
      </c>
      <c r="EA35">
        <f>IF(BC35&lt;&gt;-999, BC35*$DZ35, -999)</f>
        <v>-32249168.108329192</v>
      </c>
      <c r="EB35">
        <f>IF(BD35&lt;&gt;-999, BD35*$DZ35, -999)</f>
        <v>-6950323.1536875982</v>
      </c>
      <c r="EC35" s="24">
        <f>IF(BE35&lt;&gt;-999, BE35*$DZ35, -999)</f>
        <v>-39199491.262016796</v>
      </c>
      <c r="ED35">
        <f t="shared" si="23"/>
        <v>-29.317</v>
      </c>
      <c r="EE35">
        <f>IF(BF35&lt;&gt;-999,BF35*$ED35, -999)</f>
        <v>-23603400.024573766</v>
      </c>
      <c r="EF35">
        <f>IF(BG35&lt;&gt;-999,BG35*$ED35, -999)</f>
        <v>-5086989.7261841362</v>
      </c>
      <c r="EG35" s="24">
        <f>IF(BH35&lt;&gt;-999,BH35*$ED35, -999)</f>
        <v>-28690389.750757903</v>
      </c>
      <c r="EH35">
        <f t="shared" si="24"/>
        <v>-38.03</v>
      </c>
      <c r="EI35">
        <f>IF(BI35&lt;&gt;-999,BI35*$EH35, -999)</f>
        <v>-72787043.694434702</v>
      </c>
      <c r="EJ35">
        <f>IF(BJ35&lt;&gt;-999,BJ35*$EH35, -999)</f>
        <v>-15687020.098115783</v>
      </c>
      <c r="EK35" s="24">
        <f>IF(BK35&lt;&gt;-999,BK35*$EH35, -999)</f>
        <v>-88474063.792550474</v>
      </c>
      <c r="EL35" s="28">
        <f t="shared" si="25"/>
        <v>-277327877.57052016</v>
      </c>
      <c r="EM35" s="22">
        <f>-17.17-(0.1023*G35)+H35*(100+102.093-66.644-64.243)</f>
        <v>16.799443234740821</v>
      </c>
      <c r="EN35">
        <f>IF(AT35&lt;&gt;-999,AT35*$EM35, -999)</f>
        <v>24405989.604124513</v>
      </c>
      <c r="EO35">
        <f>IF(AU35&lt;&gt;-999,AU35*$EM35, -999)</f>
        <v>5259964.6634720648</v>
      </c>
      <c r="EP35" s="23">
        <f>IF(AV35&lt;&gt;-999,AV35*$EM35, -999)</f>
        <v>29665954.26759658</v>
      </c>
      <c r="EQ35">
        <f>-19.943-(0.1023*G35)+H35*(100+102.093-66.644-64.243)</f>
        <v>14.026443234740817</v>
      </c>
      <c r="ER35">
        <f>IF(AW35&lt;&gt;-999,AW35*$EQ35, -999)</f>
        <v>12842836.98132256</v>
      </c>
      <c r="ES35">
        <f>IF(AX35&lt;&gt;-999,AX35*$EQ35, -999)</f>
        <v>2767880.5354160331</v>
      </c>
      <c r="ET35" s="23">
        <f>IF(AY35&lt;&gt;-999,AY35*$EQ35, -999)</f>
        <v>15610717.516738592</v>
      </c>
      <c r="EU35">
        <f>-25.871-(0.1023*G35)+H35*(100+102.093-66.644-64.243)</f>
        <v>8.0984432347408202</v>
      </c>
      <c r="EV35">
        <f>IF(AZ35&lt;&gt;-999,AZ35*$EU35, -999)</f>
        <v>17627375.586200878</v>
      </c>
      <c r="EW35">
        <f>IF(BA35&lt;&gt;-999,BA35*$EU35, -999)</f>
        <v>3799041.1533700684</v>
      </c>
      <c r="EX35" s="23">
        <f>IF(BB35&lt;&gt;-999,BB35*$EU35, -999)</f>
        <v>21426416.739570949</v>
      </c>
      <c r="EY35">
        <f>-25.245-(0.1023*G35)+H35*(100+102.093-66.644-64.243)</f>
        <v>8.7244432347408178</v>
      </c>
      <c r="EZ35">
        <f>IF(BC35&lt;&gt;-999, BC35*$EY35, -999)</f>
        <v>11145020.262576032</v>
      </c>
      <c r="FA35">
        <f>IF(BD35&lt;&gt;-999, BD35*$EY35, -999)</f>
        <v>2401968.6994435424</v>
      </c>
      <c r="FB35" s="23">
        <f>IF(BE35&lt;&gt;-999, BE35*$EY35, -999)</f>
        <v>13546988.962019576</v>
      </c>
      <c r="FC35">
        <f>-29.317-(0.1023*G35)+H35*(100+102.093-66.644-64.243)</f>
        <v>4.6524432347408151</v>
      </c>
      <c r="FD35">
        <f>IF(BF35&lt;&gt;-999,BF35*$FC35, -999)</f>
        <v>3745727.0103083332</v>
      </c>
      <c r="FE35">
        <f>IF(BG35&lt;&gt;-999,BG35*$FC35, -999)</f>
        <v>807276.69736949273</v>
      </c>
      <c r="FF35" s="23">
        <f>IF(BH35&lt;&gt;-999,BH35*$FC35, -999)</f>
        <v>4553003.7076778263</v>
      </c>
      <c r="FG35">
        <f>-38.03-(0.1023*G35)+H35*(100+102.093-66.644-64.243)</f>
        <v>-4.0605567652591787</v>
      </c>
      <c r="FH35">
        <f>IF(BI35&lt;&gt;-999,BI35*$FG35, -999)</f>
        <v>-7771651.9247081848</v>
      </c>
      <c r="FI35">
        <f>IF(BJ35&lt;&gt;-999,BJ35*$FG35, -999)</f>
        <v>-1674941.7719211346</v>
      </c>
      <c r="FJ35" s="23">
        <f>IF(BK35&lt;&gt;-999,BK35*$FG35, -999)</f>
        <v>-9446593.6966293175</v>
      </c>
      <c r="FK35" s="28">
        <f t="shared" si="26"/>
        <v>75356487.496974215</v>
      </c>
      <c r="FL35" s="22">
        <f t="shared" si="28"/>
        <v>10.012280000000011</v>
      </c>
      <c r="FM35">
        <f>IF(AT35&lt;&gt;-999,AT35*$FL35, -999)</f>
        <v>14545696.436430382</v>
      </c>
      <c r="FN35">
        <f>IF(AU35&lt;&gt;-999,AU35*$FL35, -999)</f>
        <v>3134880.0233974326</v>
      </c>
      <c r="FO35" s="29">
        <f>IF(AV35&lt;&gt;-999,AV35*$FL35, -999)</f>
        <v>17680576.459827814</v>
      </c>
      <c r="FP35">
        <f t="shared" si="29"/>
        <v>7.2392800000000115</v>
      </c>
      <c r="FQ35">
        <f>IF(AW35&lt;&gt;-999,AW35*$FP35, -999)</f>
        <v>6628401.1809831345</v>
      </c>
      <c r="FR35">
        <f>IF(AX35&lt;&gt;-999,AX35*$FP35, -999)</f>
        <v>1428549.0531767632</v>
      </c>
      <c r="FS35" s="29">
        <f>IF(AY35&lt;&gt;-999,AY35*$FP35, -999)</f>
        <v>8056950.2341598971</v>
      </c>
      <c r="FT35">
        <f t="shared" si="30"/>
        <v>1.3112800000000142</v>
      </c>
      <c r="FU35">
        <f>IF(AZ35&lt;&gt;-999,AZ35*$FT35, -999)</f>
        <v>2854181.2776457011</v>
      </c>
      <c r="FV35">
        <f>IF(BA35&lt;&gt;-999,BA35*$FT35, -999)</f>
        <v>615131.39491068956</v>
      </c>
      <c r="FW35" s="29">
        <f>IF(BB35&lt;&gt;-999,BB35*$FT35, -999)</f>
        <v>3469312.6725563905</v>
      </c>
      <c r="FX35">
        <f t="shared" si="31"/>
        <v>1.9372800000000119</v>
      </c>
      <c r="FY35">
        <f>IF(BC35&lt;&gt;-999, BC35*$FX35, -999)</f>
        <v>2474773.9509964096</v>
      </c>
      <c r="FZ35">
        <f>IF(BD35&lt;&gt;-999, BD35*$FX35, -999)</f>
        <v>533361.9346078824</v>
      </c>
      <c r="GA35" s="29">
        <f>IF(BE35&lt;&gt;-999, BE35*$FX35, -999)</f>
        <v>3008135.8856042922</v>
      </c>
      <c r="GB35">
        <f t="shared" si="32"/>
        <v>-2.1347199999999873</v>
      </c>
      <c r="GC35">
        <f>IF(BF35&lt;&gt;-999,BF35*$GB35, -999)</f>
        <v>-1718683.7023043903</v>
      </c>
      <c r="GD35">
        <f>IF(BG35&lt;&gt;-999,BG35*$GB35, -999)</f>
        <v>-370409.61586382426</v>
      </c>
      <c r="GE35" s="29">
        <f>IF(BH35&lt;&gt;-999,BH35*$GB35, -999)</f>
        <v>-2089093.3181682145</v>
      </c>
      <c r="GF35">
        <f t="shared" si="33"/>
        <v>-10.847719999999988</v>
      </c>
      <c r="GG35">
        <f>IF(BI35&lt;&gt;-999,BI35*$GF35, -999)</f>
        <v>-20761858.25992617</v>
      </c>
      <c r="GH35">
        <f>IF(BJ35&lt;&gt;-999,BJ35*$GF35, -999)</f>
        <v>-4474583.2673871247</v>
      </c>
      <c r="GI35" s="29">
        <f>IF(BK35&lt;&gt;-999,BK35*$GF35, -999)</f>
        <v>-25236441.527313292</v>
      </c>
      <c r="GJ35" s="30">
        <f t="shared" si="27"/>
        <v>4889440.4066668861</v>
      </c>
    </row>
    <row r="36" spans="1:192">
      <c r="A36" s="48" t="s">
        <v>138</v>
      </c>
      <c r="B36" s="48" t="s">
        <v>174</v>
      </c>
      <c r="C36" s="49">
        <v>120</v>
      </c>
      <c r="D36" s="50">
        <v>0.93400000000000005</v>
      </c>
      <c r="E36" s="49">
        <v>202.71166713903901</v>
      </c>
      <c r="F36" s="49">
        <v>0.77773719898955695</v>
      </c>
      <c r="G36" s="49">
        <v>91.335602804920796</v>
      </c>
      <c r="H36" s="49">
        <v>0.81695863563785898</v>
      </c>
      <c r="I36" s="42">
        <v>18745.8</v>
      </c>
      <c r="J36" s="43">
        <v>-999</v>
      </c>
      <c r="K36" s="43">
        <f t="shared" si="0"/>
        <v>18745.8</v>
      </c>
      <c r="L36" s="43">
        <v>12712.1</v>
      </c>
      <c r="M36" s="43">
        <v>-999</v>
      </c>
      <c r="N36" s="43">
        <f t="shared" si="1"/>
        <v>12712.1</v>
      </c>
      <c r="O36" s="43">
        <v>14365.7</v>
      </c>
      <c r="P36" s="43">
        <v>-999</v>
      </c>
      <c r="Q36" s="43">
        <f t="shared" si="2"/>
        <v>14365.7</v>
      </c>
      <c r="R36" s="43">
        <v>17447.099999999999</v>
      </c>
      <c r="S36" s="43">
        <v>-999</v>
      </c>
      <c r="T36" s="43">
        <f t="shared" si="3"/>
        <v>17447.099999999999</v>
      </c>
      <c r="U36" s="43">
        <v>11831.4</v>
      </c>
      <c r="V36" s="43">
        <v>-999</v>
      </c>
      <c r="W36" s="43">
        <f t="shared" si="4"/>
        <v>11831.4</v>
      </c>
      <c r="X36" s="43">
        <v>13370.4</v>
      </c>
      <c r="Y36" s="43">
        <v>-999</v>
      </c>
      <c r="Z36" s="43">
        <f t="shared" si="5"/>
        <v>13370.4</v>
      </c>
      <c r="AA36" s="22">
        <v>326447.09999999998</v>
      </c>
      <c r="AB36">
        <v>-999</v>
      </c>
      <c r="AC36">
        <v>326447.09999999998</v>
      </c>
      <c r="AD36">
        <v>221373.8</v>
      </c>
      <c r="AE36">
        <v>-999</v>
      </c>
      <c r="AF36">
        <v>221373.8</v>
      </c>
      <c r="AG36">
        <v>250170</v>
      </c>
      <c r="AH36">
        <v>-999</v>
      </c>
      <c r="AI36">
        <v>250170</v>
      </c>
      <c r="AJ36">
        <v>303831.2</v>
      </c>
      <c r="AK36">
        <v>-999</v>
      </c>
      <c r="AL36">
        <v>303831.2</v>
      </c>
      <c r="AM36">
        <v>206037.2</v>
      </c>
      <c r="AN36">
        <v>-999</v>
      </c>
      <c r="AO36">
        <v>206037.2</v>
      </c>
      <c r="AP36">
        <v>232838.39999999999</v>
      </c>
      <c r="AQ36">
        <v>-999</v>
      </c>
      <c r="AR36">
        <v>232838.39999999999</v>
      </c>
      <c r="AS36">
        <v>1540697.7</v>
      </c>
      <c r="AT36" s="22">
        <f t="shared" si="36"/>
        <v>543431.41927877243</v>
      </c>
      <c r="AU36">
        <f t="shared" si="36"/>
        <v>-999</v>
      </c>
      <c r="AV36">
        <f t="shared" si="36"/>
        <v>543431.41927877243</v>
      </c>
      <c r="AW36">
        <f t="shared" si="36"/>
        <v>368517.52803175495</v>
      </c>
      <c r="AX36">
        <f t="shared" si="36"/>
        <v>-999</v>
      </c>
      <c r="AY36">
        <f t="shared" si="36"/>
        <v>368517.52803175495</v>
      </c>
      <c r="AZ36">
        <f t="shared" si="36"/>
        <v>416454.11511075002</v>
      </c>
      <c r="BA36">
        <f t="shared" si="36"/>
        <v>-999</v>
      </c>
      <c r="BB36">
        <f t="shared" si="36"/>
        <v>416454.11511075002</v>
      </c>
      <c r="BC36">
        <f t="shared" si="36"/>
        <v>505783.08166062</v>
      </c>
      <c r="BD36">
        <f t="shared" si="36"/>
        <v>-999</v>
      </c>
      <c r="BE36">
        <f t="shared" si="36"/>
        <v>505783.08166062</v>
      </c>
      <c r="BF36">
        <f t="shared" si="36"/>
        <v>342986.92811247002</v>
      </c>
      <c r="BG36">
        <f t="shared" si="36"/>
        <v>-999</v>
      </c>
      <c r="BH36">
        <f t="shared" si="36"/>
        <v>342986.92811247002</v>
      </c>
      <c r="BI36">
        <f t="shared" si="35"/>
        <v>387602.46966383996</v>
      </c>
      <c r="BJ36">
        <f t="shared" si="35"/>
        <v>-999</v>
      </c>
      <c r="BK36">
        <f t="shared" si="35"/>
        <v>387602.46966383996</v>
      </c>
      <c r="BL36">
        <f t="shared" si="35"/>
        <v>2564775.5418582074</v>
      </c>
      <c r="BM36" s="22">
        <f>-17.17-(0.1023*E36)+F36*(100-8.576-13.681)</f>
        <v>22.556219512721441</v>
      </c>
      <c r="BN36">
        <f>IF(AT36&lt;&gt;-999,AT36*$BM36, -999)</f>
        <v>12257758.383361753</v>
      </c>
      <c r="BO36">
        <f>IF(AU36&lt;&gt;-999,AU36*$BM36, -999)</f>
        <v>-999</v>
      </c>
      <c r="BP36" s="25">
        <f>IF(AV36&lt;&gt;-999,AV36*$BM36, -999)</f>
        <v>12257758.383361753</v>
      </c>
      <c r="BQ36">
        <f>-19.943-(0.1023*E36)+F36*(100-8.576-13.681)</f>
        <v>19.783219512721438</v>
      </c>
      <c r="BR36">
        <f>IF(AW36&lt;&gt;-999,AW36*$BQ36, -999)</f>
        <v>7290463.1513376841</v>
      </c>
      <c r="BS36">
        <f>IF(AX36&lt;&gt;-999,AX36*$BQ36, -999)</f>
        <v>-999</v>
      </c>
      <c r="BT36" s="25">
        <f>IF(AY36&lt;&gt;-999,AY36*$BQ36, -999)</f>
        <v>7290463.1513376841</v>
      </c>
      <c r="BU36">
        <f>-25.871-(0.1023*E36)+F36*(100-8.576-13.681)</f>
        <v>13.85521951272144</v>
      </c>
      <c r="BV36">
        <f>IF(AZ36&lt;&gt;-999,AZ36*$BU36, -999)</f>
        <v>5770063.1818356048</v>
      </c>
      <c r="BW36">
        <f>IF(BA36&lt;&gt;-999,BA36*$BU36, -999)</f>
        <v>-999</v>
      </c>
      <c r="BX36" s="25">
        <f>IF(BB36&lt;&gt;-999,BB36*$BU36, -999)</f>
        <v>5770063.1818356048</v>
      </c>
      <c r="BY36">
        <f>-25.245-(0.1023*E36)+F36*(100-8.576-13.681)</f>
        <v>14.481219512721445</v>
      </c>
      <c r="BZ36">
        <f>IF(BC36&lt;&gt;-999,BC36*$BY36, -999)</f>
        <v>7324355.8313481547</v>
      </c>
      <c r="CA36">
        <f>IF(BD36&lt;&gt;-999,BD36*$BY36, -999)</f>
        <v>-999</v>
      </c>
      <c r="CB36" s="25">
        <f>IF(BE36&lt;&gt;-999,BE36*$BY36, -999)</f>
        <v>7324355.8313481547</v>
      </c>
      <c r="CC36">
        <f>-29.317-(0.1023*E36)+F36*(100-8.576-13.681)</f>
        <v>10.409219512721442</v>
      </c>
      <c r="CD36">
        <f>IF(BF36&lt;&gt;-999,BF36*$CC36, -999)</f>
        <v>3570226.2247167095</v>
      </c>
      <c r="CE36">
        <f>IF(BG36&lt;&gt;-999,BG36*$CC36, -999)</f>
        <v>-999</v>
      </c>
      <c r="CF36" s="25">
        <f>IF(BH36&lt;&gt;-999,BH36*$CC36, -999)</f>
        <v>3570226.2247167095</v>
      </c>
      <c r="CG36">
        <f>-38.03-(0.1023*E36)+F36*(100-8.576-13.681)</f>
        <v>1.6962195127214414</v>
      </c>
      <c r="CH36">
        <f>IF(BI36&lt;&gt;-999,BI36*$CG36, -999)</f>
        <v>657458.87222282588</v>
      </c>
      <c r="CI36">
        <f>IF(BJ36&lt;&gt;-999,BJ36*$CG36, -999)</f>
        <v>-999</v>
      </c>
      <c r="CJ36" s="25">
        <f>IF(BK36&lt;&gt;-999,BK36*$CG36, -999)</f>
        <v>657458.87222282588</v>
      </c>
      <c r="CK36" s="26">
        <f t="shared" si="8"/>
        <v>36870325.644822732</v>
      </c>
      <c r="CL36">
        <f t="shared" si="9"/>
        <v>-22.857977780749628</v>
      </c>
      <c r="CM36">
        <f t="shared" si="10"/>
        <v>35.574356507802534</v>
      </c>
      <c r="CN36">
        <f t="shared" si="11"/>
        <v>-80.280973695079908</v>
      </c>
      <c r="CO36" s="22">
        <f t="shared" si="12"/>
        <v>-40.08</v>
      </c>
      <c r="CP36">
        <f>IF(AT36&lt;&gt;-999,AT36*$CO36, -999)</f>
        <v>-21780731.284693196</v>
      </c>
      <c r="CQ36">
        <f>IF(AU36&lt;&gt;-999,AU36*$CO36, -999)</f>
        <v>-999</v>
      </c>
      <c r="CR36" s="27">
        <f>IF(AV36&lt;&gt;-999,AV36*$CO36, -999)</f>
        <v>-21780731.284693196</v>
      </c>
      <c r="CS36">
        <f t="shared" si="13"/>
        <v>-42.853000000000002</v>
      </c>
      <c r="CT36">
        <f>IF(AW36&lt;&gt;-999,AW36*$CS36, -999)</f>
        <v>-15792081.628744796</v>
      </c>
      <c r="CU36">
        <f>IF(AX36&lt;&gt;-999,AX36*$CS36, -999)</f>
        <v>-999</v>
      </c>
      <c r="CV36" s="27">
        <f>IF(AY36&lt;&gt;-999,AY36*$CS36, -999)</f>
        <v>-15792081.628744796</v>
      </c>
      <c r="CW36">
        <f t="shared" si="14"/>
        <v>-48.780999999999999</v>
      </c>
      <c r="CX36">
        <f>IF(AZ36&lt;&gt;-999,AZ36*$CO36, -999)</f>
        <v>-16691480.93363886</v>
      </c>
      <c r="CY36">
        <f>IF(BA36&lt;&gt;-999,BA36*$CO36, -999)</f>
        <v>-999</v>
      </c>
      <c r="CZ36" s="27">
        <f>IF(BB36&lt;&gt;-999,BB36*$CO36, -999)</f>
        <v>-16691480.93363886</v>
      </c>
      <c r="DA36">
        <f t="shared" si="15"/>
        <v>-48.155000000000001</v>
      </c>
      <c r="DB36">
        <f>IF(BC36&lt;&gt;-999,BC36*$DA36, -999)</f>
        <v>-24355984.297367156</v>
      </c>
      <c r="DC36">
        <f>IF(BD36&lt;&gt;-999,BD36*$DA36, -999)</f>
        <v>-999</v>
      </c>
      <c r="DD36" s="27">
        <f>IF(BE36&lt;&gt;-999,BE36*$DA36, -999)</f>
        <v>-24355984.297367156</v>
      </c>
      <c r="DE36">
        <f t="shared" si="16"/>
        <v>-52.227000000000004</v>
      </c>
      <c r="DF36">
        <f>IF(BF36&lt;&gt;-999,BF36*$DE36, -999)</f>
        <v>-17913178.294529974</v>
      </c>
      <c r="DG36">
        <f>IF(BG36&lt;&gt;-999,BG36*$DE36, -999)</f>
        <v>-999</v>
      </c>
      <c r="DH36" s="27">
        <f>IF(BH36&lt;&gt;-999,BH36*$DE36, -999)</f>
        <v>-17913178.294529974</v>
      </c>
      <c r="DI36">
        <f t="shared" si="17"/>
        <v>-60.94</v>
      </c>
      <c r="DJ36">
        <f>IF(BI36&lt;&gt;-999,BI36*$DI36, -999)</f>
        <v>-23620494.501314405</v>
      </c>
      <c r="DK36">
        <f>IF(BJ36&lt;&gt;-999,BJ36*$DI36, -999)</f>
        <v>-999</v>
      </c>
      <c r="DL36" s="27">
        <f>IF(BK36&lt;&gt;-999,BK36*$DI36, -999)</f>
        <v>-23620494.501314405</v>
      </c>
      <c r="DM36" s="28">
        <f t="shared" si="18"/>
        <v>-120153950.94028838</v>
      </c>
      <c r="DN36" s="22">
        <f t="shared" si="19"/>
        <v>-17.170000000000002</v>
      </c>
      <c r="DO36">
        <f>IF(AT36&lt;&gt;-999,AT36*$DN36, -999)</f>
        <v>-9330717.469016524</v>
      </c>
      <c r="DP36">
        <f>IF(AU36&lt;&gt;-999,AU36*$DN36, -999)</f>
        <v>-999</v>
      </c>
      <c r="DQ36" s="24">
        <f>IF(AV36&lt;&gt;-999,AV36*$DN36, -999)</f>
        <v>-9330717.469016524</v>
      </c>
      <c r="DR36">
        <f t="shared" si="20"/>
        <v>-19.943000000000001</v>
      </c>
      <c r="DS36">
        <f>IF(AW36&lt;&gt;-999,AW36*$DR36, -999)</f>
        <v>-7349345.0615372891</v>
      </c>
      <c r="DT36">
        <f>IF(AX36&lt;&gt;-999,AX36*$DR36, -999)</f>
        <v>-999</v>
      </c>
      <c r="DU36" s="24">
        <f>IF(AY36&lt;&gt;-999,AY36*$DR36, -999)</f>
        <v>-7349345.0615372891</v>
      </c>
      <c r="DV36">
        <f t="shared" si="21"/>
        <v>-25.870999999999999</v>
      </c>
      <c r="DW36">
        <f>IF(AZ36&lt;&gt;-999,AZ36*$DV36, -999)</f>
        <v>-10774084.412030213</v>
      </c>
      <c r="DX36">
        <f>IF(BA36&lt;&gt;-999,BA36*$DV36, -999)</f>
        <v>-999</v>
      </c>
      <c r="DY36" s="24">
        <f>IF(BB36&lt;&gt;-999,BB36*$DV36, -999)</f>
        <v>-10774084.412030213</v>
      </c>
      <c r="DZ36">
        <f t="shared" si="22"/>
        <v>-25.245000000000001</v>
      </c>
      <c r="EA36">
        <f>IF(BC36&lt;&gt;-999, BC36*$DZ36, -999)</f>
        <v>-12768493.896522352</v>
      </c>
      <c r="EB36">
        <f>IF(BD36&lt;&gt;-999, BD36*$DZ36, -999)</f>
        <v>-999</v>
      </c>
      <c r="EC36" s="24">
        <f>IF(BE36&lt;&gt;-999, BE36*$DZ36, -999)</f>
        <v>-12768493.896522352</v>
      </c>
      <c r="ED36">
        <f t="shared" si="23"/>
        <v>-29.317</v>
      </c>
      <c r="EE36">
        <f>IF(BF36&lt;&gt;-999,BF36*$ED36, -999)</f>
        <v>-10055347.771473283</v>
      </c>
      <c r="EF36">
        <f>IF(BG36&lt;&gt;-999,BG36*$ED36, -999)</f>
        <v>-999</v>
      </c>
      <c r="EG36" s="24">
        <f>IF(BH36&lt;&gt;-999,BH36*$ED36, -999)</f>
        <v>-10055347.771473283</v>
      </c>
      <c r="EH36">
        <f t="shared" si="24"/>
        <v>-38.03</v>
      </c>
      <c r="EI36">
        <f>IF(BI36&lt;&gt;-999,BI36*$EH36, -999)</f>
        <v>-14740521.921315834</v>
      </c>
      <c r="EJ36">
        <f>IF(BJ36&lt;&gt;-999,BJ36*$EH36, -999)</f>
        <v>-999</v>
      </c>
      <c r="EK36" s="24">
        <f>IF(BK36&lt;&gt;-999,BK36*$EH36, -999)</f>
        <v>-14740521.921315834</v>
      </c>
      <c r="EL36" s="28">
        <f t="shared" si="25"/>
        <v>-65018510.531895496</v>
      </c>
      <c r="EM36" s="22">
        <f>-17.17-(0.1023*G36)+H36*(100+102.093-66.644-64.243)</f>
        <v>31.658724442286005</v>
      </c>
      <c r="EN36">
        <f>IF(AT36&lt;&gt;-999,AT36*$EM36, -999)</f>
        <v>17204345.556227047</v>
      </c>
      <c r="EO36">
        <f>IF(AU36&lt;&gt;-999,AU36*$EM36, -999)</f>
        <v>-999</v>
      </c>
      <c r="EP36" s="23">
        <f>IF(AV36&lt;&gt;-999,AV36*$EM36, -999)</f>
        <v>17204345.556227047</v>
      </c>
      <c r="EQ36">
        <f>-19.943-(0.1023*G36)+H36*(100+102.093-66.644-64.243)</f>
        <v>28.885724442286005</v>
      </c>
      <c r="ER36">
        <f>IF(AW36&lt;&gt;-999,AW36*$EQ36, -999)</f>
        <v>10644895.766877681</v>
      </c>
      <c r="ES36">
        <f>IF(AX36&lt;&gt;-999,AX36*$EQ36, -999)</f>
        <v>-999</v>
      </c>
      <c r="ET36" s="23">
        <f>IF(AY36&lt;&gt;-999,AY36*$EQ36, -999)</f>
        <v>10644895.766877681</v>
      </c>
      <c r="EU36">
        <f>-25.871-(0.1023*G36)+H36*(100+102.093-66.644-64.243)</f>
        <v>22.957724442286008</v>
      </c>
      <c r="EV36">
        <f>IF(AZ36&lt;&gt;-999,AZ36*$EU36, -999)</f>
        <v>9560838.8175686561</v>
      </c>
      <c r="EW36">
        <f>IF(BA36&lt;&gt;-999,BA36*$EU36, -999)</f>
        <v>-999</v>
      </c>
      <c r="EX36" s="23">
        <f>IF(BB36&lt;&gt;-999,BB36*$EU36, -999)</f>
        <v>9560838.8175686561</v>
      </c>
      <c r="EY36">
        <f>-25.245-(0.1023*G36)+H36*(100+102.093-66.644-64.243)</f>
        <v>23.583724442286005</v>
      </c>
      <c r="EZ36">
        <f>IF(BC36&lt;&gt;-999, BC36*$EY36, -999)</f>
        <v>11928248.825454302</v>
      </c>
      <c r="FA36">
        <f>IF(BD36&lt;&gt;-999, BD36*$EY36, -999)</f>
        <v>-999</v>
      </c>
      <c r="FB36" s="23">
        <f>IF(BE36&lt;&gt;-999, BE36*$EY36, -999)</f>
        <v>11928248.825454302</v>
      </c>
      <c r="FC36">
        <f>-29.317-(0.1023*G36)+H36*(100+102.093-66.644-64.243)</f>
        <v>19.511724442286003</v>
      </c>
      <c r="FD36">
        <f>IF(BF36&lt;&gt;-999,BF36*$FC36, -999)</f>
        <v>6692266.4286366729</v>
      </c>
      <c r="FE36">
        <f>IF(BG36&lt;&gt;-999,BG36*$FC36, -999)</f>
        <v>-999</v>
      </c>
      <c r="FF36" s="23">
        <f>IF(BH36&lt;&gt;-999,BH36*$FC36, -999)</f>
        <v>6692266.4286366729</v>
      </c>
      <c r="FG36">
        <f>-38.03-(0.1023*G36)+H36*(100+102.093-66.644-64.243)</f>
        <v>10.798724442286009</v>
      </c>
      <c r="FH36">
        <f>IF(BI36&lt;&gt;-999,BI36*$FG36, -999)</f>
        <v>4185612.2630493296</v>
      </c>
      <c r="FI36">
        <f>IF(BJ36&lt;&gt;-999,BJ36*$FG36, -999)</f>
        <v>-999</v>
      </c>
      <c r="FJ36" s="23">
        <f>IF(BK36&lt;&gt;-999,BK36*$FG36, -999)</f>
        <v>4185612.2630493296</v>
      </c>
      <c r="FK36" s="28">
        <f t="shared" si="26"/>
        <v>60216207.657813683</v>
      </c>
      <c r="FL36" s="22">
        <f t="shared" si="28"/>
        <v>10.012280000000011</v>
      </c>
      <c r="FM36">
        <f>IF(AT36&lt;&gt;-999,AT36*$FL36, -999)</f>
        <v>5440987.5306164734</v>
      </c>
      <c r="FN36">
        <f>IF(AU36&lt;&gt;-999,AU36*$FL36, -999)</f>
        <v>-999</v>
      </c>
      <c r="FO36" s="29">
        <f>IF(AV36&lt;&gt;-999,AV36*$FL36, -999)</f>
        <v>5440987.5306164734</v>
      </c>
      <c r="FP36">
        <f t="shared" si="29"/>
        <v>7.2392800000000115</v>
      </c>
      <c r="FQ36">
        <f>IF(AW36&lt;&gt;-999,AW36*$FP36, -999)</f>
        <v>2667801.5703297271</v>
      </c>
      <c r="FR36">
        <f>IF(AX36&lt;&gt;-999,AX36*$FP36, -999)</f>
        <v>-999</v>
      </c>
      <c r="FS36" s="29">
        <f>IF(AY36&lt;&gt;-999,AY36*$FP36, -999)</f>
        <v>2667801.5703297271</v>
      </c>
      <c r="FT36">
        <f t="shared" si="30"/>
        <v>1.3112800000000142</v>
      </c>
      <c r="FU36">
        <f>IF(AZ36&lt;&gt;-999,AZ36*$FT36, -999)</f>
        <v>546087.95206243021</v>
      </c>
      <c r="FV36">
        <f>IF(BA36&lt;&gt;-999,BA36*$FT36, -999)</f>
        <v>-999</v>
      </c>
      <c r="FW36" s="29">
        <f>IF(BB36&lt;&gt;-999,BB36*$FT36, -999)</f>
        <v>546087.95206243021</v>
      </c>
      <c r="FX36">
        <f t="shared" si="31"/>
        <v>1.9372800000000119</v>
      </c>
      <c r="FY36">
        <f>IF(BC36&lt;&gt;-999, BC36*$FX36, -999)</f>
        <v>979843.44843949191</v>
      </c>
      <c r="FZ36">
        <f>IF(BD36&lt;&gt;-999, BD36*$FX36, -999)</f>
        <v>-999</v>
      </c>
      <c r="GA36" s="29">
        <f>IF(BE36&lt;&gt;-999, BE36*$FX36, -999)</f>
        <v>979843.44843949191</v>
      </c>
      <c r="GB36">
        <f t="shared" si="32"/>
        <v>-2.1347199999999873</v>
      </c>
      <c r="GC36">
        <f>IF(BF36&lt;&gt;-999,BF36*$GB36, -999)</f>
        <v>-732181.05518024764</v>
      </c>
      <c r="GD36">
        <f>IF(BG36&lt;&gt;-999,BG36*$GB36, -999)</f>
        <v>-999</v>
      </c>
      <c r="GE36" s="29">
        <f>IF(BH36&lt;&gt;-999,BH36*$GB36, -999)</f>
        <v>-732181.05518024764</v>
      </c>
      <c r="GF36">
        <f t="shared" si="33"/>
        <v>-10.847719999999988</v>
      </c>
      <c r="GG36">
        <f>IF(BI36&lt;&gt;-999,BI36*$GF36, -999)</f>
        <v>-4204603.0622218251</v>
      </c>
      <c r="GH36">
        <f>IF(BJ36&lt;&gt;-999,BJ36*$GF36, -999)</f>
        <v>-999</v>
      </c>
      <c r="GI36" s="29">
        <f>IF(BK36&lt;&gt;-999,BK36*$GF36, -999)</f>
        <v>-4204603.0622218251</v>
      </c>
      <c r="GJ36" s="30">
        <f t="shared" si="27"/>
        <v>4697936.3840460498</v>
      </c>
    </row>
    <row r="37" spans="1:192">
      <c r="A37" s="48" t="s">
        <v>138</v>
      </c>
      <c r="B37" s="48" t="s">
        <v>175</v>
      </c>
      <c r="C37" s="49">
        <v>163</v>
      </c>
      <c r="D37" s="50">
        <v>0.93400000000000005</v>
      </c>
      <c r="E37" s="49">
        <v>208.428348802221</v>
      </c>
      <c r="F37" s="49">
        <v>0.76616114072085695</v>
      </c>
      <c r="G37" s="49">
        <v>83.775428600246201</v>
      </c>
      <c r="H37" s="49">
        <v>0.81757547197496205</v>
      </c>
      <c r="I37" s="42">
        <v>13514.7</v>
      </c>
      <c r="J37" s="43">
        <v>-999</v>
      </c>
      <c r="K37" s="43">
        <f t="shared" si="0"/>
        <v>13514.7</v>
      </c>
      <c r="L37" s="43">
        <v>2238.1999999999998</v>
      </c>
      <c r="M37" s="43">
        <v>-999</v>
      </c>
      <c r="N37" s="43">
        <f t="shared" si="1"/>
        <v>2238.1999999999998</v>
      </c>
      <c r="O37" s="43">
        <v>35307</v>
      </c>
      <c r="P37" s="43">
        <v>-999</v>
      </c>
      <c r="Q37" s="43">
        <f t="shared" si="2"/>
        <v>35307</v>
      </c>
      <c r="R37" s="43">
        <v>34753.300000000003</v>
      </c>
      <c r="S37" s="43">
        <v>-999</v>
      </c>
      <c r="T37" s="43">
        <f t="shared" si="3"/>
        <v>34753.300000000003</v>
      </c>
      <c r="U37" s="43">
        <v>5755.5</v>
      </c>
      <c r="V37" s="43">
        <v>-999</v>
      </c>
      <c r="W37" s="43">
        <f t="shared" si="4"/>
        <v>5755.5</v>
      </c>
      <c r="X37" s="43">
        <v>90792.4</v>
      </c>
      <c r="Y37" s="43">
        <v>-999</v>
      </c>
      <c r="Z37" s="43">
        <f t="shared" si="5"/>
        <v>90792.4</v>
      </c>
      <c r="AA37" s="22">
        <v>147840.6</v>
      </c>
      <c r="AB37">
        <v>-999</v>
      </c>
      <c r="AC37">
        <v>147840.6</v>
      </c>
      <c r="AD37">
        <v>24483.7</v>
      </c>
      <c r="AE37">
        <v>-999</v>
      </c>
      <c r="AF37">
        <v>24483.7</v>
      </c>
      <c r="AG37">
        <v>386231.3</v>
      </c>
      <c r="AH37">
        <v>-999</v>
      </c>
      <c r="AI37">
        <v>386231.3</v>
      </c>
      <c r="AJ37">
        <v>380173.8</v>
      </c>
      <c r="AK37">
        <v>-999</v>
      </c>
      <c r="AL37">
        <v>380173.8</v>
      </c>
      <c r="AM37">
        <v>62960.2</v>
      </c>
      <c r="AN37">
        <v>-999</v>
      </c>
      <c r="AO37">
        <v>62960.2</v>
      </c>
      <c r="AP37">
        <v>993198.4</v>
      </c>
      <c r="AQ37">
        <v>-999</v>
      </c>
      <c r="AR37">
        <v>993198.4</v>
      </c>
      <c r="AS37">
        <v>1994888.1</v>
      </c>
      <c r="AT37" s="22">
        <f t="shared" si="36"/>
        <v>246107.951594685</v>
      </c>
      <c r="AU37">
        <f t="shared" si="36"/>
        <v>-999</v>
      </c>
      <c r="AV37">
        <f t="shared" si="36"/>
        <v>246107.951594685</v>
      </c>
      <c r="AW37">
        <f t="shared" si="36"/>
        <v>40757.635280557501</v>
      </c>
      <c r="AX37">
        <f t="shared" si="36"/>
        <v>-999</v>
      </c>
      <c r="AY37">
        <f t="shared" si="36"/>
        <v>40757.635280557501</v>
      </c>
      <c r="AZ37">
        <f t="shared" si="36"/>
        <v>642953.24886906752</v>
      </c>
      <c r="BA37">
        <f t="shared" si="36"/>
        <v>-999</v>
      </c>
      <c r="BB37">
        <f t="shared" si="36"/>
        <v>642953.24886906752</v>
      </c>
      <c r="BC37">
        <f t="shared" si="36"/>
        <v>632869.422661755</v>
      </c>
      <c r="BD37">
        <f t="shared" si="36"/>
        <v>-999</v>
      </c>
      <c r="BE37">
        <f t="shared" si="36"/>
        <v>632869.422661755</v>
      </c>
      <c r="BF37">
        <f t="shared" si="36"/>
        <v>104808.86748289499</v>
      </c>
      <c r="BG37">
        <f t="shared" si="36"/>
        <v>-999</v>
      </c>
      <c r="BH37">
        <f t="shared" si="36"/>
        <v>104808.86748289499</v>
      </c>
      <c r="BI37">
        <f t="shared" si="35"/>
        <v>1653361.9570748401</v>
      </c>
      <c r="BJ37">
        <f t="shared" si="35"/>
        <v>-999</v>
      </c>
      <c r="BK37">
        <f t="shared" si="35"/>
        <v>1653361.9570748401</v>
      </c>
      <c r="BL37">
        <f t="shared" si="35"/>
        <v>3320859.2494322476</v>
      </c>
      <c r="BM37" s="22">
        <f>-17.17-(0.1023*E37)+F37*(100-8.576-13.681)</f>
        <v>21.071445480594377</v>
      </c>
      <c r="BN37">
        <f>IF(AT37&lt;&gt;-999,AT37*$BM37, -999)</f>
        <v>5185850.2843681648</v>
      </c>
      <c r="BO37">
        <f>IF(AU37&lt;&gt;-999,AU37*$BM37, -999)</f>
        <v>-999</v>
      </c>
      <c r="BP37" s="25">
        <f>IF(AV37&lt;&gt;-999,AV37*$BM37, -999)</f>
        <v>5185850.2843681648</v>
      </c>
      <c r="BQ37">
        <f>-19.943-(0.1023*E37)+F37*(100-8.576-13.681)</f>
        <v>18.298445480594381</v>
      </c>
      <c r="BR37">
        <f>IF(AW37&lt;&gt;-999,AW37*$BQ37, -999)</f>
        <v>745801.36709923146</v>
      </c>
      <c r="BS37">
        <f>IF(AX37&lt;&gt;-999,AX37*$BQ37, -999)</f>
        <v>-999</v>
      </c>
      <c r="BT37" s="25">
        <f>IF(AY37&lt;&gt;-999,AY37*$BQ37, -999)</f>
        <v>745801.36709923146</v>
      </c>
      <c r="BU37">
        <f>-25.871-(0.1023*E37)+F37*(100-8.576-13.681)</f>
        <v>12.370445480594384</v>
      </c>
      <c r="BV37">
        <f>IF(AZ37&lt;&gt;-999,AZ37*$BU37, -999)</f>
        <v>7953618.1117058322</v>
      </c>
      <c r="BW37">
        <f>IF(BA37&lt;&gt;-999,BA37*$BU37, -999)</f>
        <v>-999</v>
      </c>
      <c r="BX37" s="25">
        <f>IF(BB37&lt;&gt;-999,BB37*$BU37, -999)</f>
        <v>7953618.1117058322</v>
      </c>
      <c r="BY37">
        <f>-25.245-(0.1023*E37)+F37*(100-8.576-13.681)</f>
        <v>12.996445480594382</v>
      </c>
      <c r="BZ37">
        <f>IF(BC37&lt;&gt;-999,BC37*$BY37, -999)</f>
        <v>8225052.9479587413</v>
      </c>
      <c r="CA37">
        <f>IF(BD37&lt;&gt;-999,BD37*$BY37, -999)</f>
        <v>-999</v>
      </c>
      <c r="CB37" s="25">
        <f>IF(BE37&lt;&gt;-999,BE37*$BY37, -999)</f>
        <v>8225052.9479587413</v>
      </c>
      <c r="CC37">
        <f>-29.317-(0.1023*E37)+F37*(100-8.576-13.681)</f>
        <v>8.924445480594386</v>
      </c>
      <c r="CD37">
        <f>IF(BF37&lt;&gt;-999,BF37*$CC37, -999)</f>
        <v>935361.02373393811</v>
      </c>
      <c r="CE37">
        <f>IF(BG37&lt;&gt;-999,BG37*$CC37, -999)</f>
        <v>-999</v>
      </c>
      <c r="CF37" s="25">
        <f>IF(BH37&lt;&gt;-999,BH37*$CC37, -999)</f>
        <v>935361.02373393811</v>
      </c>
      <c r="CG37">
        <f>-38.03-(0.1023*E37)+F37*(100-8.576-13.681)</f>
        <v>0.21144548059437795</v>
      </c>
      <c r="CH37">
        <f>IF(BI37&lt;&gt;-999,BI37*$CG37, -999)</f>
        <v>349595.91361015086</v>
      </c>
      <c r="CI37">
        <f>IF(BJ37&lt;&gt;-999,BJ37*$CG37, -999)</f>
        <v>-999</v>
      </c>
      <c r="CJ37" s="25">
        <f>IF(BK37&lt;&gt;-999,BK37*$CG37, -999)</f>
        <v>349595.91361015086</v>
      </c>
      <c r="CK37" s="26">
        <f t="shared" si="8"/>
        <v>23395279.648476053</v>
      </c>
      <c r="CL37">
        <f t="shared" si="9"/>
        <v>-22.776320125150448</v>
      </c>
      <c r="CM37">
        <f t="shared" si="10"/>
        <v>36.538878185797856</v>
      </c>
      <c r="CN37">
        <f t="shared" si="11"/>
        <v>-81.066929797654595</v>
      </c>
      <c r="CO37" s="22">
        <f t="shared" si="12"/>
        <v>-40.08</v>
      </c>
      <c r="CP37">
        <f>IF(AT37&lt;&gt;-999,AT37*$CO37, -999)</f>
        <v>-9864006.6999149751</v>
      </c>
      <c r="CQ37">
        <f>IF(AU37&lt;&gt;-999,AU37*$CO37, -999)</f>
        <v>-999</v>
      </c>
      <c r="CR37" s="27">
        <f>IF(AV37&lt;&gt;-999,AV37*$CO37, -999)</f>
        <v>-9864006.6999149751</v>
      </c>
      <c r="CS37">
        <f t="shared" si="13"/>
        <v>-42.853000000000002</v>
      </c>
      <c r="CT37">
        <f>IF(AW37&lt;&gt;-999,AW37*$CS37, -999)</f>
        <v>-1746586.9446777306</v>
      </c>
      <c r="CU37">
        <f>IF(AX37&lt;&gt;-999,AX37*$CS37, -999)</f>
        <v>-999</v>
      </c>
      <c r="CV37" s="27">
        <f>IF(AY37&lt;&gt;-999,AY37*$CS37, -999)</f>
        <v>-1746586.9446777306</v>
      </c>
      <c r="CW37">
        <f t="shared" si="14"/>
        <v>-48.780999999999999</v>
      </c>
      <c r="CX37">
        <f>IF(AZ37&lt;&gt;-999,AZ37*$CO37, -999)</f>
        <v>-25769566.214672226</v>
      </c>
      <c r="CY37">
        <f>IF(BA37&lt;&gt;-999,BA37*$CO37, -999)</f>
        <v>-999</v>
      </c>
      <c r="CZ37" s="27">
        <f>IF(BB37&lt;&gt;-999,BB37*$CO37, -999)</f>
        <v>-25769566.214672226</v>
      </c>
      <c r="DA37">
        <f t="shared" si="15"/>
        <v>-48.155000000000001</v>
      </c>
      <c r="DB37">
        <f>IF(BC37&lt;&gt;-999,BC37*$DA37, -999)</f>
        <v>-30475827.048276812</v>
      </c>
      <c r="DC37">
        <f>IF(BD37&lt;&gt;-999,BD37*$DA37, -999)</f>
        <v>-999</v>
      </c>
      <c r="DD37" s="27">
        <f>IF(BE37&lt;&gt;-999,BE37*$DA37, -999)</f>
        <v>-30475827.048276812</v>
      </c>
      <c r="DE37">
        <f t="shared" si="16"/>
        <v>-52.227000000000004</v>
      </c>
      <c r="DF37">
        <f>IF(BF37&lt;&gt;-999,BF37*$DE37, -999)</f>
        <v>-5473852.722029157</v>
      </c>
      <c r="DG37">
        <f>IF(BG37&lt;&gt;-999,BG37*$DE37, -999)</f>
        <v>-999</v>
      </c>
      <c r="DH37" s="27">
        <f>IF(BH37&lt;&gt;-999,BH37*$DE37, -999)</f>
        <v>-5473852.722029157</v>
      </c>
      <c r="DI37">
        <f t="shared" si="17"/>
        <v>-60.94</v>
      </c>
      <c r="DJ37">
        <f>IF(BI37&lt;&gt;-999,BI37*$DI37, -999)</f>
        <v>-100755877.66414075</v>
      </c>
      <c r="DK37">
        <f>IF(BJ37&lt;&gt;-999,BJ37*$DI37, -999)</f>
        <v>-999</v>
      </c>
      <c r="DL37" s="27">
        <f>IF(BK37&lt;&gt;-999,BK37*$DI37, -999)</f>
        <v>-100755877.66414075</v>
      </c>
      <c r="DM37" s="28">
        <f t="shared" si="18"/>
        <v>-174085717.29371166</v>
      </c>
      <c r="DN37" s="22">
        <f t="shared" si="19"/>
        <v>-17.170000000000002</v>
      </c>
      <c r="DO37">
        <f>IF(AT37&lt;&gt;-999,AT37*$DN37, -999)</f>
        <v>-4225673.5288807414</v>
      </c>
      <c r="DP37">
        <f>IF(AU37&lt;&gt;-999,AU37*$DN37, -999)</f>
        <v>-999</v>
      </c>
      <c r="DQ37" s="24">
        <f>IF(AV37&lt;&gt;-999,AV37*$DN37, -999)</f>
        <v>-4225673.5288807414</v>
      </c>
      <c r="DR37">
        <f t="shared" si="20"/>
        <v>-19.943000000000001</v>
      </c>
      <c r="DS37">
        <f>IF(AW37&lt;&gt;-999,AW37*$DR37, -999)</f>
        <v>-812829.52040015825</v>
      </c>
      <c r="DT37">
        <f>IF(AX37&lt;&gt;-999,AX37*$DR37, -999)</f>
        <v>-999</v>
      </c>
      <c r="DU37" s="24">
        <f>IF(AY37&lt;&gt;-999,AY37*$DR37, -999)</f>
        <v>-812829.52040015825</v>
      </c>
      <c r="DV37">
        <f t="shared" si="21"/>
        <v>-25.870999999999999</v>
      </c>
      <c r="DW37">
        <f>IF(AZ37&lt;&gt;-999,AZ37*$DV37, -999)</f>
        <v>-16633843.501491645</v>
      </c>
      <c r="DX37">
        <f>IF(BA37&lt;&gt;-999,BA37*$DV37, -999)</f>
        <v>-999</v>
      </c>
      <c r="DY37" s="24">
        <f>IF(BB37&lt;&gt;-999,BB37*$DV37, -999)</f>
        <v>-16633843.501491645</v>
      </c>
      <c r="DZ37">
        <f t="shared" si="22"/>
        <v>-25.245000000000001</v>
      </c>
      <c r="EA37">
        <f>IF(BC37&lt;&gt;-999, BC37*$DZ37, -999)</f>
        <v>-15976788.575096006</v>
      </c>
      <c r="EB37">
        <f>IF(BD37&lt;&gt;-999, BD37*$DZ37, -999)</f>
        <v>-999</v>
      </c>
      <c r="EC37" s="24">
        <f>IF(BE37&lt;&gt;-999, BE37*$DZ37, -999)</f>
        <v>-15976788.575096006</v>
      </c>
      <c r="ED37">
        <f t="shared" si="23"/>
        <v>-29.317</v>
      </c>
      <c r="EE37">
        <f>IF(BF37&lt;&gt;-999,BF37*$ED37, -999)</f>
        <v>-3072681.5679960325</v>
      </c>
      <c r="EF37">
        <f>IF(BG37&lt;&gt;-999,BG37*$ED37, -999)</f>
        <v>-999</v>
      </c>
      <c r="EG37" s="24">
        <f>IF(BH37&lt;&gt;-999,BH37*$ED37, -999)</f>
        <v>-3072681.5679960325</v>
      </c>
      <c r="EH37">
        <f t="shared" si="24"/>
        <v>-38.03</v>
      </c>
      <c r="EI37">
        <f>IF(BI37&lt;&gt;-999,BI37*$EH37, -999)</f>
        <v>-62877355.227556169</v>
      </c>
      <c r="EJ37">
        <f>IF(BJ37&lt;&gt;-999,BJ37*$EH37, -999)</f>
        <v>-999</v>
      </c>
      <c r="EK37" s="24">
        <f>IF(BK37&lt;&gt;-999,BK37*$EH37, -999)</f>
        <v>-62877355.227556169</v>
      </c>
      <c r="EL37" s="28">
        <f t="shared" si="25"/>
        <v>-103599171.92142075</v>
      </c>
      <c r="EM37" s="22">
        <f>-17.17-(0.1023*G37)+H37*(100+102.093-66.644-64.243)</f>
        <v>32.476052711643973</v>
      </c>
      <c r="EN37">
        <f>IF(AT37&lt;&gt;-999,AT37*$EM37, -999)</f>
        <v>7992614.8087437134</v>
      </c>
      <c r="EO37">
        <f>IF(AU37&lt;&gt;-999,AU37*$EM37, -999)</f>
        <v>-999</v>
      </c>
      <c r="EP37" s="23">
        <f>IF(AV37&lt;&gt;-999,AV37*$EM37, -999)</f>
        <v>7992614.8087437134</v>
      </c>
      <c r="EQ37">
        <f>-19.943-(0.1023*G37)+H37*(100+102.093-66.644-64.243)</f>
        <v>29.703052711643977</v>
      </c>
      <c r="ER37">
        <f>IF(AW37&lt;&gt;-999,AW37*$EQ37, -999)</f>
        <v>1210626.1891403596</v>
      </c>
      <c r="ES37">
        <f>IF(AX37&lt;&gt;-999,AX37*$EQ37, -999)</f>
        <v>-999</v>
      </c>
      <c r="ET37" s="23">
        <f>IF(AY37&lt;&gt;-999,AY37*$EQ37, -999)</f>
        <v>1210626.1891403596</v>
      </c>
      <c r="EU37">
        <f>-25.871-(0.1023*G37)+H37*(100+102.093-66.644-64.243)</f>
        <v>23.77505271164398</v>
      </c>
      <c r="EV37">
        <f>IF(AZ37&lt;&gt;-999,AZ37*$EU37, -999)</f>
        <v>15286247.38298483</v>
      </c>
      <c r="EW37">
        <f>IF(BA37&lt;&gt;-999,BA37*$EU37, -999)</f>
        <v>-999</v>
      </c>
      <c r="EX37" s="23">
        <f>IF(BB37&lt;&gt;-999,BB37*$EU37, -999)</f>
        <v>15286247.38298483</v>
      </c>
      <c r="EY37">
        <f>-25.245-(0.1023*G37)+H37*(100+102.093-66.644-64.243)</f>
        <v>24.401052711643977</v>
      </c>
      <c r="EZ37">
        <f>IF(BC37&lt;&gt;-999, BC37*$EY37, -999)</f>
        <v>15442680.141957175</v>
      </c>
      <c r="FA37">
        <f>IF(BD37&lt;&gt;-999, BD37*$EY37, -999)</f>
        <v>-999</v>
      </c>
      <c r="FB37" s="23">
        <f>IF(BE37&lt;&gt;-999, BE37*$EY37, -999)</f>
        <v>15442680.141957175</v>
      </c>
      <c r="FC37">
        <f>-29.317-(0.1023*G37)+H37*(100+102.093-66.644-64.243)</f>
        <v>20.329052711643975</v>
      </c>
      <c r="FD37">
        <f>IF(BF37&lt;&gt;-999,BF37*$FC37, -999)</f>
        <v>2130664.9917074805</v>
      </c>
      <c r="FE37">
        <f>IF(BG37&lt;&gt;-999,BG37*$FC37, -999)</f>
        <v>-999</v>
      </c>
      <c r="FF37" s="23">
        <f>IF(BH37&lt;&gt;-999,BH37*$FC37, -999)</f>
        <v>2130664.9917074805</v>
      </c>
      <c r="FG37">
        <f>-38.03-(0.1023*G37)+H37*(100+102.093-66.644-64.243)</f>
        <v>11.616052711643974</v>
      </c>
      <c r="FH37">
        <f>IF(BI37&lt;&gt;-999,BI37*$FG37, -999)</f>
        <v>19205539.644808184</v>
      </c>
      <c r="FI37">
        <f>IF(BJ37&lt;&gt;-999,BJ37*$FG37, -999)</f>
        <v>-999</v>
      </c>
      <c r="FJ37" s="23">
        <f>IF(BK37&lt;&gt;-999,BK37*$FG37, -999)</f>
        <v>19205539.644808184</v>
      </c>
      <c r="FK37" s="28">
        <f t="shared" si="26"/>
        <v>61268373.159341738</v>
      </c>
      <c r="FL37" s="22">
        <f t="shared" si="28"/>
        <v>10.012280000000011</v>
      </c>
      <c r="FM37">
        <f>IF(AT37&lt;&gt;-999,AT37*$FL37, -999)</f>
        <v>2464101.7215924356</v>
      </c>
      <c r="FN37">
        <f>IF(AU37&lt;&gt;-999,AU37*$FL37, -999)</f>
        <v>-999</v>
      </c>
      <c r="FO37" s="29">
        <f>IF(AV37&lt;&gt;-999,AV37*$FL37, -999)</f>
        <v>2464101.7215924356</v>
      </c>
      <c r="FP37">
        <f t="shared" si="29"/>
        <v>7.2392800000000115</v>
      </c>
      <c r="FQ37">
        <f>IF(AW37&lt;&gt;-999,AW37*$FP37, -999)</f>
        <v>295055.93393383478</v>
      </c>
      <c r="FR37">
        <f>IF(AX37&lt;&gt;-999,AX37*$FP37, -999)</f>
        <v>-999</v>
      </c>
      <c r="FS37" s="29">
        <f>IF(AY37&lt;&gt;-999,AY37*$FP37, -999)</f>
        <v>295055.93393383478</v>
      </c>
      <c r="FT37">
        <f t="shared" si="30"/>
        <v>1.3112800000000142</v>
      </c>
      <c r="FU37">
        <f>IF(AZ37&lt;&gt;-999,AZ37*$FT37, -999)</f>
        <v>843091.73617704003</v>
      </c>
      <c r="FV37">
        <f>IF(BA37&lt;&gt;-999,BA37*$FT37, -999)</f>
        <v>-999</v>
      </c>
      <c r="FW37" s="29">
        <f>IF(BB37&lt;&gt;-999,BB37*$FT37, -999)</f>
        <v>843091.73617704003</v>
      </c>
      <c r="FX37">
        <f t="shared" si="31"/>
        <v>1.9372800000000119</v>
      </c>
      <c r="FY37">
        <f>IF(BC37&lt;&gt;-999, BC37*$FX37, -999)</f>
        <v>1226045.2751341723</v>
      </c>
      <c r="FZ37">
        <f>IF(BD37&lt;&gt;-999, BD37*$FX37, -999)</f>
        <v>-999</v>
      </c>
      <c r="GA37" s="29">
        <f>IF(BE37&lt;&gt;-999, BE37*$FX37, -999)</f>
        <v>1226045.2751341723</v>
      </c>
      <c r="GB37">
        <f t="shared" si="32"/>
        <v>-2.1347199999999873</v>
      </c>
      <c r="GC37">
        <f>IF(BF37&lt;&gt;-999,BF37*$GB37, -999)</f>
        <v>-223737.58559308425</v>
      </c>
      <c r="GD37">
        <f>IF(BG37&lt;&gt;-999,BG37*$GB37, -999)</f>
        <v>-999</v>
      </c>
      <c r="GE37" s="29">
        <f>IF(BH37&lt;&gt;-999,BH37*$GB37, -999)</f>
        <v>-223737.58559308425</v>
      </c>
      <c r="GF37">
        <f t="shared" si="33"/>
        <v>-10.847719999999988</v>
      </c>
      <c r="GG37">
        <f>IF(BI37&lt;&gt;-999,BI37*$GF37, -999)</f>
        <v>-17935207.568999864</v>
      </c>
      <c r="GH37">
        <f>IF(BJ37&lt;&gt;-999,BJ37*$GF37, -999)</f>
        <v>-999</v>
      </c>
      <c r="GI37" s="29">
        <f>IF(BK37&lt;&gt;-999,BK37*$GF37, -999)</f>
        <v>-17935207.568999864</v>
      </c>
      <c r="GJ37" s="30">
        <f t="shared" si="27"/>
        <v>-13330650.487755466</v>
      </c>
    </row>
    <row r="38" spans="1:192">
      <c r="A38" s="48" t="s">
        <v>153</v>
      </c>
      <c r="B38" s="48" t="s">
        <v>176</v>
      </c>
      <c r="C38" s="49">
        <v>152</v>
      </c>
      <c r="D38" s="50">
        <v>0.93300000000000005</v>
      </c>
      <c r="E38" s="49">
        <v>165.91240826562799</v>
      </c>
      <c r="F38" s="49">
        <v>0.77534697943316599</v>
      </c>
      <c r="G38" s="49">
        <v>246.33722457022199</v>
      </c>
      <c r="H38" s="49">
        <v>0.80599497502033202</v>
      </c>
      <c r="I38" s="42">
        <v>31530.7</v>
      </c>
      <c r="J38" s="43">
        <v>-999</v>
      </c>
      <c r="K38" s="43">
        <f t="shared" si="0"/>
        <v>31530.7</v>
      </c>
      <c r="L38" s="43">
        <v>29122.9</v>
      </c>
      <c r="M38" s="43">
        <v>-999</v>
      </c>
      <c r="N38" s="43">
        <f t="shared" si="1"/>
        <v>29122.9</v>
      </c>
      <c r="O38" s="43">
        <v>69951.3</v>
      </c>
      <c r="P38" s="43">
        <v>-999</v>
      </c>
      <c r="Q38" s="43">
        <f t="shared" si="2"/>
        <v>69951.3</v>
      </c>
      <c r="R38" s="43">
        <v>8796.7999999999993</v>
      </c>
      <c r="S38" s="43">
        <v>-999</v>
      </c>
      <c r="T38" s="43">
        <f t="shared" si="3"/>
        <v>8796.7999999999993</v>
      </c>
      <c r="U38" s="43">
        <v>8125</v>
      </c>
      <c r="V38" s="43">
        <v>-999</v>
      </c>
      <c r="W38" s="43">
        <f t="shared" si="4"/>
        <v>8125</v>
      </c>
      <c r="X38" s="43">
        <v>19515.8</v>
      </c>
      <c r="Y38" s="43">
        <v>-999</v>
      </c>
      <c r="Z38" s="43">
        <f t="shared" si="5"/>
        <v>19515.8</v>
      </c>
      <c r="AA38" s="22">
        <v>299411.40000000002</v>
      </c>
      <c r="AB38">
        <v>-999</v>
      </c>
      <c r="AC38">
        <v>299411.40000000002</v>
      </c>
      <c r="AD38">
        <v>276547.7</v>
      </c>
      <c r="AE38">
        <v>-999</v>
      </c>
      <c r="AF38">
        <v>276547.7</v>
      </c>
      <c r="AG38">
        <v>664248.6</v>
      </c>
      <c r="AH38">
        <v>-999</v>
      </c>
      <c r="AI38">
        <v>664248.6</v>
      </c>
      <c r="AJ38">
        <v>83533.100000000006</v>
      </c>
      <c r="AK38">
        <v>-999</v>
      </c>
      <c r="AL38">
        <v>83533.100000000006</v>
      </c>
      <c r="AM38">
        <v>77154.3</v>
      </c>
      <c r="AN38">
        <v>-999</v>
      </c>
      <c r="AO38">
        <v>77154.3</v>
      </c>
      <c r="AP38">
        <v>185319.3</v>
      </c>
      <c r="AQ38">
        <v>-999</v>
      </c>
      <c r="AR38">
        <v>185319.3</v>
      </c>
      <c r="AS38">
        <v>1586214.25</v>
      </c>
      <c r="AT38" s="22">
        <f t="shared" si="36"/>
        <v>498425.50921801501</v>
      </c>
      <c r="AU38">
        <f t="shared" si="36"/>
        <v>-999</v>
      </c>
      <c r="AV38">
        <f t="shared" si="36"/>
        <v>498425.50921801501</v>
      </c>
      <c r="AW38">
        <f t="shared" si="36"/>
        <v>460364.66278695752</v>
      </c>
      <c r="AX38">
        <f t="shared" si="36"/>
        <v>-999</v>
      </c>
      <c r="AY38">
        <f t="shared" si="36"/>
        <v>460364.66278695752</v>
      </c>
      <c r="AZ38">
        <f t="shared" si="36"/>
        <v>1105764.3319604849</v>
      </c>
      <c r="BA38">
        <f t="shared" si="36"/>
        <v>-999</v>
      </c>
      <c r="BB38">
        <f t="shared" si="36"/>
        <v>1105764.3319604849</v>
      </c>
      <c r="BC38">
        <f t="shared" si="36"/>
        <v>139056.25471862251</v>
      </c>
      <c r="BD38">
        <f t="shared" si="36"/>
        <v>-999</v>
      </c>
      <c r="BE38">
        <f t="shared" si="36"/>
        <v>139056.25471862251</v>
      </c>
      <c r="BF38">
        <f t="shared" si="36"/>
        <v>128437.56538949251</v>
      </c>
      <c r="BG38">
        <f t="shared" si="36"/>
        <v>-999</v>
      </c>
      <c r="BH38">
        <f t="shared" si="36"/>
        <v>128437.56538949251</v>
      </c>
      <c r="BI38">
        <f t="shared" si="35"/>
        <v>308498.16162786743</v>
      </c>
      <c r="BJ38">
        <f t="shared" si="35"/>
        <v>-999</v>
      </c>
      <c r="BK38">
        <f t="shared" si="35"/>
        <v>308498.16162786743</v>
      </c>
      <c r="BL38">
        <f t="shared" si="35"/>
        <v>2640546.2359987688</v>
      </c>
      <c r="BM38" s="22">
        <f>-17.17-(0.1023*E38)+F38*(100-8.576-13.681)</f>
        <v>26.134960856498878</v>
      </c>
      <c r="BN38">
        <f>IF(AT38&lt;&gt;-999,AT38*$BM38, -999)</f>
        <v>13026331.173293343</v>
      </c>
      <c r="BO38">
        <f>IF(AU38&lt;&gt;-999,AU38*$BM38, -999)</f>
        <v>-999</v>
      </c>
      <c r="BP38" s="25">
        <f>IF(AV38&lt;&gt;-999,AV38*$BM38, -999)</f>
        <v>13026331.173293343</v>
      </c>
      <c r="BQ38">
        <f>-19.943-(0.1023*E38)+F38*(100-8.576-13.681)</f>
        <v>23.361960856498882</v>
      </c>
      <c r="BR38">
        <f>IF(AW38&lt;&gt;-999,AW38*$BQ38, -999)</f>
        <v>10755021.231744209</v>
      </c>
      <c r="BS38">
        <f>IF(AX38&lt;&gt;-999,AX38*$BQ38, -999)</f>
        <v>-999</v>
      </c>
      <c r="BT38" s="25">
        <f>IF(AY38&lt;&gt;-999,AY38*$BQ38, -999)</f>
        <v>10755021.231744209</v>
      </c>
      <c r="BU38">
        <f>-25.871-(0.1023*E38)+F38*(100-8.576-13.681)</f>
        <v>17.433960856498885</v>
      </c>
      <c r="BV38">
        <f>IF(AZ38&lt;&gt;-999,AZ38*$BU38, -999)</f>
        <v>19277852.079911731</v>
      </c>
      <c r="BW38">
        <f>IF(BA38&lt;&gt;-999,BA38*$BU38, -999)</f>
        <v>-999</v>
      </c>
      <c r="BX38" s="25">
        <f>IF(BB38&lt;&gt;-999,BB38*$BU38, -999)</f>
        <v>19277852.079911731</v>
      </c>
      <c r="BY38">
        <f>-25.245-(0.1023*E38)+F38*(100-8.576-13.681)</f>
        <v>18.059960856498883</v>
      </c>
      <c r="BZ38">
        <f>IF(BC38&lt;&gt;-999,BC38*$BY38, -999)</f>
        <v>2511350.5170696606</v>
      </c>
      <c r="CA38">
        <f>IF(BD38&lt;&gt;-999,BD38*$BY38, -999)</f>
        <v>-999</v>
      </c>
      <c r="CB38" s="25">
        <f>IF(BE38&lt;&gt;-999,BE38*$BY38, -999)</f>
        <v>2511350.5170696606</v>
      </c>
      <c r="CC38">
        <f>-29.317-(0.1023*E38)+F38*(100-8.576-13.681)</f>
        <v>13.987960856498887</v>
      </c>
      <c r="CD38">
        <f>IF(BF38&lt;&gt;-999,BF38*$CC38, -999)</f>
        <v>1796579.6371722375</v>
      </c>
      <c r="CE38">
        <f>IF(BG38&lt;&gt;-999,BG38*$CC38, -999)</f>
        <v>-999</v>
      </c>
      <c r="CF38" s="25">
        <f>IF(BH38&lt;&gt;-999,BH38*$CC38, -999)</f>
        <v>1796579.6371722375</v>
      </c>
      <c r="CG38">
        <f>-38.03-(0.1023*E38)+F38*(100-8.576-13.681)</f>
        <v>5.274960856498879</v>
      </c>
      <c r="CH38">
        <f>IF(BI38&lt;&gt;-999,BI38*$CG38, -999)</f>
        <v>1627315.7268888652</v>
      </c>
      <c r="CI38">
        <f>IF(BJ38&lt;&gt;-999,BJ38*$CG38, -999)</f>
        <v>-999</v>
      </c>
      <c r="CJ38" s="25">
        <f>IF(BK38&lt;&gt;-999,BK38*$CG38, -999)</f>
        <v>1627315.7268888652</v>
      </c>
      <c r="CK38" s="26">
        <f t="shared" si="8"/>
        <v>48994450.366080046</v>
      </c>
      <c r="CL38">
        <f t="shared" si="9"/>
        <v>-27.852385430030253</v>
      </c>
      <c r="CM38">
        <f t="shared" si="10"/>
        <v>30.760082542984279</v>
      </c>
      <c r="CN38">
        <f t="shared" si="11"/>
        <v>-85.452403466664194</v>
      </c>
      <c r="CO38" s="22">
        <f t="shared" si="12"/>
        <v>-40.08</v>
      </c>
      <c r="CP38">
        <f>IF(AT38&lt;&gt;-999,AT38*$CO38, -999)</f>
        <v>-19976894.409458041</v>
      </c>
      <c r="CQ38">
        <f>IF(AU38&lt;&gt;-999,AU38*$CO38, -999)</f>
        <v>-999</v>
      </c>
      <c r="CR38" s="27">
        <f>IF(AV38&lt;&gt;-999,AV38*$CO38, -999)</f>
        <v>-19976894.409458041</v>
      </c>
      <c r="CS38">
        <f t="shared" si="13"/>
        <v>-42.853000000000002</v>
      </c>
      <c r="CT38">
        <f>IF(AW38&lt;&gt;-999,AW38*$CS38, -999)</f>
        <v>-19728006.894409493</v>
      </c>
      <c r="CU38">
        <f>IF(AX38&lt;&gt;-999,AX38*$CS38, -999)</f>
        <v>-999</v>
      </c>
      <c r="CV38" s="27">
        <f>IF(AY38&lt;&gt;-999,AY38*$CS38, -999)</f>
        <v>-19728006.894409493</v>
      </c>
      <c r="CW38">
        <f t="shared" si="14"/>
        <v>-48.780999999999999</v>
      </c>
      <c r="CX38">
        <f>IF(AZ38&lt;&gt;-999,AZ38*$CO38, -999)</f>
        <v>-44319034.42497623</v>
      </c>
      <c r="CY38">
        <f>IF(BA38&lt;&gt;-999,BA38*$CO38, -999)</f>
        <v>-999</v>
      </c>
      <c r="CZ38" s="27">
        <f>IF(BB38&lt;&gt;-999,BB38*$CO38, -999)</f>
        <v>-44319034.42497623</v>
      </c>
      <c r="DA38">
        <f t="shared" si="15"/>
        <v>-48.155000000000001</v>
      </c>
      <c r="DB38">
        <f>IF(BC38&lt;&gt;-999,BC38*$DA38, -999)</f>
        <v>-6696253.9459752673</v>
      </c>
      <c r="DC38">
        <f>IF(BD38&lt;&gt;-999,BD38*$DA38, -999)</f>
        <v>-999</v>
      </c>
      <c r="DD38" s="27">
        <f>IF(BE38&lt;&gt;-999,BE38*$DA38, -999)</f>
        <v>-6696253.9459752673</v>
      </c>
      <c r="DE38">
        <f t="shared" si="16"/>
        <v>-52.227000000000004</v>
      </c>
      <c r="DF38">
        <f>IF(BF38&lt;&gt;-999,BF38*$DE38, -999)</f>
        <v>-6707908.7275970252</v>
      </c>
      <c r="DG38">
        <f>IF(BG38&lt;&gt;-999,BG38*$DE38, -999)</f>
        <v>-999</v>
      </c>
      <c r="DH38" s="27">
        <f>IF(BH38&lt;&gt;-999,BH38*$DE38, -999)</f>
        <v>-6707908.7275970252</v>
      </c>
      <c r="DI38">
        <f t="shared" si="17"/>
        <v>-60.94</v>
      </c>
      <c r="DJ38">
        <f>IF(BI38&lt;&gt;-999,BI38*$DI38, -999)</f>
        <v>-18799877.969602242</v>
      </c>
      <c r="DK38">
        <f>IF(BJ38&lt;&gt;-999,BJ38*$DI38, -999)</f>
        <v>-999</v>
      </c>
      <c r="DL38" s="27">
        <f>IF(BK38&lt;&gt;-999,BK38*$DI38, -999)</f>
        <v>-18799877.969602242</v>
      </c>
      <c r="DM38" s="28">
        <f t="shared" si="18"/>
        <v>-116227976.37201831</v>
      </c>
      <c r="DN38" s="22">
        <f t="shared" si="19"/>
        <v>-17.170000000000002</v>
      </c>
      <c r="DO38">
        <f>IF(AT38&lt;&gt;-999,AT38*$DN38, -999)</f>
        <v>-8557965.9932733178</v>
      </c>
      <c r="DP38">
        <f>IF(AU38&lt;&gt;-999,AU38*$DN38, -999)</f>
        <v>-999</v>
      </c>
      <c r="DQ38" s="24">
        <f>IF(AV38&lt;&gt;-999,AV38*$DN38, -999)</f>
        <v>-8557965.9932733178</v>
      </c>
      <c r="DR38">
        <f t="shared" si="20"/>
        <v>-19.943000000000001</v>
      </c>
      <c r="DS38">
        <f>IF(AW38&lt;&gt;-999,AW38*$DR38, -999)</f>
        <v>-9181052.4699602947</v>
      </c>
      <c r="DT38">
        <f>IF(AX38&lt;&gt;-999,AX38*$DR38, -999)</f>
        <v>-999</v>
      </c>
      <c r="DU38" s="24">
        <f>IF(AY38&lt;&gt;-999,AY38*$DR38, -999)</f>
        <v>-9181052.4699602947</v>
      </c>
      <c r="DV38">
        <f t="shared" si="21"/>
        <v>-25.870999999999999</v>
      </c>
      <c r="DW38">
        <f>IF(AZ38&lt;&gt;-999,AZ38*$DV38, -999)</f>
        <v>-28607229.032149702</v>
      </c>
      <c r="DX38">
        <f>IF(BA38&lt;&gt;-999,BA38*$DV38, -999)</f>
        <v>-999</v>
      </c>
      <c r="DY38" s="24">
        <f>IF(BB38&lt;&gt;-999,BB38*$DV38, -999)</f>
        <v>-28607229.032149702</v>
      </c>
      <c r="DZ38">
        <f t="shared" si="22"/>
        <v>-25.245000000000001</v>
      </c>
      <c r="EA38">
        <f>IF(BC38&lt;&gt;-999, BC38*$DZ38, -999)</f>
        <v>-3510475.1503716256</v>
      </c>
      <c r="EB38">
        <f>IF(BD38&lt;&gt;-999, BD38*$DZ38, -999)</f>
        <v>-999</v>
      </c>
      <c r="EC38" s="24">
        <f>IF(BE38&lt;&gt;-999, BE38*$DZ38, -999)</f>
        <v>-3510475.1503716256</v>
      </c>
      <c r="ED38">
        <f t="shared" si="23"/>
        <v>-29.317</v>
      </c>
      <c r="EE38">
        <f>IF(BF38&lt;&gt;-999,BF38*$ED38, -999)</f>
        <v>-3765404.1045237519</v>
      </c>
      <c r="EF38">
        <f>IF(BG38&lt;&gt;-999,BG38*$ED38, -999)</f>
        <v>-999</v>
      </c>
      <c r="EG38" s="24">
        <f>IF(BH38&lt;&gt;-999,BH38*$ED38, -999)</f>
        <v>-3765404.1045237519</v>
      </c>
      <c r="EH38">
        <f t="shared" si="24"/>
        <v>-38.03</v>
      </c>
      <c r="EI38">
        <f>IF(BI38&lt;&gt;-999,BI38*$EH38, -999)</f>
        <v>-11732185.086707799</v>
      </c>
      <c r="EJ38">
        <f>IF(BJ38&lt;&gt;-999,BJ38*$EH38, -999)</f>
        <v>-999</v>
      </c>
      <c r="EK38" s="24">
        <f>IF(BK38&lt;&gt;-999,BK38*$EH38, -999)</f>
        <v>-11732185.086707799</v>
      </c>
      <c r="EL38" s="28">
        <f t="shared" si="25"/>
        <v>-65354311.836986497</v>
      </c>
      <c r="EM38" s="22">
        <f>-17.17-(0.1023*G38)+H38*(100+102.093-66.644-64.243)</f>
        <v>15.021380117764068</v>
      </c>
      <c r="EN38">
        <f>IF(AT38&lt;&gt;-999,AT38*$EM38, -999)</f>
        <v>7487039.0343539212</v>
      </c>
      <c r="EO38">
        <f>IF(AU38&lt;&gt;-999,AU38*$EM38, -999)</f>
        <v>-999</v>
      </c>
      <c r="EP38" s="23">
        <f>IF(AV38&lt;&gt;-999,AV38*$EM38, -999)</f>
        <v>7487039.0343539212</v>
      </c>
      <c r="EQ38">
        <f>-19.943-(0.1023*G38)+H38*(100+102.093-66.644-64.243)</f>
        <v>12.248380117764064</v>
      </c>
      <c r="ER38">
        <f>IF(AW38&lt;&gt;-999,AW38*$EQ38, -999)</f>
        <v>5638721.3826009287</v>
      </c>
      <c r="ES38">
        <f>IF(AX38&lt;&gt;-999,AX38*$EQ38, -999)</f>
        <v>-999</v>
      </c>
      <c r="ET38" s="23">
        <f>IF(AY38&lt;&gt;-999,AY38*$EQ38, -999)</f>
        <v>5638721.3826009287</v>
      </c>
      <c r="EU38">
        <f>-25.871-(0.1023*G38)+H38*(100+102.093-66.644-64.243)</f>
        <v>6.3203801177640671</v>
      </c>
      <c r="EV38">
        <f>IF(AZ38&lt;&gt;-999,AZ38*$EU38, -999)</f>
        <v>6988850.8986557145</v>
      </c>
      <c r="EW38">
        <f>IF(BA38&lt;&gt;-999,BA38*$EU38, -999)</f>
        <v>-999</v>
      </c>
      <c r="EX38" s="23">
        <f>IF(BB38&lt;&gt;-999,BB38*$EU38, -999)</f>
        <v>6988850.8986557145</v>
      </c>
      <c r="EY38">
        <f>-25.245-(0.1023*G38)+H38*(100+102.093-66.644-64.243)</f>
        <v>6.9463801177640718</v>
      </c>
      <c r="EZ38">
        <f>IF(BC38&lt;&gt;-999, BC38*$EY38, -999)</f>
        <v>965937.60302817577</v>
      </c>
      <c r="FA38">
        <f>IF(BD38&lt;&gt;-999, BD38*$EY38, -999)</f>
        <v>-999</v>
      </c>
      <c r="FB38" s="23">
        <f>IF(BE38&lt;&gt;-999, BE38*$EY38, -999)</f>
        <v>965937.60302817577</v>
      </c>
      <c r="FC38">
        <f>-29.317-(0.1023*G38)+H38*(100+102.093-66.644-64.243)</f>
        <v>2.8743801177640691</v>
      </c>
      <c r="FD38">
        <f>IF(BF38&lt;&gt;-999,BF38*$FC38, -999)</f>
        <v>369178.38432957977</v>
      </c>
      <c r="FE38">
        <f>IF(BG38&lt;&gt;-999,BG38*$FC38, -999)</f>
        <v>-999</v>
      </c>
      <c r="FF38" s="23">
        <f>IF(BH38&lt;&gt;-999,BH38*$FC38, -999)</f>
        <v>369178.38432957977</v>
      </c>
      <c r="FG38">
        <f>-38.03-(0.1023*G38)+H38*(100+102.093-66.644-64.243)</f>
        <v>-5.8386198822359319</v>
      </c>
      <c r="FH38">
        <f>IF(BI38&lt;&gt;-999,BI38*$FG38, -999)</f>
        <v>-1801203.5001137007</v>
      </c>
      <c r="FI38">
        <f>IF(BJ38&lt;&gt;-999,BJ38*$FG38, -999)</f>
        <v>-999</v>
      </c>
      <c r="FJ38" s="23">
        <f>IF(BK38&lt;&gt;-999,BK38*$FG38, -999)</f>
        <v>-1801203.5001137007</v>
      </c>
      <c r="FK38" s="28">
        <f t="shared" si="26"/>
        <v>19648523.80285462</v>
      </c>
      <c r="FL38" s="22">
        <f t="shared" si="28"/>
        <v>10.012280000000011</v>
      </c>
      <c r="FM38">
        <f>IF(AT38&lt;&gt;-999,AT38*$FL38, -999)</f>
        <v>4990375.757433353</v>
      </c>
      <c r="FN38">
        <f>IF(AU38&lt;&gt;-999,AU38*$FL38, -999)</f>
        <v>-999</v>
      </c>
      <c r="FO38" s="29">
        <f>IF(AV38&lt;&gt;-999,AV38*$FL38, -999)</f>
        <v>4990375.757433353</v>
      </c>
      <c r="FP38">
        <f t="shared" si="29"/>
        <v>7.2392800000000115</v>
      </c>
      <c r="FQ38">
        <f>IF(AW38&lt;&gt;-999,AW38*$FP38, -999)</f>
        <v>3332708.6960203713</v>
      </c>
      <c r="FR38">
        <f>IF(AX38&lt;&gt;-999,AX38*$FP38, -999)</f>
        <v>-999</v>
      </c>
      <c r="FS38" s="29">
        <f>IF(AY38&lt;&gt;-999,AY38*$FP38, -999)</f>
        <v>3332708.6960203713</v>
      </c>
      <c r="FT38">
        <f t="shared" si="30"/>
        <v>1.3112800000000142</v>
      </c>
      <c r="FU38">
        <f>IF(AZ38&lt;&gt;-999,AZ38*$FT38, -999)</f>
        <v>1449966.6532131603</v>
      </c>
      <c r="FV38">
        <f>IF(BA38&lt;&gt;-999,BA38*$FT38, -999)</f>
        <v>-999</v>
      </c>
      <c r="FW38" s="29">
        <f>IF(BB38&lt;&gt;-999,BB38*$FT38, -999)</f>
        <v>1449966.6532131603</v>
      </c>
      <c r="FX38">
        <f t="shared" si="31"/>
        <v>1.9372800000000119</v>
      </c>
      <c r="FY38">
        <f>IF(BC38&lt;&gt;-999, BC38*$FX38, -999)</f>
        <v>269390.90114129469</v>
      </c>
      <c r="FZ38">
        <f>IF(BD38&lt;&gt;-999, BD38*$FX38, -999)</f>
        <v>-999</v>
      </c>
      <c r="GA38" s="29">
        <f>IF(BE38&lt;&gt;-999, BE38*$FX38, -999)</f>
        <v>269390.90114129469</v>
      </c>
      <c r="GB38">
        <f t="shared" si="32"/>
        <v>-2.1347199999999873</v>
      </c>
      <c r="GC38">
        <f>IF(BF38&lt;&gt;-999,BF38*$GB38, -999)</f>
        <v>-274178.23958825582</v>
      </c>
      <c r="GD38">
        <f>IF(BG38&lt;&gt;-999,BG38*$GB38, -999)</f>
        <v>-999</v>
      </c>
      <c r="GE38" s="29">
        <f>IF(BH38&lt;&gt;-999,BH38*$GB38, -999)</f>
        <v>-274178.23958825582</v>
      </c>
      <c r="GF38">
        <f t="shared" si="33"/>
        <v>-10.847719999999988</v>
      </c>
      <c r="GG38">
        <f>IF(BI38&lt;&gt;-999,BI38*$GF38, -999)</f>
        <v>-3346501.6778538465</v>
      </c>
      <c r="GH38">
        <f>IF(BJ38&lt;&gt;-999,BJ38*$GF38, -999)</f>
        <v>-999</v>
      </c>
      <c r="GI38" s="29">
        <f>IF(BK38&lt;&gt;-999,BK38*$GF38, -999)</f>
        <v>-3346501.6778538465</v>
      </c>
      <c r="GJ38" s="30">
        <f t="shared" si="27"/>
        <v>6421762.0903660785</v>
      </c>
    </row>
    <row r="39" spans="1:192">
      <c r="A39" s="48" t="s">
        <v>138</v>
      </c>
      <c r="B39" s="48" t="s">
        <v>177</v>
      </c>
      <c r="C39" s="49">
        <v>151</v>
      </c>
      <c r="D39" s="50">
        <v>0.93200000000000005</v>
      </c>
      <c r="E39" s="49">
        <v>259.25109538433401</v>
      </c>
      <c r="F39" s="49">
        <v>0.77874096362468304</v>
      </c>
      <c r="G39" s="49">
        <v>92.859851872984507</v>
      </c>
      <c r="H39" s="49">
        <v>0.81685129120114297</v>
      </c>
      <c r="I39" s="42">
        <v>13550.9</v>
      </c>
      <c r="J39" s="43">
        <v>16074.3</v>
      </c>
      <c r="K39" s="43">
        <f t="shared" si="0"/>
        <v>29625.199999999997</v>
      </c>
      <c r="L39" s="43">
        <v>6789.5</v>
      </c>
      <c r="M39" s="43">
        <v>8053.8</v>
      </c>
      <c r="N39" s="43">
        <f t="shared" si="1"/>
        <v>14843.3</v>
      </c>
      <c r="O39" s="43">
        <v>10235.200000000001</v>
      </c>
      <c r="P39" s="43">
        <v>12141.1</v>
      </c>
      <c r="Q39" s="43">
        <f t="shared" si="2"/>
        <v>22376.300000000003</v>
      </c>
      <c r="R39" s="43">
        <v>20228.3</v>
      </c>
      <c r="S39" s="43">
        <v>23995.200000000001</v>
      </c>
      <c r="T39" s="43">
        <f t="shared" si="3"/>
        <v>44223.5</v>
      </c>
      <c r="U39" s="43">
        <v>10135.200000000001</v>
      </c>
      <c r="V39" s="43">
        <v>12022.5</v>
      </c>
      <c r="W39" s="43">
        <f t="shared" si="4"/>
        <v>22157.7</v>
      </c>
      <c r="X39" s="43">
        <v>15278.8</v>
      </c>
      <c r="Y39" s="43">
        <v>18123.900000000001</v>
      </c>
      <c r="Z39" s="43">
        <f t="shared" si="5"/>
        <v>33402.699999999997</v>
      </c>
      <c r="AA39" s="22">
        <v>112369.2</v>
      </c>
      <c r="AB39">
        <v>143847.70000000001</v>
      </c>
      <c r="AC39">
        <v>256217</v>
      </c>
      <c r="AD39">
        <v>56301.2</v>
      </c>
      <c r="AE39">
        <v>72073.100000000006</v>
      </c>
      <c r="AF39">
        <v>128374.3</v>
      </c>
      <c r="AG39">
        <v>84874.1</v>
      </c>
      <c r="AH39">
        <v>108650.3</v>
      </c>
      <c r="AI39">
        <v>193524.5</v>
      </c>
      <c r="AJ39">
        <v>167741.4</v>
      </c>
      <c r="AK39">
        <v>214731.6</v>
      </c>
      <c r="AL39">
        <v>382473</v>
      </c>
      <c r="AM39">
        <v>84044.7</v>
      </c>
      <c r="AN39">
        <v>107588.5</v>
      </c>
      <c r="AO39">
        <v>191633.3</v>
      </c>
      <c r="AP39">
        <v>126697.60000000001</v>
      </c>
      <c r="AQ39">
        <v>162189.9</v>
      </c>
      <c r="AR39">
        <v>288887.5</v>
      </c>
      <c r="AS39">
        <v>1441109.48</v>
      </c>
      <c r="AT39" s="22">
        <f t="shared" si="36"/>
        <v>187059.26270816999</v>
      </c>
      <c r="AU39">
        <f t="shared" si="36"/>
        <v>239461.03295445751</v>
      </c>
      <c r="AV39">
        <f t="shared" si="36"/>
        <v>426520.46213107504</v>
      </c>
      <c r="AW39">
        <f t="shared" si="36"/>
        <v>93723.733563869988</v>
      </c>
      <c r="AX39">
        <f t="shared" si="36"/>
        <v>119978.9706351225</v>
      </c>
      <c r="AY39">
        <f t="shared" si="36"/>
        <v>213702.70419899249</v>
      </c>
      <c r="AZ39">
        <f t="shared" si="36"/>
        <v>141288.59659959751</v>
      </c>
      <c r="BA39">
        <f t="shared" si="36"/>
        <v>180868.46761409251</v>
      </c>
      <c r="BB39">
        <f t="shared" si="36"/>
        <v>322157.23068213754</v>
      </c>
      <c r="BC39">
        <f t="shared" si="36"/>
        <v>279236.50439476501</v>
      </c>
      <c r="BD39">
        <f t="shared" si="36"/>
        <v>357460.36081191001</v>
      </c>
      <c r="BE39">
        <f t="shared" si="36"/>
        <v>636696.86520667502</v>
      </c>
      <c r="BF39">
        <f t="shared" si="36"/>
        <v>139907.9072960325</v>
      </c>
      <c r="BG39">
        <f t="shared" si="36"/>
        <v>179100.90563853749</v>
      </c>
      <c r="BH39">
        <f t="shared" si="36"/>
        <v>319008.97940301744</v>
      </c>
      <c r="BI39">
        <f t="shared" si="35"/>
        <v>210911.52773976003</v>
      </c>
      <c r="BJ39">
        <f t="shared" si="35"/>
        <v>269995.00853180251</v>
      </c>
      <c r="BK39">
        <f t="shared" si="35"/>
        <v>480906.53627156251</v>
      </c>
      <c r="BL39">
        <f t="shared" si="35"/>
        <v>2398992.5781313232</v>
      </c>
      <c r="BM39" s="22">
        <f>-17.17-(0.1023*E39)+F39*(100-8.576-13.681)</f>
        <v>16.850271677256366</v>
      </c>
      <c r="BN39">
        <f>IF(AT39&lt;&gt;-999,AT39*$BM39, -999)</f>
        <v>3151999.3963799346</v>
      </c>
      <c r="BO39">
        <f>IF(AU39&lt;&gt;-999,AU39*$BM39, -999)</f>
        <v>4034983.4613990486</v>
      </c>
      <c r="BP39" s="25">
        <f>IF(AV39&lt;&gt;-999,AV39*$BM39, -999)</f>
        <v>7186985.6628175499</v>
      </c>
      <c r="BQ39">
        <f>-19.943-(0.1023*E39)+F39*(100-8.576-13.681)</f>
        <v>14.077271677256363</v>
      </c>
      <c r="BR39">
        <f>IF(AW39&lt;&gt;-999,AW39*$BQ39, -999)</f>
        <v>1319374.4599853884</v>
      </c>
      <c r="BS39">
        <f>IF(AX39&lt;&gt;-999,AX39*$BQ39, -999)</f>
        <v>1688976.5651881828</v>
      </c>
      <c r="BT39" s="25">
        <f>IF(AY39&lt;&gt;-999,AY39*$BQ39, -999)</f>
        <v>3008351.0251735714</v>
      </c>
      <c r="BU39">
        <f>-25.871-(0.1023*E39)+F39*(100-8.576-13.681)</f>
        <v>8.1492716772563654</v>
      </c>
      <c r="BV39">
        <f>IF(AZ39&lt;&gt;-999,AZ39*$BU39, -999)</f>
        <v>1151399.1585884001</v>
      </c>
      <c r="BW39">
        <f>IF(BA39&lt;&gt;-999,BA39*$BU39, -999)</f>
        <v>1473946.2804362844</v>
      </c>
      <c r="BX39" s="25">
        <f>IF(BB39&lt;&gt;-999,BB39*$BU39, -999)</f>
        <v>2625346.7956212889</v>
      </c>
      <c r="BY39">
        <f>-25.245-(0.1023*E39)+F39*(100-8.576-13.681)</f>
        <v>8.7752716772563701</v>
      </c>
      <c r="BZ39">
        <f>IF(BC39&lt;&gt;-999,BC39*$BY39, -999)</f>
        <v>2450376.1882714555</v>
      </c>
      <c r="CA39">
        <f>IF(BD39&lt;&gt;-999,BD39*$BY39, -999)</f>
        <v>3136811.7799745966</v>
      </c>
      <c r="CB39" s="25">
        <f>IF(BE39&lt;&gt;-999,BE39*$BY39, -999)</f>
        <v>5587187.968246052</v>
      </c>
      <c r="CC39">
        <f>-29.317-(0.1023*E39)+F39*(100-8.576-13.681)</f>
        <v>4.7032716772563674</v>
      </c>
      <c r="CD39">
        <f>IF(BF39&lt;&gt;-999,BF39*$CC39, -999)</f>
        <v>658024.89780963911</v>
      </c>
      <c r="CE39">
        <f>IF(BG39&lt;&gt;-999,BG39*$CC39, -999)</f>
        <v>842360.21686069854</v>
      </c>
      <c r="CF39" s="25">
        <f>IF(BH39&lt;&gt;-999,BH39*$CC39, -999)</f>
        <v>1500385.8976166719</v>
      </c>
      <c r="CG39">
        <f>-38.03-(0.1023*E39)+F39*(100-8.576-13.681)</f>
        <v>-4.0097283227436407</v>
      </c>
      <c r="CH39">
        <f>IF(BI39&lt;&gt;-999,BI39*$CG39, -999)</f>
        <v>-845697.92637124681</v>
      </c>
      <c r="CI39">
        <f>IF(BJ39&lt;&gt;-999,BJ39*$CG39, -999)</f>
        <v>-1082606.6327093793</v>
      </c>
      <c r="CJ39" s="25">
        <f>IF(BK39&lt;&gt;-999,BK39*$CG39, -999)</f>
        <v>-1928304.5590806261</v>
      </c>
      <c r="CK39" s="26">
        <f t="shared" si="8"/>
        <v>17979952.790394507</v>
      </c>
      <c r="CL39">
        <f t="shared" si="9"/>
        <v>-15.372474126785006</v>
      </c>
      <c r="CM39">
        <f t="shared" si="10"/>
        <v>42.984543319008921</v>
      </c>
      <c r="CN39">
        <f t="shared" si="11"/>
        <v>-72.721454193440465</v>
      </c>
      <c r="CO39" s="22">
        <f t="shared" si="12"/>
        <v>-40.08</v>
      </c>
      <c r="CP39">
        <f>IF(AT39&lt;&gt;-999,AT39*$CO39, -999)</f>
        <v>-7497335.249343453</v>
      </c>
      <c r="CQ39">
        <f>IF(AU39&lt;&gt;-999,AU39*$CO39, -999)</f>
        <v>-9597598.2008146569</v>
      </c>
      <c r="CR39" s="27">
        <f>IF(AV39&lt;&gt;-999,AV39*$CO39, -999)</f>
        <v>-17094940.122213487</v>
      </c>
      <c r="CS39">
        <f t="shared" si="13"/>
        <v>-42.853000000000002</v>
      </c>
      <c r="CT39">
        <f>IF(AW39&lt;&gt;-999,AW39*$CS39, -999)</f>
        <v>-4016343.1544125206</v>
      </c>
      <c r="CU39">
        <f>IF(AX39&lt;&gt;-999,AX39*$CS39, -999)</f>
        <v>-5141458.8286269046</v>
      </c>
      <c r="CV39" s="27">
        <f>IF(AY39&lt;&gt;-999,AY39*$CS39, -999)</f>
        <v>-9157801.9830394257</v>
      </c>
      <c r="CW39">
        <f t="shared" si="14"/>
        <v>-48.780999999999999</v>
      </c>
      <c r="CX39">
        <f>IF(AZ39&lt;&gt;-999,AZ39*$CO39, -999)</f>
        <v>-5662846.9517118679</v>
      </c>
      <c r="CY39">
        <f>IF(BA39&lt;&gt;-999,BA39*$CO39, -999)</f>
        <v>-7249208.1819728278</v>
      </c>
      <c r="CZ39" s="27">
        <f>IF(BB39&lt;&gt;-999,BB39*$CO39, -999)</f>
        <v>-12912061.805740071</v>
      </c>
      <c r="DA39">
        <f t="shared" si="15"/>
        <v>-48.155000000000001</v>
      </c>
      <c r="DB39">
        <f>IF(BC39&lt;&gt;-999,BC39*$DA39, -999)</f>
        <v>-13446633.869129909</v>
      </c>
      <c r="DC39">
        <f>IF(BD39&lt;&gt;-999,BD39*$DA39, -999)</f>
        <v>-17213503.674897525</v>
      </c>
      <c r="DD39" s="27">
        <f>IF(BE39&lt;&gt;-999,BE39*$DA39, -999)</f>
        <v>-30660137.544027437</v>
      </c>
      <c r="DE39">
        <f t="shared" si="16"/>
        <v>-52.227000000000004</v>
      </c>
      <c r="DF39">
        <f>IF(BF39&lt;&gt;-999,BF39*$DE39, -999)</f>
        <v>-7306970.2743498897</v>
      </c>
      <c r="DG39">
        <f>IF(BG39&lt;&gt;-999,BG39*$DE39, -999)</f>
        <v>-9353902.9987838976</v>
      </c>
      <c r="DH39" s="27">
        <f>IF(BH39&lt;&gt;-999,BH39*$DE39, -999)</f>
        <v>-16660881.967281394</v>
      </c>
      <c r="DI39">
        <f t="shared" si="17"/>
        <v>-60.94</v>
      </c>
      <c r="DJ39">
        <f>IF(BI39&lt;&gt;-999,BI39*$DI39, -999)</f>
        <v>-12852948.500460975</v>
      </c>
      <c r="DK39">
        <f>IF(BJ39&lt;&gt;-999,BJ39*$DI39, -999)</f>
        <v>-16453495.819928044</v>
      </c>
      <c r="DL39" s="27">
        <f>IF(BK39&lt;&gt;-999,BK39*$DI39, -999)</f>
        <v>-29306444.320389017</v>
      </c>
      <c r="DM39" s="28">
        <f t="shared" si="18"/>
        <v>-115792267.74269085</v>
      </c>
      <c r="DN39" s="22">
        <f t="shared" si="19"/>
        <v>-17.170000000000002</v>
      </c>
      <c r="DO39">
        <f>IF(AT39&lt;&gt;-999,AT39*$DN39, -999)</f>
        <v>-3211807.5406992789</v>
      </c>
      <c r="DP39">
        <f>IF(AU39&lt;&gt;-999,AU39*$DN39, -999)</f>
        <v>-4111545.9358280357</v>
      </c>
      <c r="DQ39" s="24">
        <f>IF(AV39&lt;&gt;-999,AV39*$DN39, -999)</f>
        <v>-7323356.3347905595</v>
      </c>
      <c r="DR39">
        <f t="shared" si="20"/>
        <v>-19.943000000000001</v>
      </c>
      <c r="DS39">
        <f>IF(AW39&lt;&gt;-999,AW39*$DR39, -999)</f>
        <v>-1869132.4184642592</v>
      </c>
      <c r="DT39">
        <f>IF(AX39&lt;&gt;-999,AX39*$DR39, -999)</f>
        <v>-2392740.6113762483</v>
      </c>
      <c r="DU39" s="24">
        <f>IF(AY39&lt;&gt;-999,AY39*$DR39, -999)</f>
        <v>-4261873.0298405075</v>
      </c>
      <c r="DV39">
        <f t="shared" si="21"/>
        <v>-25.870999999999999</v>
      </c>
      <c r="DW39">
        <f>IF(AZ39&lt;&gt;-999,AZ39*$DV39, -999)</f>
        <v>-3655277.282628187</v>
      </c>
      <c r="DX39">
        <f>IF(BA39&lt;&gt;-999,BA39*$DV39, -999)</f>
        <v>-4679248.1256441874</v>
      </c>
      <c r="DY39" s="24">
        <f>IF(BB39&lt;&gt;-999,BB39*$DV39, -999)</f>
        <v>-8334529.7149775801</v>
      </c>
      <c r="DZ39">
        <f t="shared" si="22"/>
        <v>-25.245000000000001</v>
      </c>
      <c r="EA39">
        <f>IF(BC39&lt;&gt;-999, BC39*$DZ39, -999)</f>
        <v>-7049325.553445843</v>
      </c>
      <c r="EB39">
        <f>IF(BD39&lt;&gt;-999, BD39*$DZ39, -999)</f>
        <v>-9024086.8086966686</v>
      </c>
      <c r="EC39" s="24">
        <f>IF(BE39&lt;&gt;-999, BE39*$DZ39, -999)</f>
        <v>-16073412.362142511</v>
      </c>
      <c r="ED39">
        <f t="shared" si="23"/>
        <v>-29.317</v>
      </c>
      <c r="EE39">
        <f>IF(BF39&lt;&gt;-999,BF39*$ED39, -999)</f>
        <v>-4101680.1181977848</v>
      </c>
      <c r="EF39">
        <f>IF(BG39&lt;&gt;-999,BG39*$ED39, -999)</f>
        <v>-5250701.2506050039</v>
      </c>
      <c r="EG39" s="24">
        <f>IF(BH39&lt;&gt;-999,BH39*$ED39, -999)</f>
        <v>-9352386.2491582632</v>
      </c>
      <c r="EH39">
        <f t="shared" si="24"/>
        <v>-38.03</v>
      </c>
      <c r="EI39">
        <f>IF(BI39&lt;&gt;-999,BI39*$EH39, -999)</f>
        <v>-8020965.3999430742</v>
      </c>
      <c r="EJ39">
        <f>IF(BJ39&lt;&gt;-999,BJ39*$EH39, -999)</f>
        <v>-10267910.174464449</v>
      </c>
      <c r="EK39" s="24">
        <f>IF(BK39&lt;&gt;-999,BK39*$EH39, -999)</f>
        <v>-18288875.574407522</v>
      </c>
      <c r="EL39" s="28">
        <f t="shared" si="25"/>
        <v>-63634433.265316948</v>
      </c>
      <c r="EM39" s="22">
        <f>-17.17-(0.1023*G39)+H39*(100+102.093-66.644-64.243)</f>
        <v>31.49515019466228</v>
      </c>
      <c r="EN39">
        <f>IF(AT39&lt;&gt;-999,AT39*$EM39, -999)</f>
        <v>5891459.574296603</v>
      </c>
      <c r="EO39">
        <f>IF(AU39&lt;&gt;-999,AU39*$EM39, -999)</f>
        <v>7541861.1986696133</v>
      </c>
      <c r="EP39" s="23">
        <f>IF(AV39&lt;&gt;-999,AV39*$EM39, -999)</f>
        <v>13433326.015914973</v>
      </c>
      <c r="EQ39">
        <f>-19.943-(0.1023*G39)+H39*(100+102.093-66.644-64.243)</f>
        <v>28.722150194662284</v>
      </c>
      <c r="ER39">
        <f>IF(AW39&lt;&gt;-999,AW39*$EQ39, -999)</f>
        <v>2691947.1522259843</v>
      </c>
      <c r="ES39">
        <f>IF(AX39&lt;&gt;-999,AX39*$EQ39, -999)</f>
        <v>3446054.0147829643</v>
      </c>
      <c r="ET39" s="23">
        <f>IF(AY39&lt;&gt;-999,AY39*$EQ39, -999)</f>
        <v>6138001.1670089485</v>
      </c>
      <c r="EU39">
        <f>-25.871-(0.1023*G39)+H39*(100+102.093-66.644-64.243)</f>
        <v>22.794150194662286</v>
      </c>
      <c r="EV39">
        <f>IF(AZ39&lt;&gt;-999,AZ39*$EU39, -999)</f>
        <v>3220553.4916842771</v>
      </c>
      <c r="EW39">
        <f>IF(BA39&lt;&gt;-999,BA39*$EU39, -999)</f>
        <v>4122743.0162740364</v>
      </c>
      <c r="EX39" s="23">
        <f>IF(BB39&lt;&gt;-999,BB39*$EU39, -999)</f>
        <v>7343300.3024651082</v>
      </c>
      <c r="EY39">
        <f>-25.245-(0.1023*G39)+H39*(100+102.093-66.644-64.243)</f>
        <v>23.420150194662284</v>
      </c>
      <c r="EZ39">
        <f>IF(BC39&lt;&gt;-999, BC39*$EY39, -999)</f>
        <v>6539760.8727578716</v>
      </c>
      <c r="FA39">
        <f>IF(BD39&lt;&gt;-999, BD39*$EY39, -999)</f>
        <v>8371775.338853105</v>
      </c>
      <c r="FB39" s="23">
        <f>IF(BE39&lt;&gt;-999, BE39*$EY39, -999)</f>
        <v>14911536.211610977</v>
      </c>
      <c r="FC39">
        <f>-29.317-(0.1023*G39)+H39*(100+102.093-66.644-64.243)</f>
        <v>19.348150194662281</v>
      </c>
      <c r="FD39">
        <f>IF(BF39&lt;&gt;-999,BF39*$FC39, -999)</f>
        <v>2706959.2037845235</v>
      </c>
      <c r="FE39">
        <f>IF(BG39&lt;&gt;-999,BG39*$FC39, -999)</f>
        <v>3465271.2222944601</v>
      </c>
      <c r="FF39" s="23">
        <f>IF(BH39&lt;&gt;-999,BH39*$FC39, -999)</f>
        <v>6172233.6469355077</v>
      </c>
      <c r="FG39">
        <f>-38.03-(0.1023*G39)+H39*(100+102.093-66.644-64.243)</f>
        <v>10.63515019466228</v>
      </c>
      <c r="FH39">
        <f>IF(BI39&lt;&gt;-999,BI39*$FG39, -999)</f>
        <v>2243075.7752980278</v>
      </c>
      <c r="FI39">
        <f>IF(BJ39&lt;&gt;-999,BJ39*$FG39, -999)</f>
        <v>2871437.4675448434</v>
      </c>
      <c r="FJ39" s="23">
        <f>IF(BK39&lt;&gt;-999,BK39*$FG39, -999)</f>
        <v>5114513.2428428708</v>
      </c>
      <c r="FK39" s="28">
        <f t="shared" si="26"/>
        <v>53112910.58677838</v>
      </c>
      <c r="FL39" s="22">
        <f t="shared" si="28"/>
        <v>10.012280000000011</v>
      </c>
      <c r="FM39">
        <f>IF(AT39&lt;&gt;-999,AT39*$FL39, -999)</f>
        <v>1872889.7148277583</v>
      </c>
      <c r="FN39">
        <f>IF(AU39&lt;&gt;-999,AU39*$FL39, -999)</f>
        <v>2397550.9110292583</v>
      </c>
      <c r="FO39" s="29">
        <f>IF(AV39&lt;&gt;-999,AV39*$FL39, -999)</f>
        <v>4270442.292585725</v>
      </c>
      <c r="FP39">
        <f t="shared" si="29"/>
        <v>7.2392800000000115</v>
      </c>
      <c r="FQ39">
        <f>IF(AW39&lt;&gt;-999,AW39*$FP39, -999)</f>
        <v>678492.34991425381</v>
      </c>
      <c r="FR39">
        <f>IF(AX39&lt;&gt;-999,AX39*$FP39, -999)</f>
        <v>868561.36253943096</v>
      </c>
      <c r="FS39" s="29">
        <f>IF(AY39&lt;&gt;-999,AY39*$FP39, -999)</f>
        <v>1547053.7124536848</v>
      </c>
      <c r="FT39">
        <f t="shared" si="30"/>
        <v>1.3112800000000142</v>
      </c>
      <c r="FU39">
        <f>IF(AZ39&lt;&gt;-999,AZ39*$FT39, -999)</f>
        <v>185268.91094912225</v>
      </c>
      <c r="FV39">
        <f>IF(BA39&lt;&gt;-999,BA39*$FT39, -999)</f>
        <v>237169.2042130098</v>
      </c>
      <c r="FW39" s="29">
        <f>IF(BB39&lt;&gt;-999,BB39*$FT39, -999)</f>
        <v>422438.33344887791</v>
      </c>
      <c r="FX39">
        <f t="shared" si="31"/>
        <v>1.9372800000000119</v>
      </c>
      <c r="FY39">
        <f>IF(BC39&lt;&gt;-999, BC39*$FX39, -999)</f>
        <v>540959.29523389367</v>
      </c>
      <c r="FZ39">
        <f>IF(BD39&lt;&gt;-999, BD39*$FX39, -999)</f>
        <v>692500.8077937013</v>
      </c>
      <c r="GA39" s="29">
        <f>IF(BE39&lt;&gt;-999, BE39*$FX39, -999)</f>
        <v>1233460.103027595</v>
      </c>
      <c r="GB39">
        <f t="shared" si="32"/>
        <v>-2.1347199999999873</v>
      </c>
      <c r="GC39">
        <f>IF(BF39&lt;&gt;-999,BF39*$GB39, -999)</f>
        <v>-298664.20786298474</v>
      </c>
      <c r="GD39">
        <f>IF(BG39&lt;&gt;-999,BG39*$GB39, -999)</f>
        <v>-382330.28528469644</v>
      </c>
      <c r="GE39" s="29">
        <f>IF(BH39&lt;&gt;-999,BH39*$GB39, -999)</f>
        <v>-680994.84851120529</v>
      </c>
      <c r="GF39">
        <f t="shared" si="33"/>
        <v>-10.847719999999988</v>
      </c>
      <c r="GG39">
        <f>IF(BI39&lt;&gt;-999,BI39*$GF39, -999)</f>
        <v>-2287909.1976931472</v>
      </c>
      <c r="GH39">
        <f>IF(BJ39&lt;&gt;-999,BJ39*$GF39, -999)</f>
        <v>-2928830.2539506014</v>
      </c>
      <c r="GI39" s="29">
        <f>IF(BK39&lt;&gt;-999,BK39*$GF39, -999)</f>
        <v>-5216739.4516437482</v>
      </c>
      <c r="GJ39" s="30">
        <f t="shared" si="27"/>
        <v>1575660.1413609292</v>
      </c>
    </row>
    <row r="40" spans="1:192">
      <c r="A40" s="48" t="s">
        <v>178</v>
      </c>
      <c r="B40" s="48" t="s">
        <v>179</v>
      </c>
      <c r="C40" s="49">
        <v>161</v>
      </c>
      <c r="D40" s="50">
        <v>0.93</v>
      </c>
      <c r="E40" s="49">
        <v>205.39968775751399</v>
      </c>
      <c r="F40" s="49">
        <v>0.76623625140813401</v>
      </c>
      <c r="G40" s="49">
        <v>88.259875287884796</v>
      </c>
      <c r="H40" s="49">
        <v>0.81673207616133803</v>
      </c>
      <c r="I40" s="42">
        <v>63348.800000000003</v>
      </c>
      <c r="J40" s="43">
        <v>23871.8</v>
      </c>
      <c r="K40" s="43">
        <f t="shared" si="0"/>
        <v>87220.6</v>
      </c>
      <c r="L40" s="43">
        <v>37174.400000000001</v>
      </c>
      <c r="M40" s="43">
        <v>14008.4</v>
      </c>
      <c r="N40" s="43">
        <f t="shared" si="1"/>
        <v>51182.8</v>
      </c>
      <c r="O40" s="43">
        <v>101868.6</v>
      </c>
      <c r="P40" s="43">
        <v>38387.199999999997</v>
      </c>
      <c r="Q40" s="43">
        <f t="shared" si="2"/>
        <v>140255.79999999999</v>
      </c>
      <c r="R40" s="43">
        <v>181449.1</v>
      </c>
      <c r="S40" s="43">
        <v>68375.5</v>
      </c>
      <c r="T40" s="43">
        <f t="shared" si="3"/>
        <v>249824.6</v>
      </c>
      <c r="U40" s="43">
        <v>106478.1</v>
      </c>
      <c r="V40" s="43">
        <v>40124.199999999997</v>
      </c>
      <c r="W40" s="43">
        <f t="shared" si="4"/>
        <v>146602.29999999999</v>
      </c>
      <c r="X40" s="43">
        <v>291780.7</v>
      </c>
      <c r="Y40" s="43">
        <v>109951.9</v>
      </c>
      <c r="Z40" s="43">
        <f t="shared" si="5"/>
        <v>401732.6</v>
      </c>
      <c r="AA40" s="22">
        <v>2308232</v>
      </c>
      <c r="AB40">
        <v>655706.9</v>
      </c>
      <c r="AC40">
        <v>2963938.9</v>
      </c>
      <c r="AD40">
        <v>1354518.7</v>
      </c>
      <c r="AE40">
        <v>384782.5</v>
      </c>
      <c r="AF40">
        <v>1739301.2</v>
      </c>
      <c r="AG40">
        <v>3711772.5</v>
      </c>
      <c r="AH40">
        <v>1054415.2</v>
      </c>
      <c r="AI40">
        <v>4766187.5999999996</v>
      </c>
      <c r="AJ40">
        <v>6611435.5</v>
      </c>
      <c r="AK40">
        <v>1878131.8</v>
      </c>
      <c r="AL40">
        <v>8489567.3000000007</v>
      </c>
      <c r="AM40">
        <v>3879728.2</v>
      </c>
      <c r="AN40">
        <v>1102126.8999999999</v>
      </c>
      <c r="AO40">
        <v>4981855.2</v>
      </c>
      <c r="AP40">
        <v>10631576</v>
      </c>
      <c r="AQ40">
        <v>3020146.1</v>
      </c>
      <c r="AR40">
        <v>13651722.1</v>
      </c>
      <c r="AS40">
        <v>36592572.350000001</v>
      </c>
      <c r="AT40" s="22">
        <f t="shared" si="36"/>
        <v>3842477.9750981997</v>
      </c>
      <c r="AU40">
        <f t="shared" si="36"/>
        <v>1091545.0965803775</v>
      </c>
      <c r="AV40">
        <f t="shared" si="36"/>
        <v>4934023.0716785779</v>
      </c>
      <c r="AW40">
        <f t="shared" si="36"/>
        <v>2254846.2509871824</v>
      </c>
      <c r="AX40">
        <f t="shared" si="36"/>
        <v>640541.45400168747</v>
      </c>
      <c r="AY40">
        <f t="shared" si="36"/>
        <v>2895387.7049888703</v>
      </c>
      <c r="AZ40">
        <f t="shared" si="36"/>
        <v>6178930.0554819377</v>
      </c>
      <c r="BA40">
        <f t="shared" si="36"/>
        <v>1755268.6136440199</v>
      </c>
      <c r="BB40">
        <f t="shared" si="36"/>
        <v>7934198.5026575094</v>
      </c>
      <c r="BC40">
        <f t="shared" si="36"/>
        <v>11005954.034313863</v>
      </c>
      <c r="BD40">
        <f t="shared" si="36"/>
        <v>3126496.8494638051</v>
      </c>
      <c r="BE40">
        <f t="shared" si="36"/>
        <v>14132450.883777669</v>
      </c>
      <c r="BF40">
        <f t="shared" si="36"/>
        <v>6458523.3017596956</v>
      </c>
      <c r="BG40">
        <f t="shared" si="36"/>
        <v>1834693.5399098773</v>
      </c>
      <c r="BH40">
        <f t="shared" si="36"/>
        <v>8293217.0081380196</v>
      </c>
      <c r="BI40">
        <f t="shared" si="35"/>
        <v>17698219.511982601</v>
      </c>
      <c r="BJ40">
        <f t="shared" si="35"/>
        <v>5027590.3249017978</v>
      </c>
      <c r="BK40">
        <f t="shared" si="35"/>
        <v>22725809.836884398</v>
      </c>
      <c r="BL40">
        <f t="shared" si="35"/>
        <v>60915087.091359273</v>
      </c>
      <c r="BM40" s="22">
        <f>-17.17-(0.1023*E40)+F40*(100-8.576-13.681)</f>
        <v>21.387116835628888</v>
      </c>
      <c r="BN40">
        <f>IF(AT40&lt;&gt;-999,AT40*$BM40, -999)</f>
        <v>82179525.391755909</v>
      </c>
      <c r="BO40">
        <f>IF(AU40&lt;&gt;-999,AU40*$BM40, -999)</f>
        <v>23345002.511922352</v>
      </c>
      <c r="BP40" s="25">
        <f>IF(AV40&lt;&gt;-999,AV40*$BM40, -999)</f>
        <v>105524527.90367827</v>
      </c>
      <c r="BQ40">
        <f>-19.943-(0.1023*E40)+F40*(100-8.576-13.681)</f>
        <v>18.614116835628892</v>
      </c>
      <c r="BR40">
        <f>IF(AW40&lt;&gt;-999,AW40*$BQ40, -999)</f>
        <v>41971971.562255204</v>
      </c>
      <c r="BS40">
        <f>IF(AX40&lt;&gt;-999,AX40*$BQ40, -999)</f>
        <v>11923113.46285102</v>
      </c>
      <c r="BT40" s="25">
        <f>IF(AY40&lt;&gt;-999,AY40*$BQ40, -999)</f>
        <v>53895085.025106229</v>
      </c>
      <c r="BU40">
        <f>-25.871-(0.1023*E40)+F40*(100-8.576-13.681)</f>
        <v>12.686116835628894</v>
      </c>
      <c r="BV40">
        <f>IF(AZ40&lt;&gt;-999,AZ40*$BU40, -999)</f>
        <v>78386628.603022784</v>
      </c>
      <c r="BW40">
        <f>IF(BA40&lt;&gt;-999,BA40*$BU40, -999)</f>
        <v>22267542.710600391</v>
      </c>
      <c r="BX40" s="25">
        <f>IF(BB40&lt;&gt;-999,BB40*$BU40, -999)</f>
        <v>100654169.201785</v>
      </c>
      <c r="BY40">
        <f>-25.245-(0.1023*E40)+F40*(100-8.576-13.681)</f>
        <v>13.312116835628885</v>
      </c>
      <c r="BZ40">
        <f>IF(BC40&lt;&gt;-999,BC40*$BY40, -999)</f>
        <v>146512545.99234721</v>
      </c>
      <c r="CA40">
        <f>IF(BD40&lt;&gt;-999,BD40*$BY40, -999)</f>
        <v>41620291.346287787</v>
      </c>
      <c r="CB40" s="25">
        <f>IF(BE40&lt;&gt;-999,BE40*$BY40, -999)</f>
        <v>188132837.33863503</v>
      </c>
      <c r="CC40">
        <f>-29.317-(0.1023*E40)+F40*(100-8.576-13.681)</f>
        <v>9.2401168356288892</v>
      </c>
      <c r="CD40">
        <f>IF(BF40&lt;&gt;-999,BF40*$CC40, -999)</f>
        <v>59677509.893891245</v>
      </c>
      <c r="CE40">
        <f>IF(BG40&lt;&gt;-999,BG40*$CC40, -999)</f>
        <v>16952782.66634082</v>
      </c>
      <c r="CF40" s="25">
        <f>IF(BH40&lt;&gt;-999,BH40*$CC40, -999)</f>
        <v>76630294.098419964</v>
      </c>
      <c r="CG40">
        <f>-38.03-(0.1023*E40)+F40*(100-8.576-13.681)</f>
        <v>0.52711683562888823</v>
      </c>
      <c r="CH40">
        <f>IF(BI40&lt;&gt;-999,BI40*$CG40, -999)</f>
        <v>9329029.4654217158</v>
      </c>
      <c r="CI40">
        <f>IF(BJ40&lt;&gt;-999,BJ40*$CG40, -999)</f>
        <v>2650127.5029006498</v>
      </c>
      <c r="CJ40" s="25">
        <f>IF(BK40&lt;&gt;-999,BK40*$CG40, -999)</f>
        <v>11979156.968322365</v>
      </c>
      <c r="CK40" s="26">
        <f t="shared" si="8"/>
        <v>536816070.53594685</v>
      </c>
      <c r="CL40">
        <f t="shared" si="9"/>
        <v>-23.176261449624974</v>
      </c>
      <c r="CM40">
        <f t="shared" si="10"/>
        <v>36.133122459690782</v>
      </c>
      <c r="CN40">
        <f t="shared" si="11"/>
        <v>-81.461157156304282</v>
      </c>
      <c r="CO40" s="22">
        <f t="shared" si="12"/>
        <v>-40.08</v>
      </c>
      <c r="CP40">
        <f>IF(AT40&lt;&gt;-999,AT40*$CO40, -999)</f>
        <v>-154006517.24193585</v>
      </c>
      <c r="CQ40">
        <f>IF(AU40&lt;&gt;-999,AU40*$CO40, -999)</f>
        <v>-43749127.470941529</v>
      </c>
      <c r="CR40" s="27">
        <f>IF(AV40&lt;&gt;-999,AV40*$CO40, -999)</f>
        <v>-197755644.71287739</v>
      </c>
      <c r="CS40">
        <f t="shared" si="13"/>
        <v>-42.853000000000002</v>
      </c>
      <c r="CT40">
        <f>IF(AW40&lt;&gt;-999,AW40*$CS40, -999)</f>
        <v>-96626926.393553734</v>
      </c>
      <c r="CU40">
        <f>IF(AX40&lt;&gt;-999,AX40*$CS40, -999)</f>
        <v>-27449122.928334314</v>
      </c>
      <c r="CV40" s="27">
        <f>IF(AY40&lt;&gt;-999,AY40*$CS40, -999)</f>
        <v>-124076049.32188806</v>
      </c>
      <c r="CW40">
        <f t="shared" si="14"/>
        <v>-48.780999999999999</v>
      </c>
      <c r="CX40">
        <f>IF(AZ40&lt;&gt;-999,AZ40*$CO40, -999)</f>
        <v>-247651516.62371606</v>
      </c>
      <c r="CY40">
        <f>IF(BA40&lt;&gt;-999,BA40*$CO40, -999)</f>
        <v>-70351166.034852311</v>
      </c>
      <c r="CZ40" s="27">
        <f>IF(BB40&lt;&gt;-999,BB40*$CO40, -999)</f>
        <v>-318002675.98651296</v>
      </c>
      <c r="DA40">
        <f t="shared" si="15"/>
        <v>-48.155000000000001</v>
      </c>
      <c r="DB40">
        <f>IF(BC40&lt;&gt;-999,BC40*$DA40, -999)</f>
        <v>-529991716.52238411</v>
      </c>
      <c r="DC40">
        <f>IF(BD40&lt;&gt;-999,BD40*$DA40, -999)</f>
        <v>-150556455.78592953</v>
      </c>
      <c r="DD40" s="27">
        <f>IF(BE40&lt;&gt;-999,BE40*$DA40, -999)</f>
        <v>-680548172.30831361</v>
      </c>
      <c r="DE40">
        <f t="shared" si="16"/>
        <v>-52.227000000000004</v>
      </c>
      <c r="DF40">
        <f>IF(BF40&lt;&gt;-999,BF40*$DE40, -999)</f>
        <v>-337309296.48100364</v>
      </c>
      <c r="DG40">
        <f>IF(BG40&lt;&gt;-999,BG40*$DE40, -999)</f>
        <v>-95820539.508873165</v>
      </c>
      <c r="DH40" s="27">
        <f>IF(BH40&lt;&gt;-999,BH40*$DE40, -999)</f>
        <v>-433129844.68402439</v>
      </c>
      <c r="DI40">
        <f t="shared" si="17"/>
        <v>-60.94</v>
      </c>
      <c r="DJ40">
        <f>IF(BI40&lt;&gt;-999,BI40*$DI40, -999)</f>
        <v>-1078529497.0602198</v>
      </c>
      <c r="DK40">
        <f>IF(BJ40&lt;&gt;-999,BJ40*$DI40, -999)</f>
        <v>-306381354.39951557</v>
      </c>
      <c r="DL40" s="27">
        <f>IF(BK40&lt;&gt;-999,BK40*$DI40, -999)</f>
        <v>-1384910851.4597352</v>
      </c>
      <c r="DM40" s="28">
        <f t="shared" si="18"/>
        <v>-3138423238.4733515</v>
      </c>
      <c r="DN40" s="22">
        <f t="shared" si="19"/>
        <v>-17.170000000000002</v>
      </c>
      <c r="DO40">
        <f>IF(AT40&lt;&gt;-999,AT40*$DN40, -999)</f>
        <v>-65975346.832436092</v>
      </c>
      <c r="DP40">
        <f>IF(AU40&lt;&gt;-999,AU40*$DN40, -999)</f>
        <v>-18741829.308285084</v>
      </c>
      <c r="DQ40" s="24">
        <f>IF(AV40&lt;&gt;-999,AV40*$DN40, -999)</f>
        <v>-84717176.140721187</v>
      </c>
      <c r="DR40">
        <f t="shared" si="20"/>
        <v>-19.943000000000001</v>
      </c>
      <c r="DS40">
        <f>IF(AW40&lt;&gt;-999,AW40*$DR40, -999)</f>
        <v>-44968398.783437379</v>
      </c>
      <c r="DT40">
        <f>IF(AX40&lt;&gt;-999,AX40*$DR40, -999)</f>
        <v>-12774318.217155654</v>
      </c>
      <c r="DU40" s="24">
        <f>IF(AY40&lt;&gt;-999,AY40*$DR40, -999)</f>
        <v>-57742717.000593044</v>
      </c>
      <c r="DV40">
        <f t="shared" si="21"/>
        <v>-25.870999999999999</v>
      </c>
      <c r="DW40">
        <f>IF(AZ40&lt;&gt;-999,AZ40*$DV40, -999)</f>
        <v>-159855099.46537319</v>
      </c>
      <c r="DX40">
        <f>IF(BA40&lt;&gt;-999,BA40*$DV40, -999)</f>
        <v>-45410554.303584434</v>
      </c>
      <c r="DY40" s="24">
        <f>IF(BB40&lt;&gt;-999,BB40*$DV40, -999)</f>
        <v>-205265649.46225241</v>
      </c>
      <c r="DZ40">
        <f t="shared" si="22"/>
        <v>-25.245000000000001</v>
      </c>
      <c r="EA40">
        <f>IF(BC40&lt;&gt;-999, BC40*$DZ40, -999)</f>
        <v>-277845309.59625351</v>
      </c>
      <c r="EB40">
        <f>IF(BD40&lt;&gt;-999, BD40*$DZ40, -999)</f>
        <v>-78928412.964713767</v>
      </c>
      <c r="EC40" s="24">
        <f>IF(BE40&lt;&gt;-999, BE40*$DZ40, -999)</f>
        <v>-356773722.56096727</v>
      </c>
      <c r="ED40">
        <f t="shared" si="23"/>
        <v>-29.317</v>
      </c>
      <c r="EE40">
        <f>IF(BF40&lt;&gt;-999,BF40*$ED40, -999)</f>
        <v>-189344527.63768899</v>
      </c>
      <c r="EF40">
        <f>IF(BG40&lt;&gt;-999,BG40*$ED40, -999)</f>
        <v>-53787710.509537876</v>
      </c>
      <c r="EG40" s="24">
        <f>IF(BH40&lt;&gt;-999,BH40*$ED40, -999)</f>
        <v>-243132243.02758232</v>
      </c>
      <c r="EH40">
        <f t="shared" si="24"/>
        <v>-38.03</v>
      </c>
      <c r="EI40">
        <f>IF(BI40&lt;&gt;-999,BI40*$EH40, -999)</f>
        <v>-673063288.04069829</v>
      </c>
      <c r="EJ40">
        <f>IF(BJ40&lt;&gt;-999,BJ40*$EH40, -999)</f>
        <v>-191199260.05601537</v>
      </c>
      <c r="EK40" s="24">
        <f>IF(BK40&lt;&gt;-999,BK40*$EH40, -999)</f>
        <v>-864262548.09671366</v>
      </c>
      <c r="EL40" s="28">
        <f t="shared" si="25"/>
        <v>-1811894056.2888298</v>
      </c>
      <c r="EM40" s="22">
        <f>-17.17-(0.1023*G40)+H40*(100+102.093-66.644-64.243)</f>
        <v>31.957238973193633</v>
      </c>
      <c r="EN40">
        <f>IF(AT40&lt;&gt;-999,AT40*$EM40, -999)</f>
        <v>122794986.89944634</v>
      </c>
      <c r="EO40">
        <f>IF(AU40&lt;&gt;-999,AU40*$EM40, -999)</f>
        <v>34882767.501436852</v>
      </c>
      <c r="EP40" s="23">
        <f>IF(AV40&lt;&gt;-999,AV40*$EM40, -999)</f>
        <v>157677754.4008832</v>
      </c>
      <c r="EQ40">
        <f>-19.943-(0.1023*G40)+H40*(100+102.093-66.644-64.243)</f>
        <v>29.184238973193633</v>
      </c>
      <c r="ER40">
        <f>IF(AW40&lt;&gt;-999,AW40*$EQ40, -999)</f>
        <v>65805971.836619683</v>
      </c>
      <c r="ES40">
        <f>IF(AX40&lt;&gt;-999,AX40*$EQ40, -999)</f>
        <v>18693714.865822162</v>
      </c>
      <c r="ET40" s="23">
        <f>IF(AY40&lt;&gt;-999,AY40*$EQ40, -999)</f>
        <v>84499686.702441856</v>
      </c>
      <c r="EU40">
        <f>-25.871-(0.1023*G40)+H40*(100+102.093-66.644-64.243)</f>
        <v>23.256238973193632</v>
      </c>
      <c r="EV40">
        <f>IF(AZ40&lt;&gt;-999,AZ40*$EU40, -999)</f>
        <v>143698673.96893653</v>
      </c>
      <c r="EW40">
        <f>IF(BA40&lt;&gt;-999,BA40*$EU40, -999)</f>
        <v>40820946.341051616</v>
      </c>
      <c r="EX40" s="23">
        <f>IF(BB40&lt;&gt;-999,BB40*$EU40, -999)</f>
        <v>184519616.43855813</v>
      </c>
      <c r="EY40">
        <f>-25.245-(0.1023*G40)+H40*(100+102.093-66.644-64.243)</f>
        <v>23.882238973193637</v>
      </c>
      <c r="EZ40">
        <f>IF(BC40&lt;&gt;-999, BC40*$EY40, -999)</f>
        <v>262846824.37546828</v>
      </c>
      <c r="FA40">
        <f>IF(BD40&lt;&gt;-999, BD40*$EY40, -999)</f>
        <v>74667744.907831609</v>
      </c>
      <c r="FB40" s="23">
        <f>IF(BE40&lt;&gt;-999, BE40*$EY40, -999)</f>
        <v>337514569.28329992</v>
      </c>
      <c r="FC40">
        <f>-29.317-(0.1023*G40)+H40*(100+102.093-66.644-64.243)</f>
        <v>19.810238973193634</v>
      </c>
      <c r="FD40">
        <f>IF(BF40&lt;&gt;-999,BF40*$FC40, -999)</f>
        <v>127944890.02179915</v>
      </c>
      <c r="FE40">
        <f>IF(BG40&lt;&gt;-999,BG40*$FC40, -999)</f>
        <v>36345717.46818924</v>
      </c>
      <c r="FF40" s="23">
        <f>IF(BH40&lt;&gt;-999,BH40*$FC40, -999)</f>
        <v>164290610.7877681</v>
      </c>
      <c r="FG40">
        <f>-38.03-(0.1023*G40)+H40*(100+102.093-66.644-64.243)</f>
        <v>11.097238973193633</v>
      </c>
      <c r="FH40">
        <f>IF(BI40&lt;&gt;-999,BI40*$FG40, -999)</f>
        <v>196401371.32450932</v>
      </c>
      <c r="FI40">
        <f>IF(BJ40&lt;&gt;-999,BJ40*$FG40, -999)</f>
        <v>55792371.294751473</v>
      </c>
      <c r="FJ40" s="23">
        <f>IF(BK40&lt;&gt;-999,BK40*$FG40, -999)</f>
        <v>252193742.61926079</v>
      </c>
      <c r="FK40" s="28">
        <f t="shared" si="26"/>
        <v>1180695980.2322121</v>
      </c>
      <c r="FL40" s="22">
        <f t="shared" si="28"/>
        <v>10.012280000000011</v>
      </c>
      <c r="FM40">
        <f>IF(AT40&lt;&gt;-999,AT40*$FL40, -999)</f>
        <v>38471965.380516246</v>
      </c>
      <c r="FN40">
        <f>IF(AU40&lt;&gt;-999,AU40*$FL40, -999)</f>
        <v>10928855.139589794</v>
      </c>
      <c r="FO40" s="29">
        <f>IF(AV40&lt;&gt;-999,AV40*$FL40, -999)</f>
        <v>49400820.520106047</v>
      </c>
      <c r="FP40">
        <f t="shared" si="29"/>
        <v>7.2392800000000115</v>
      </c>
      <c r="FQ40">
        <f>IF(AW40&lt;&gt;-999,AW40*$FP40, -999)</f>
        <v>16323463.367846515</v>
      </c>
      <c r="FR40">
        <f>IF(AX40&lt;&gt;-999,AX40*$FP40, -999)</f>
        <v>4637058.9371253438</v>
      </c>
      <c r="FS40" s="29">
        <f>IF(AY40&lt;&gt;-999,AY40*$FP40, -999)</f>
        <v>20960522.304971863</v>
      </c>
      <c r="FT40">
        <f t="shared" si="30"/>
        <v>1.3112800000000142</v>
      </c>
      <c r="FU40">
        <f>IF(AZ40&lt;&gt;-999,AZ40*$FT40, -999)</f>
        <v>8102307.4031524435</v>
      </c>
      <c r="FV40">
        <f>IF(BA40&lt;&gt;-999,BA40*$FT40, -999)</f>
        <v>2301648.6276991554</v>
      </c>
      <c r="FW40" s="29">
        <f>IF(BB40&lt;&gt;-999,BB40*$FT40, -999)</f>
        <v>10403955.812564852</v>
      </c>
      <c r="FX40">
        <f t="shared" si="31"/>
        <v>1.9372800000000119</v>
      </c>
      <c r="FY40">
        <f>IF(BC40&lt;&gt;-999, BC40*$FX40, -999)</f>
        <v>21321614.63159569</v>
      </c>
      <c r="FZ40">
        <f>IF(BD40&lt;&gt;-999, BD40*$FX40, -999)</f>
        <v>6056899.8165292777</v>
      </c>
      <c r="GA40" s="29">
        <f>IF(BE40&lt;&gt;-999, BE40*$FX40, -999)</f>
        <v>27378514.448124971</v>
      </c>
      <c r="GB40">
        <f t="shared" si="32"/>
        <v>-2.1347199999999873</v>
      </c>
      <c r="GC40">
        <f>IF(BF40&lt;&gt;-999,BF40*$GB40, -999)</f>
        <v>-13787138.862732375</v>
      </c>
      <c r="GD40">
        <f>IF(BG40&lt;&gt;-999,BG40*$GB40, -999)</f>
        <v>-3916556.9935163902</v>
      </c>
      <c r="GE40" s="29">
        <f>IF(BH40&lt;&gt;-999,BH40*$GB40, -999)</f>
        <v>-17703696.211612288</v>
      </c>
      <c r="GF40">
        <f t="shared" si="33"/>
        <v>-10.847719999999988</v>
      </c>
      <c r="GG40">
        <f>IF(BI40&lt;&gt;-999,BI40*$GF40, -999)</f>
        <v>-191985329.76452368</v>
      </c>
      <c r="GH40">
        <f>IF(BJ40&lt;&gt;-999,BJ40*$GF40, -999)</f>
        <v>-54537892.119243674</v>
      </c>
      <c r="GI40" s="29">
        <f>IF(BK40&lt;&gt;-999,BK40*$GF40, -999)</f>
        <v>-246523221.88376737</v>
      </c>
      <c r="GJ40" s="30">
        <f t="shared" si="27"/>
        <v>-156083105.0096119</v>
      </c>
    </row>
    <row r="41" spans="1:192">
      <c r="A41" s="48" t="s">
        <v>142</v>
      </c>
      <c r="B41" s="48" t="s">
        <v>180</v>
      </c>
      <c r="C41" s="49">
        <v>107</v>
      </c>
      <c r="D41" s="50">
        <v>0.92900000000000005</v>
      </c>
      <c r="E41" s="49">
        <v>10.6440634026509</v>
      </c>
      <c r="F41" s="49">
        <v>0.79652012990141596</v>
      </c>
      <c r="G41" s="49">
        <v>79.256147391679406</v>
      </c>
      <c r="H41" s="49">
        <v>0.81713550468896401</v>
      </c>
      <c r="I41" s="42">
        <v>1217.2</v>
      </c>
      <c r="J41" s="43">
        <v>-999</v>
      </c>
      <c r="K41" s="43">
        <f t="shared" si="0"/>
        <v>1217.2</v>
      </c>
      <c r="L41" s="43">
        <v>1338.9</v>
      </c>
      <c r="M41" s="43">
        <v>-999</v>
      </c>
      <c r="N41" s="43">
        <f t="shared" si="1"/>
        <v>1338.9</v>
      </c>
      <c r="O41" s="43">
        <v>2674.6</v>
      </c>
      <c r="P41" s="43">
        <v>-999</v>
      </c>
      <c r="Q41" s="43">
        <f t="shared" si="2"/>
        <v>2674.6</v>
      </c>
      <c r="R41" s="43">
        <v>1352.5</v>
      </c>
      <c r="S41" s="43">
        <v>-999</v>
      </c>
      <c r="T41" s="43">
        <f t="shared" si="3"/>
        <v>1352.5</v>
      </c>
      <c r="U41" s="43">
        <v>1487.6</v>
      </c>
      <c r="V41" s="43">
        <v>-999</v>
      </c>
      <c r="W41" s="43">
        <f t="shared" si="4"/>
        <v>1487.6</v>
      </c>
      <c r="X41" s="43">
        <v>2971.8</v>
      </c>
      <c r="Y41" s="43">
        <v>-999</v>
      </c>
      <c r="Z41" s="43">
        <f t="shared" si="5"/>
        <v>2971.8</v>
      </c>
      <c r="AA41" s="22">
        <v>5353.3</v>
      </c>
      <c r="AB41">
        <v>-999</v>
      </c>
      <c r="AC41">
        <v>5353.3</v>
      </c>
      <c r="AD41">
        <v>5888.2</v>
      </c>
      <c r="AE41">
        <v>-999</v>
      </c>
      <c r="AF41">
        <v>5888.2</v>
      </c>
      <c r="AG41">
        <v>11762.9</v>
      </c>
      <c r="AH41">
        <v>-999</v>
      </c>
      <c r="AI41">
        <v>11762.9</v>
      </c>
      <c r="AJ41">
        <v>5948</v>
      </c>
      <c r="AK41">
        <v>-999</v>
      </c>
      <c r="AL41">
        <v>5948</v>
      </c>
      <c r="AM41">
        <v>6542.4</v>
      </c>
      <c r="AN41">
        <v>-999</v>
      </c>
      <c r="AO41">
        <v>6542.4</v>
      </c>
      <c r="AP41">
        <v>13069.9</v>
      </c>
      <c r="AQ41">
        <v>-999</v>
      </c>
      <c r="AR41">
        <v>13069.9</v>
      </c>
      <c r="AS41">
        <v>48564.69</v>
      </c>
      <c r="AT41" s="22">
        <f t="shared" si="36"/>
        <v>8911.5554000174998</v>
      </c>
      <c r="AU41">
        <f t="shared" si="36"/>
        <v>-999</v>
      </c>
      <c r="AV41">
        <f t="shared" si="36"/>
        <v>8911.5554000174998</v>
      </c>
      <c r="AW41">
        <f t="shared" si="36"/>
        <v>9801.9951256950008</v>
      </c>
      <c r="AX41">
        <f t="shared" si="36"/>
        <v>-999</v>
      </c>
      <c r="AY41">
        <f t="shared" si="36"/>
        <v>9801.9951256950008</v>
      </c>
      <c r="AZ41">
        <f t="shared" si="36"/>
        <v>19581.517010977499</v>
      </c>
      <c r="BA41">
        <f t="shared" si="36"/>
        <v>-999</v>
      </c>
      <c r="BB41">
        <f t="shared" si="36"/>
        <v>19581.517010977499</v>
      </c>
      <c r="BC41">
        <f t="shared" si="36"/>
        <v>9901.5432572999998</v>
      </c>
      <c r="BD41">
        <f t="shared" si="36"/>
        <v>-999</v>
      </c>
      <c r="BE41">
        <f t="shared" si="36"/>
        <v>9901.5432572999998</v>
      </c>
      <c r="BF41">
        <f t="shared" si="36"/>
        <v>10891.031709239998</v>
      </c>
      <c r="BG41">
        <f t="shared" si="36"/>
        <v>-999</v>
      </c>
      <c r="BH41">
        <f t="shared" si="36"/>
        <v>10891.031709239998</v>
      </c>
      <c r="BI41">
        <f t="shared" si="35"/>
        <v>21757.259619802498</v>
      </c>
      <c r="BJ41">
        <f t="shared" si="35"/>
        <v>-999</v>
      </c>
      <c r="BK41">
        <f t="shared" si="35"/>
        <v>21757.259619802498</v>
      </c>
      <c r="BL41">
        <f t="shared" si="35"/>
        <v>80844.885476187745</v>
      </c>
      <c r="BM41" s="22">
        <f>-17.17-(0.1023*E41)+F41*(100-8.576-13.681)</f>
        <v>43.664976772834606</v>
      </c>
      <c r="BN41">
        <f>IF(AT41&lt;&gt;-999,AT41*$BM41, -999)</f>
        <v>389122.85955159296</v>
      </c>
      <c r="BO41">
        <f>IF(AU41&lt;&gt;-999,AU41*$BM41, -999)</f>
        <v>-999</v>
      </c>
      <c r="BP41" s="25">
        <f>IF(AV41&lt;&gt;-999,AV41*$BM41, -999)</f>
        <v>389122.85955159296</v>
      </c>
      <c r="BQ41">
        <f>-19.943-(0.1023*E41)+F41*(100-8.576-13.681)</f>
        <v>40.891976772834603</v>
      </c>
      <c r="BR41">
        <f>IF(AW41&lt;&gt;-999,AW41*$BQ41, -999)</f>
        <v>400822.95700735797</v>
      </c>
      <c r="BS41">
        <f>IF(AX41&lt;&gt;-999,AX41*$BQ41, -999)</f>
        <v>-999</v>
      </c>
      <c r="BT41" s="25">
        <f>IF(AY41&lt;&gt;-999,AY41*$BQ41, -999)</f>
        <v>400822.95700735797</v>
      </c>
      <c r="BU41">
        <f>-25.871-(0.1023*E41)+F41*(100-8.576-13.681)</f>
        <v>34.963976772834606</v>
      </c>
      <c r="BV41">
        <f>IF(AZ41&lt;&gt;-999,AZ41*$BU41, -999)</f>
        <v>684647.70594868297</v>
      </c>
      <c r="BW41">
        <f>IF(BA41&lt;&gt;-999,BA41*$BU41, -999)</f>
        <v>-999</v>
      </c>
      <c r="BX41" s="25">
        <f>IF(BB41&lt;&gt;-999,BB41*$BU41, -999)</f>
        <v>684647.70594868297</v>
      </c>
      <c r="BY41">
        <f>-25.245-(0.1023*E41)+F41*(100-8.576-13.681)</f>
        <v>35.589976772834603</v>
      </c>
      <c r="BZ41">
        <f>IF(BC41&lt;&gt;-999,BC41*$BY41, -999)</f>
        <v>352395.69454252406</v>
      </c>
      <c r="CA41">
        <f>IF(BD41&lt;&gt;-999,BD41*$BY41, -999)</f>
        <v>-999</v>
      </c>
      <c r="CB41" s="25">
        <f>IF(BE41&lt;&gt;-999,BE41*$BY41, -999)</f>
        <v>352395.69454252406</v>
      </c>
      <c r="CC41">
        <f>-29.317-(0.1023*E41)+F41*(100-8.576-13.681)</f>
        <v>31.517976772834604</v>
      </c>
      <c r="CD41">
        <f>IF(BF41&lt;&gt;-999,BF41*$CC41, -999)</f>
        <v>343263.28444403142</v>
      </c>
      <c r="CE41">
        <f>IF(BG41&lt;&gt;-999,BG41*$CC41, -999)</f>
        <v>-999</v>
      </c>
      <c r="CF41" s="25">
        <f>IF(BH41&lt;&gt;-999,BH41*$CC41, -999)</f>
        <v>343263.28444403142</v>
      </c>
      <c r="CG41">
        <f>-38.03-(0.1023*E41)+F41*(100-8.576-13.681)</f>
        <v>22.804976772834607</v>
      </c>
      <c r="CH41">
        <f>IF(BI41&lt;&gt;-999,BI41*$CG41, -999)</f>
        <v>496173.8002701283</v>
      </c>
      <c r="CI41">
        <f>IF(BJ41&lt;&gt;-999,BJ41*$CG41, -999)</f>
        <v>-999</v>
      </c>
      <c r="CJ41" s="25">
        <f>IF(BK41&lt;&gt;-999,BK41*$CG41, -999)</f>
        <v>496173.8002701283</v>
      </c>
      <c r="CK41" s="26">
        <f t="shared" si="8"/>
        <v>2666426.3017643178</v>
      </c>
      <c r="CL41">
        <f t="shared" si="9"/>
        <v>-46.462057132534021</v>
      </c>
      <c r="CM41">
        <f t="shared" si="10"/>
        <v>10.592370362756858</v>
      </c>
      <c r="CN41">
        <f t="shared" si="11"/>
        <v>-102.53094770222684</v>
      </c>
      <c r="CO41" s="22">
        <f t="shared" si="12"/>
        <v>-40.08</v>
      </c>
      <c r="CP41">
        <f>IF(AT41&lt;&gt;-999,AT41*$CO41, -999)</f>
        <v>-357175.14043270139</v>
      </c>
      <c r="CQ41">
        <f>IF(AU41&lt;&gt;-999,AU41*$CO41, -999)</f>
        <v>-999</v>
      </c>
      <c r="CR41" s="27">
        <f>IF(AV41&lt;&gt;-999,AV41*$CO41, -999)</f>
        <v>-357175.14043270139</v>
      </c>
      <c r="CS41">
        <f t="shared" si="13"/>
        <v>-42.853000000000002</v>
      </c>
      <c r="CT41">
        <f>IF(AW41&lt;&gt;-999,AW41*$CS41, -999)</f>
        <v>-420044.89712140791</v>
      </c>
      <c r="CU41">
        <f>IF(AX41&lt;&gt;-999,AX41*$CS41, -999)</f>
        <v>-999</v>
      </c>
      <c r="CV41" s="27">
        <f>IF(AY41&lt;&gt;-999,AY41*$CS41, -999)</f>
        <v>-420044.89712140791</v>
      </c>
      <c r="CW41">
        <f t="shared" si="14"/>
        <v>-48.780999999999999</v>
      </c>
      <c r="CX41">
        <f>IF(AZ41&lt;&gt;-999,AZ41*$CO41, -999)</f>
        <v>-784827.20179997815</v>
      </c>
      <c r="CY41">
        <f>IF(BA41&lt;&gt;-999,BA41*$CO41, -999)</f>
        <v>-999</v>
      </c>
      <c r="CZ41" s="27">
        <f>IF(BB41&lt;&gt;-999,BB41*$CO41, -999)</f>
        <v>-784827.20179997815</v>
      </c>
      <c r="DA41">
        <f t="shared" si="15"/>
        <v>-48.155000000000001</v>
      </c>
      <c r="DB41">
        <f>IF(BC41&lt;&gt;-999,BC41*$DA41, -999)</f>
        <v>-476808.81555528153</v>
      </c>
      <c r="DC41">
        <f>IF(BD41&lt;&gt;-999,BD41*$DA41, -999)</f>
        <v>-999</v>
      </c>
      <c r="DD41" s="27">
        <f>IF(BE41&lt;&gt;-999,BE41*$DA41, -999)</f>
        <v>-476808.81555528153</v>
      </c>
      <c r="DE41">
        <f t="shared" si="16"/>
        <v>-52.227000000000004</v>
      </c>
      <c r="DF41">
        <f>IF(BF41&lt;&gt;-999,BF41*$DE41, -999)</f>
        <v>-568805.91307847737</v>
      </c>
      <c r="DG41">
        <f>IF(BG41&lt;&gt;-999,BG41*$DE41, -999)</f>
        <v>-999</v>
      </c>
      <c r="DH41" s="27">
        <f>IF(BH41&lt;&gt;-999,BH41*$DE41, -999)</f>
        <v>-568805.91307847737</v>
      </c>
      <c r="DI41">
        <f t="shared" si="17"/>
        <v>-60.94</v>
      </c>
      <c r="DJ41">
        <f>IF(BI41&lt;&gt;-999,BI41*$DI41, -999)</f>
        <v>-1325887.4012307641</v>
      </c>
      <c r="DK41">
        <f>IF(BJ41&lt;&gt;-999,BJ41*$DI41, -999)</f>
        <v>-999</v>
      </c>
      <c r="DL41" s="27">
        <f>IF(BK41&lt;&gt;-999,BK41*$DI41, -999)</f>
        <v>-1325887.4012307641</v>
      </c>
      <c r="DM41" s="28">
        <f t="shared" si="18"/>
        <v>-3933549.3692186107</v>
      </c>
      <c r="DN41" s="22">
        <f t="shared" si="19"/>
        <v>-17.170000000000002</v>
      </c>
      <c r="DO41">
        <f>IF(AT41&lt;&gt;-999,AT41*$DN41, -999)</f>
        <v>-153011.40621830049</v>
      </c>
      <c r="DP41">
        <f>IF(AU41&lt;&gt;-999,AU41*$DN41, -999)</f>
        <v>-999</v>
      </c>
      <c r="DQ41" s="24">
        <f>IF(AV41&lt;&gt;-999,AV41*$DN41, -999)</f>
        <v>-153011.40621830049</v>
      </c>
      <c r="DR41">
        <f t="shared" si="20"/>
        <v>-19.943000000000001</v>
      </c>
      <c r="DS41">
        <f>IF(AW41&lt;&gt;-999,AW41*$DR41, -999)</f>
        <v>-195481.18879173542</v>
      </c>
      <c r="DT41">
        <f>IF(AX41&lt;&gt;-999,AX41*$DR41, -999)</f>
        <v>-999</v>
      </c>
      <c r="DU41" s="24">
        <f>IF(AY41&lt;&gt;-999,AY41*$DR41, -999)</f>
        <v>-195481.18879173542</v>
      </c>
      <c r="DV41">
        <f t="shared" si="21"/>
        <v>-25.870999999999999</v>
      </c>
      <c r="DW41">
        <f>IF(AZ41&lt;&gt;-999,AZ41*$DV41, -999)</f>
        <v>-506593.42659099883</v>
      </c>
      <c r="DX41">
        <f>IF(BA41&lt;&gt;-999,BA41*$DV41, -999)</f>
        <v>-999</v>
      </c>
      <c r="DY41" s="24">
        <f>IF(BB41&lt;&gt;-999,BB41*$DV41, -999)</f>
        <v>-506593.42659099883</v>
      </c>
      <c r="DZ41">
        <f t="shared" si="22"/>
        <v>-25.245000000000001</v>
      </c>
      <c r="EA41">
        <f>IF(BC41&lt;&gt;-999, BC41*$DZ41, -999)</f>
        <v>-249964.4595305385</v>
      </c>
      <c r="EB41">
        <f>IF(BD41&lt;&gt;-999, BD41*$DZ41, -999)</f>
        <v>-999</v>
      </c>
      <c r="EC41" s="24">
        <f>IF(BE41&lt;&gt;-999, BE41*$DZ41, -999)</f>
        <v>-249964.4595305385</v>
      </c>
      <c r="ED41">
        <f t="shared" si="23"/>
        <v>-29.317</v>
      </c>
      <c r="EE41">
        <f>IF(BF41&lt;&gt;-999,BF41*$ED41, -999)</f>
        <v>-319292.37661978905</v>
      </c>
      <c r="EF41">
        <f>IF(BG41&lt;&gt;-999,BG41*$ED41, -999)</f>
        <v>-999</v>
      </c>
      <c r="EG41" s="24">
        <f>IF(BH41&lt;&gt;-999,BH41*$ED41, -999)</f>
        <v>-319292.37661978905</v>
      </c>
      <c r="EH41">
        <f t="shared" si="24"/>
        <v>-38.03</v>
      </c>
      <c r="EI41">
        <f>IF(BI41&lt;&gt;-999,BI41*$EH41, -999)</f>
        <v>-827428.58334108908</v>
      </c>
      <c r="EJ41">
        <f>IF(BJ41&lt;&gt;-999,BJ41*$EH41, -999)</f>
        <v>-999</v>
      </c>
      <c r="EK41" s="24">
        <f>IF(BK41&lt;&gt;-999,BK41*$EH41, -999)</f>
        <v>-827428.58334108908</v>
      </c>
      <c r="EL41" s="28">
        <f t="shared" si="25"/>
        <v>-2251771.4410924511</v>
      </c>
      <c r="EM41" s="22">
        <f>-17.17-(0.1023*G41)+H41*(100+102.093-66.644-64.243)</f>
        <v>32.907046868713579</v>
      </c>
      <c r="EN41">
        <f>IF(AT41&lt;&gt;-999,AT41*$EM41, -999)</f>
        <v>293252.97122151346</v>
      </c>
      <c r="EO41">
        <f>IF(AU41&lt;&gt;-999,AU41*$EM41, -999)</f>
        <v>-999</v>
      </c>
      <c r="EP41" s="23">
        <f>IF(AV41&lt;&gt;-999,AV41*$EM41, -999)</f>
        <v>293252.97122151346</v>
      </c>
      <c r="EQ41">
        <f>-19.943-(0.1023*G41)+H41*(100+102.093-66.644-64.243)</f>
        <v>30.134046868713583</v>
      </c>
      <c r="ER41">
        <f>IF(AW41&lt;&gt;-999,AW41*$EQ41, -999)</f>
        <v>295373.78052459523</v>
      </c>
      <c r="ES41">
        <f>IF(AX41&lt;&gt;-999,AX41*$EQ41, -999)</f>
        <v>-999</v>
      </c>
      <c r="ET41" s="23">
        <f>IF(AY41&lt;&gt;-999,AY41*$EQ41, -999)</f>
        <v>295373.78052459523</v>
      </c>
      <c r="EU41">
        <f>-25.871-(0.1023*G41)+H41*(100+102.093-66.644-64.243)</f>
        <v>24.206046868713585</v>
      </c>
      <c r="EV41">
        <f>IF(AZ41&lt;&gt;-999,AZ41*$EU41, -999)</f>
        <v>473991.11852823367</v>
      </c>
      <c r="EW41">
        <f>IF(BA41&lt;&gt;-999,BA41*$EU41, -999)</f>
        <v>-999</v>
      </c>
      <c r="EX41" s="23">
        <f>IF(BB41&lt;&gt;-999,BB41*$EU41, -999)</f>
        <v>473991.11852823367</v>
      </c>
      <c r="EY41">
        <f>-25.245-(0.1023*G41)+H41*(100+102.093-66.644-64.243)</f>
        <v>24.832046868713583</v>
      </c>
      <c r="EZ41">
        <f>IF(BC41&lt;&gt;-999, BC41*$EY41, -999)</f>
        <v>245875.58623786856</v>
      </c>
      <c r="FA41">
        <f>IF(BD41&lt;&gt;-999, BD41*$EY41, -999)</f>
        <v>-999</v>
      </c>
      <c r="FB41" s="23">
        <f>IF(BE41&lt;&gt;-999, BE41*$EY41, -999)</f>
        <v>245875.58623786856</v>
      </c>
      <c r="FC41">
        <f>-29.317-(0.1023*G41)+H41*(100+102.093-66.644-64.243)</f>
        <v>20.76004686871358</v>
      </c>
      <c r="FD41">
        <f>IF(BF41&lt;&gt;-999,BF41*$FC41, -999)</f>
        <v>226098.32873246813</v>
      </c>
      <c r="FE41">
        <f>IF(BG41&lt;&gt;-999,BG41*$FC41, -999)</f>
        <v>-999</v>
      </c>
      <c r="FF41" s="23">
        <f>IF(BH41&lt;&gt;-999,BH41*$FC41, -999)</f>
        <v>226098.32873246813</v>
      </c>
      <c r="FG41">
        <f>-38.03-(0.1023*G41)+H41*(100+102.093-66.644-64.243)</f>
        <v>12.047046868713579</v>
      </c>
      <c r="FH41">
        <f>IF(BI41&lt;&gt;-999,BI41*$FG41, -999)</f>
        <v>262110.72637453009</v>
      </c>
      <c r="FI41">
        <f>IF(BJ41&lt;&gt;-999,BJ41*$FG41, -999)</f>
        <v>-999</v>
      </c>
      <c r="FJ41" s="23">
        <f>IF(BK41&lt;&gt;-999,BK41*$FG41, -999)</f>
        <v>262110.72637453009</v>
      </c>
      <c r="FK41" s="28">
        <f t="shared" si="26"/>
        <v>1796702.5116192091</v>
      </c>
      <c r="FL41" s="22">
        <f t="shared" si="28"/>
        <v>10.012280000000011</v>
      </c>
      <c r="FM41">
        <f>IF(AT41&lt;&gt;-999,AT41*$FL41, -999)</f>
        <v>89224.987900487307</v>
      </c>
      <c r="FN41">
        <f>IF(AU41&lt;&gt;-999,AU41*$FL41, -999)</f>
        <v>-999</v>
      </c>
      <c r="FO41" s="29">
        <f>IF(AV41&lt;&gt;-999,AV41*$FL41, -999)</f>
        <v>89224.987900487307</v>
      </c>
      <c r="FP41">
        <f t="shared" si="29"/>
        <v>7.2392800000000115</v>
      </c>
      <c r="FQ41">
        <f>IF(AW41&lt;&gt;-999,AW41*$FP41, -999)</f>
        <v>70959.387273541419</v>
      </c>
      <c r="FR41">
        <f>IF(AX41&lt;&gt;-999,AX41*$FP41, -999)</f>
        <v>-999</v>
      </c>
      <c r="FS41" s="29">
        <f>IF(AY41&lt;&gt;-999,AY41*$FP41, -999)</f>
        <v>70959.387273541419</v>
      </c>
      <c r="FT41">
        <f t="shared" si="30"/>
        <v>1.3112800000000142</v>
      </c>
      <c r="FU41">
        <f>IF(AZ41&lt;&gt;-999,AZ41*$FT41, -999)</f>
        <v>25676.851626154854</v>
      </c>
      <c r="FV41">
        <f>IF(BA41&lt;&gt;-999,BA41*$FT41, -999)</f>
        <v>-999</v>
      </c>
      <c r="FW41" s="29">
        <f>IF(BB41&lt;&gt;-999,BB41*$FT41, -999)</f>
        <v>25676.851626154854</v>
      </c>
      <c r="FX41">
        <f t="shared" si="31"/>
        <v>1.9372800000000119</v>
      </c>
      <c r="FY41">
        <f>IF(BC41&lt;&gt;-999, BC41*$FX41, -999)</f>
        <v>19182.061721502261</v>
      </c>
      <c r="FZ41">
        <f>IF(BD41&lt;&gt;-999, BD41*$FX41, -999)</f>
        <v>-999</v>
      </c>
      <c r="GA41" s="29">
        <f>IF(BE41&lt;&gt;-999, BE41*$FX41, -999)</f>
        <v>19182.061721502261</v>
      </c>
      <c r="GB41">
        <f t="shared" si="32"/>
        <v>-2.1347199999999873</v>
      </c>
      <c r="GC41">
        <f>IF(BF41&lt;&gt;-999,BF41*$GB41, -999)</f>
        <v>-23249.303210348669</v>
      </c>
      <c r="GD41">
        <f>IF(BG41&lt;&gt;-999,BG41*$GB41, -999)</f>
        <v>-999</v>
      </c>
      <c r="GE41" s="29">
        <f>IF(BH41&lt;&gt;-999,BH41*$GB41, -999)</f>
        <v>-23249.303210348669</v>
      </c>
      <c r="GF41">
        <f t="shared" si="33"/>
        <v>-10.847719999999988</v>
      </c>
      <c r="GG41">
        <f>IF(BI41&lt;&gt;-999,BI41*$GF41, -999)</f>
        <v>-236016.66032292371</v>
      </c>
      <c r="GH41">
        <f>IF(BJ41&lt;&gt;-999,BJ41*$GF41, -999)</f>
        <v>-999</v>
      </c>
      <c r="GI41" s="29">
        <f>IF(BK41&lt;&gt;-999,BK41*$GF41, -999)</f>
        <v>-236016.66032292371</v>
      </c>
      <c r="GJ41" s="30">
        <f t="shared" si="27"/>
        <v>-54222.675011586543</v>
      </c>
    </row>
    <row r="42" spans="1:192">
      <c r="A42" s="48" t="s">
        <v>138</v>
      </c>
      <c r="B42" s="48" t="s">
        <v>181</v>
      </c>
      <c r="C42" s="49">
        <v>49</v>
      </c>
      <c r="D42" s="50">
        <v>0.92800000000000005</v>
      </c>
      <c r="E42" s="49">
        <v>109.824727134113</v>
      </c>
      <c r="F42" s="49">
        <v>0.78878282009009304</v>
      </c>
      <c r="G42" s="49">
        <v>130.16380350069599</v>
      </c>
      <c r="H42" s="49">
        <v>0.81423632702420001</v>
      </c>
      <c r="I42" s="42">
        <v>10043.1</v>
      </c>
      <c r="J42" s="43">
        <v>-999</v>
      </c>
      <c r="K42" s="43">
        <f t="shared" si="0"/>
        <v>10043.1</v>
      </c>
      <c r="L42" s="43">
        <v>8813.9</v>
      </c>
      <c r="M42" s="43">
        <v>-999</v>
      </c>
      <c r="N42" s="43">
        <f t="shared" si="1"/>
        <v>8813.9</v>
      </c>
      <c r="O42" s="43">
        <v>5816.3</v>
      </c>
      <c r="P42" s="43">
        <v>-999</v>
      </c>
      <c r="Q42" s="43">
        <f t="shared" si="2"/>
        <v>5816.3</v>
      </c>
      <c r="R42" s="43">
        <v>5744.2</v>
      </c>
      <c r="S42" s="43">
        <v>-999</v>
      </c>
      <c r="T42" s="43">
        <f t="shared" si="3"/>
        <v>5744.2</v>
      </c>
      <c r="U42" s="43">
        <v>5041.1000000000004</v>
      </c>
      <c r="V42" s="43">
        <v>-999</v>
      </c>
      <c r="W42" s="43">
        <f t="shared" si="4"/>
        <v>5041.1000000000004</v>
      </c>
      <c r="X42" s="43">
        <v>3326.6</v>
      </c>
      <c r="Y42" s="43">
        <v>-999</v>
      </c>
      <c r="Z42" s="43">
        <f t="shared" si="5"/>
        <v>3326.6</v>
      </c>
      <c r="AA42" s="22">
        <v>178320.1</v>
      </c>
      <c r="AB42">
        <v>-999</v>
      </c>
      <c r="AC42">
        <v>178320.1</v>
      </c>
      <c r="AD42">
        <v>156493.9</v>
      </c>
      <c r="AE42">
        <v>-999</v>
      </c>
      <c r="AF42">
        <v>156493.9</v>
      </c>
      <c r="AG42">
        <v>103269.9</v>
      </c>
      <c r="AH42">
        <v>-999</v>
      </c>
      <c r="AI42">
        <v>103269.9</v>
      </c>
      <c r="AJ42">
        <v>101989.7</v>
      </c>
      <c r="AK42">
        <v>-999</v>
      </c>
      <c r="AL42">
        <v>101989.7</v>
      </c>
      <c r="AM42">
        <v>89506.3</v>
      </c>
      <c r="AN42">
        <v>-999</v>
      </c>
      <c r="AO42">
        <v>89506.3</v>
      </c>
      <c r="AP42">
        <v>59065</v>
      </c>
      <c r="AQ42">
        <v>-999</v>
      </c>
      <c r="AR42">
        <v>59065</v>
      </c>
      <c r="AS42">
        <v>688644.94</v>
      </c>
      <c r="AT42" s="22">
        <f t="shared" si="36"/>
        <v>296846.70205044752</v>
      </c>
      <c r="AU42">
        <f t="shared" si="36"/>
        <v>-999</v>
      </c>
      <c r="AV42">
        <f t="shared" si="36"/>
        <v>296846.70205044752</v>
      </c>
      <c r="AW42">
        <f t="shared" si="36"/>
        <v>260512.96576220251</v>
      </c>
      <c r="AX42">
        <f t="shared" si="36"/>
        <v>-999</v>
      </c>
      <c r="AY42">
        <f t="shared" si="36"/>
        <v>260512.96576220251</v>
      </c>
      <c r="AZ42">
        <f t="shared" si="36"/>
        <v>171911.79926480251</v>
      </c>
      <c r="BA42">
        <f t="shared" si="36"/>
        <v>-999</v>
      </c>
      <c r="BB42">
        <f t="shared" si="36"/>
        <v>171911.79926480251</v>
      </c>
      <c r="BC42">
        <f t="shared" si="36"/>
        <v>169780.6701999075</v>
      </c>
      <c r="BD42">
        <f t="shared" si="36"/>
        <v>-999</v>
      </c>
      <c r="BE42">
        <f t="shared" si="36"/>
        <v>169780.6701999075</v>
      </c>
      <c r="BF42">
        <f t="shared" si="36"/>
        <v>148999.7480246925</v>
      </c>
      <c r="BG42">
        <f t="shared" si="36"/>
        <v>-999</v>
      </c>
      <c r="BH42">
        <f t="shared" si="36"/>
        <v>148999.7480246925</v>
      </c>
      <c r="BI42">
        <f t="shared" si="35"/>
        <v>98324.588515875002</v>
      </c>
      <c r="BJ42">
        <f t="shared" si="35"/>
        <v>-999</v>
      </c>
      <c r="BK42">
        <f t="shared" si="35"/>
        <v>98324.588515875002</v>
      </c>
      <c r="BL42">
        <f t="shared" si="35"/>
        <v>1146376.5404053063</v>
      </c>
      <c r="BM42" s="22">
        <f>-17.17-(0.1023*E42)+F42*(100-8.576-13.681)</f>
        <v>32.917273196444349</v>
      </c>
      <c r="BN42">
        <f>IF(AT42&lt;&gt;-999,AT42*$BM42, -999)</f>
        <v>9771383.9888580982</v>
      </c>
      <c r="BO42">
        <f>IF(AU42&lt;&gt;-999,AU42*$BM42, -999)</f>
        <v>-999</v>
      </c>
      <c r="BP42" s="25">
        <f>IF(AV42&lt;&gt;-999,AV42*$BM42, -999)</f>
        <v>9771383.9888580982</v>
      </c>
      <c r="BQ42">
        <f>-19.943-(0.1023*E42)+F42*(100-8.576-13.681)</f>
        <v>30.144273196444345</v>
      </c>
      <c r="BR42">
        <f>IF(AW42&lt;&gt;-999,AW42*$BQ42, -999)</f>
        <v>7852974.011151785</v>
      </c>
      <c r="BS42">
        <f>IF(AX42&lt;&gt;-999,AX42*$BQ42, -999)</f>
        <v>-999</v>
      </c>
      <c r="BT42" s="25">
        <f>IF(AY42&lt;&gt;-999,AY42*$BQ42, -999)</f>
        <v>7852974.011151785</v>
      </c>
      <c r="BU42">
        <f>-25.871-(0.1023*E42)+F42*(100-8.576-13.681)</f>
        <v>24.216273196444348</v>
      </c>
      <c r="BV42">
        <f>IF(AZ42&lt;&gt;-999,AZ42*$BU42, -999)</f>
        <v>4163063.0966887581</v>
      </c>
      <c r="BW42">
        <f>IF(BA42&lt;&gt;-999,BA42*$BU42, -999)</f>
        <v>-999</v>
      </c>
      <c r="BX42" s="25">
        <f>IF(BB42&lt;&gt;-999,BB42*$BU42, -999)</f>
        <v>4163063.0966887581</v>
      </c>
      <c r="BY42">
        <f>-25.245-(0.1023*E42)+F42*(100-8.576-13.681)</f>
        <v>24.842273196444346</v>
      </c>
      <c r="BZ42">
        <f>IF(BC42&lt;&gt;-999,BC42*$BY42, -999)</f>
        <v>4217737.7925815191</v>
      </c>
      <c r="CA42">
        <f>IF(BD42&lt;&gt;-999,BD42*$BY42, -999)</f>
        <v>-999</v>
      </c>
      <c r="CB42" s="25">
        <f>IF(BE42&lt;&gt;-999,BE42*$BY42, -999)</f>
        <v>4217737.7925815191</v>
      </c>
      <c r="CC42">
        <f>-29.317-(0.1023*E42)+F42*(100-8.576-13.681)</f>
        <v>20.77027319644435</v>
      </c>
      <c r="CD42">
        <f>IF(BF42&lt;&gt;-999,BF42*$CC42, -999)</f>
        <v>3094765.4726742324</v>
      </c>
      <c r="CE42">
        <f>IF(BG42&lt;&gt;-999,BG42*$CC42, -999)</f>
        <v>-999</v>
      </c>
      <c r="CF42" s="25">
        <f>IF(BH42&lt;&gt;-999,BH42*$CC42, -999)</f>
        <v>3094765.4726742324</v>
      </c>
      <c r="CG42">
        <f>-38.03-(0.1023*E42)+F42*(100-8.576-13.681)</f>
        <v>12.057273196444349</v>
      </c>
      <c r="CH42">
        <f>IF(BI42&lt;&gt;-999,BI42*$CG42, -999)</f>
        <v>1185526.4256638796</v>
      </c>
      <c r="CI42">
        <f>IF(BJ42&lt;&gt;-999,BJ42*$CG42, -999)</f>
        <v>-999</v>
      </c>
      <c r="CJ42" s="25">
        <f>IF(BK42&lt;&gt;-999,BK42*$CG42, -999)</f>
        <v>1185526.4256638796</v>
      </c>
      <c r="CK42" s="26">
        <f t="shared" si="8"/>
        <v>30285450.787618276</v>
      </c>
      <c r="CL42">
        <f t="shared" si="9"/>
        <v>-34.27304766139212</v>
      </c>
      <c r="CM42">
        <f t="shared" si="10"/>
        <v>23.341036776716429</v>
      </c>
      <c r="CN42">
        <f t="shared" si="11"/>
        <v>-90.891927868365983</v>
      </c>
      <c r="CO42" s="22">
        <f t="shared" si="12"/>
        <v>-40.08</v>
      </c>
      <c r="CP42">
        <f>IF(AT42&lt;&gt;-999,AT42*$CO42, -999)</f>
        <v>-11897615.818181936</v>
      </c>
      <c r="CQ42">
        <f>IF(AU42&lt;&gt;-999,AU42*$CO42, -999)</f>
        <v>-999</v>
      </c>
      <c r="CR42" s="27">
        <f>IF(AV42&lt;&gt;-999,AV42*$CO42, -999)</f>
        <v>-11897615.818181936</v>
      </c>
      <c r="CS42">
        <f t="shared" si="13"/>
        <v>-42.853000000000002</v>
      </c>
      <c r="CT42">
        <f>IF(AW42&lt;&gt;-999,AW42*$CS42, -999)</f>
        <v>-11163762.121807665</v>
      </c>
      <c r="CU42">
        <f>IF(AX42&lt;&gt;-999,AX42*$CS42, -999)</f>
        <v>-999</v>
      </c>
      <c r="CV42" s="27">
        <f>IF(AY42&lt;&gt;-999,AY42*$CS42, -999)</f>
        <v>-11163762.121807665</v>
      </c>
      <c r="CW42">
        <f t="shared" si="14"/>
        <v>-48.780999999999999</v>
      </c>
      <c r="CX42">
        <f>IF(AZ42&lt;&gt;-999,AZ42*$CO42, -999)</f>
        <v>-6890224.9145332845</v>
      </c>
      <c r="CY42">
        <f>IF(BA42&lt;&gt;-999,BA42*$CO42, -999)</f>
        <v>-999</v>
      </c>
      <c r="CZ42" s="27">
        <f>IF(BB42&lt;&gt;-999,BB42*$CO42, -999)</f>
        <v>-6890224.9145332845</v>
      </c>
      <c r="DA42">
        <f t="shared" si="15"/>
        <v>-48.155000000000001</v>
      </c>
      <c r="DB42">
        <f>IF(BC42&lt;&gt;-999,BC42*$DA42, -999)</f>
        <v>-8175788.1734765461</v>
      </c>
      <c r="DC42">
        <f>IF(BD42&lt;&gt;-999,BD42*$DA42, -999)</f>
        <v>-999</v>
      </c>
      <c r="DD42" s="27">
        <f>IF(BE42&lt;&gt;-999,BE42*$DA42, -999)</f>
        <v>-8175788.1734765461</v>
      </c>
      <c r="DE42">
        <f t="shared" si="16"/>
        <v>-52.227000000000004</v>
      </c>
      <c r="DF42">
        <f>IF(BF42&lt;&gt;-999,BF42*$DE42, -999)</f>
        <v>-7781809.8400856154</v>
      </c>
      <c r="DG42">
        <f>IF(BG42&lt;&gt;-999,BG42*$DE42, -999)</f>
        <v>-999</v>
      </c>
      <c r="DH42" s="27">
        <f>IF(BH42&lt;&gt;-999,BH42*$DE42, -999)</f>
        <v>-7781809.8400856154</v>
      </c>
      <c r="DI42">
        <f t="shared" si="17"/>
        <v>-60.94</v>
      </c>
      <c r="DJ42">
        <f>IF(BI42&lt;&gt;-999,BI42*$DI42, -999)</f>
        <v>-5991900.424157422</v>
      </c>
      <c r="DK42">
        <f>IF(BJ42&lt;&gt;-999,BJ42*$DI42, -999)</f>
        <v>-999</v>
      </c>
      <c r="DL42" s="27">
        <f>IF(BK42&lt;&gt;-999,BK42*$DI42, -999)</f>
        <v>-5991900.424157422</v>
      </c>
      <c r="DM42" s="28">
        <f t="shared" si="18"/>
        <v>-51901101.292242467</v>
      </c>
      <c r="DN42" s="22">
        <f t="shared" si="19"/>
        <v>-17.170000000000002</v>
      </c>
      <c r="DO42">
        <f>IF(AT42&lt;&gt;-999,AT42*$DN42, -999)</f>
        <v>-5096857.8742061844</v>
      </c>
      <c r="DP42">
        <f>IF(AU42&lt;&gt;-999,AU42*$DN42, -999)</f>
        <v>-999</v>
      </c>
      <c r="DQ42" s="24">
        <f>IF(AV42&lt;&gt;-999,AV42*$DN42, -999)</f>
        <v>-5096857.8742061844</v>
      </c>
      <c r="DR42">
        <f t="shared" si="20"/>
        <v>-19.943000000000001</v>
      </c>
      <c r="DS42">
        <f>IF(AW42&lt;&gt;-999,AW42*$DR42, -999)</f>
        <v>-5195410.0761956051</v>
      </c>
      <c r="DT42">
        <f>IF(AX42&lt;&gt;-999,AX42*$DR42, -999)</f>
        <v>-999</v>
      </c>
      <c r="DU42" s="24">
        <f>IF(AY42&lt;&gt;-999,AY42*$DR42, -999)</f>
        <v>-5195410.0761956051</v>
      </c>
      <c r="DV42">
        <f t="shared" si="21"/>
        <v>-25.870999999999999</v>
      </c>
      <c r="DW42">
        <f>IF(AZ42&lt;&gt;-999,AZ42*$DV42, -999)</f>
        <v>-4447530.1587797059</v>
      </c>
      <c r="DX42">
        <f>IF(BA42&lt;&gt;-999,BA42*$DV42, -999)</f>
        <v>-999</v>
      </c>
      <c r="DY42" s="24">
        <f>IF(BB42&lt;&gt;-999,BB42*$DV42, -999)</f>
        <v>-4447530.1587797059</v>
      </c>
      <c r="DZ42">
        <f t="shared" si="22"/>
        <v>-25.245000000000001</v>
      </c>
      <c r="EA42">
        <f>IF(BC42&lt;&gt;-999, BC42*$DZ42, -999)</f>
        <v>-4286113.0191966649</v>
      </c>
      <c r="EB42">
        <f>IF(BD42&lt;&gt;-999, BD42*$DZ42, -999)</f>
        <v>-999</v>
      </c>
      <c r="EC42" s="24">
        <f>IF(BE42&lt;&gt;-999, BE42*$DZ42, -999)</f>
        <v>-4286113.0191966649</v>
      </c>
      <c r="ED42">
        <f t="shared" si="23"/>
        <v>-29.317</v>
      </c>
      <c r="EE42">
        <f>IF(BF42&lt;&gt;-999,BF42*$ED42, -999)</f>
        <v>-4368225.6128399102</v>
      </c>
      <c r="EF42">
        <f>IF(BG42&lt;&gt;-999,BG42*$ED42, -999)</f>
        <v>-999</v>
      </c>
      <c r="EG42" s="24">
        <f>IF(BH42&lt;&gt;-999,BH42*$ED42, -999)</f>
        <v>-4368225.6128399102</v>
      </c>
      <c r="EH42">
        <f t="shared" si="24"/>
        <v>-38.03</v>
      </c>
      <c r="EI42">
        <f>IF(BI42&lt;&gt;-999,BI42*$EH42, -999)</f>
        <v>-3739284.1012587263</v>
      </c>
      <c r="EJ42">
        <f>IF(BJ42&lt;&gt;-999,BJ42*$EH42, -999)</f>
        <v>-999</v>
      </c>
      <c r="EK42" s="24">
        <f>IF(BK42&lt;&gt;-999,BK42*$EH42, -999)</f>
        <v>-3739284.1012587263</v>
      </c>
      <c r="EL42" s="28">
        <f t="shared" si="25"/>
        <v>-27133420.842476796</v>
      </c>
      <c r="EM42" s="22">
        <f>-17.17-(0.1023*G42)+H42*(100+102.093-66.644-64.243)</f>
        <v>27.492754803964001</v>
      </c>
      <c r="EN42">
        <f>IF(AT42&lt;&gt;-999,AT42*$EM42, -999)</f>
        <v>8161133.5938383117</v>
      </c>
      <c r="EO42">
        <f>IF(AU42&lt;&gt;-999,AU42*$EM42, -999)</f>
        <v>-999</v>
      </c>
      <c r="EP42" s="23">
        <f>IF(AV42&lt;&gt;-999,AV42*$EM42, -999)</f>
        <v>8161133.5938383117</v>
      </c>
      <c r="EQ42">
        <f>-19.943-(0.1023*G42)+H42*(100+102.093-66.644-64.243)</f>
        <v>24.719754803964001</v>
      </c>
      <c r="ER42">
        <f>IF(AW42&lt;&gt;-999,AW42*$EQ42, -999)</f>
        <v>6439816.6368951146</v>
      </c>
      <c r="ES42">
        <f>IF(AX42&lt;&gt;-999,AX42*$EQ42, -999)</f>
        <v>-999</v>
      </c>
      <c r="ET42" s="23">
        <f>IF(AY42&lt;&gt;-999,AY42*$EQ42, -999)</f>
        <v>6439816.6368951146</v>
      </c>
      <c r="EU42">
        <f>-25.871-(0.1023*G42)+H42*(100+102.093-66.644-64.243)</f>
        <v>18.791754803964004</v>
      </c>
      <c r="EV42">
        <f>IF(AZ42&lt;&gt;-999,AZ42*$EU42, -999)</f>
        <v>3230524.3796924483</v>
      </c>
      <c r="EW42">
        <f>IF(BA42&lt;&gt;-999,BA42*$EU42, -999)</f>
        <v>-999</v>
      </c>
      <c r="EX42" s="23">
        <f>IF(BB42&lt;&gt;-999,BB42*$EU42, -999)</f>
        <v>3230524.3796924483</v>
      </c>
      <c r="EY42">
        <f>-25.245-(0.1023*G42)+H42*(100+102.093-66.644-64.243)</f>
        <v>19.417754803964002</v>
      </c>
      <c r="EZ42">
        <f>IF(BC42&lt;&gt;-999, BC42*$EY42, -999)</f>
        <v>3296759.4243944818</v>
      </c>
      <c r="FA42">
        <f>IF(BD42&lt;&gt;-999, BD42*$EY42, -999)</f>
        <v>-999</v>
      </c>
      <c r="FB42" s="23">
        <f>IF(BE42&lt;&gt;-999, BE42*$EY42, -999)</f>
        <v>3296759.4243944818</v>
      </c>
      <c r="FC42">
        <f>-29.317-(0.1023*G42)+H42*(100+102.093-66.644-64.243)</f>
        <v>15.345754803963999</v>
      </c>
      <c r="FD42">
        <f>IF(BF42&lt;&gt;-999,BF42*$FC42, -999)</f>
        <v>2286513.5990393502</v>
      </c>
      <c r="FE42">
        <f>IF(BG42&lt;&gt;-999,BG42*$FC42, -999)</f>
        <v>-999</v>
      </c>
      <c r="FF42" s="23">
        <f>IF(BH42&lt;&gt;-999,BH42*$FC42, -999)</f>
        <v>2286513.5990393502</v>
      </c>
      <c r="FG42">
        <f>-38.03-(0.1023*G42)+H42*(100+102.093-66.644-64.243)</f>
        <v>6.632754803964005</v>
      </c>
      <c r="FH42">
        <f>IF(BI42&lt;&gt;-999,BI42*$FG42, -999)</f>
        <v>652162.88682645396</v>
      </c>
      <c r="FI42">
        <f>IF(BJ42&lt;&gt;-999,BJ42*$FG42, -999)</f>
        <v>-999</v>
      </c>
      <c r="FJ42" s="23">
        <f>IF(BK42&lt;&gt;-999,BK42*$FG42, -999)</f>
        <v>652162.88682645396</v>
      </c>
      <c r="FK42" s="28">
        <f t="shared" si="26"/>
        <v>24066910.520686161</v>
      </c>
      <c r="FL42" s="22">
        <f t="shared" si="28"/>
        <v>10.012280000000011</v>
      </c>
      <c r="FM42">
        <f>IF(AT42&lt;&gt;-999,AT42*$FL42, -999)</f>
        <v>2972112.2980056582</v>
      </c>
      <c r="FN42">
        <f>IF(AU42&lt;&gt;-999,AU42*$FL42, -999)</f>
        <v>-999</v>
      </c>
      <c r="FO42" s="29">
        <f>IF(AV42&lt;&gt;-999,AV42*$FL42, -999)</f>
        <v>2972112.2980056582</v>
      </c>
      <c r="FP42">
        <f t="shared" si="29"/>
        <v>7.2392800000000115</v>
      </c>
      <c r="FQ42">
        <f>IF(AW42&lt;&gt;-999,AW42*$FP42, -999)</f>
        <v>1885926.3027830003</v>
      </c>
      <c r="FR42">
        <f>IF(AX42&lt;&gt;-999,AX42*$FP42, -999)</f>
        <v>-999</v>
      </c>
      <c r="FS42" s="29">
        <f>IF(AY42&lt;&gt;-999,AY42*$FP42, -999)</f>
        <v>1885926.3027830003</v>
      </c>
      <c r="FT42">
        <f t="shared" si="30"/>
        <v>1.3112800000000142</v>
      </c>
      <c r="FU42">
        <f>IF(AZ42&lt;&gt;-999,AZ42*$FT42, -999)</f>
        <v>225424.50413995268</v>
      </c>
      <c r="FV42">
        <f>IF(BA42&lt;&gt;-999,BA42*$FT42, -999)</f>
        <v>-999</v>
      </c>
      <c r="FW42" s="29">
        <f>IF(BB42&lt;&gt;-999,BB42*$FT42, -999)</f>
        <v>225424.50413995268</v>
      </c>
      <c r="FX42">
        <f t="shared" si="31"/>
        <v>1.9372800000000119</v>
      </c>
      <c r="FY42">
        <f>IF(BC42&lt;&gt;-999, BC42*$FX42, -999)</f>
        <v>328912.69676487881</v>
      </c>
      <c r="FZ42">
        <f>IF(BD42&lt;&gt;-999, BD42*$FX42, -999)</f>
        <v>-999</v>
      </c>
      <c r="GA42" s="29">
        <f>IF(BE42&lt;&gt;-999, BE42*$FX42, -999)</f>
        <v>328912.69676487881</v>
      </c>
      <c r="GB42">
        <f t="shared" si="32"/>
        <v>-2.1347199999999873</v>
      </c>
      <c r="GC42">
        <f>IF(BF42&lt;&gt;-999,BF42*$GB42, -999)</f>
        <v>-318072.74210326967</v>
      </c>
      <c r="GD42">
        <f>IF(BG42&lt;&gt;-999,BG42*$GB42, -999)</f>
        <v>-999</v>
      </c>
      <c r="GE42" s="29">
        <f>IF(BH42&lt;&gt;-999,BH42*$GB42, -999)</f>
        <v>-318072.74210326967</v>
      </c>
      <c r="GF42">
        <f t="shared" si="33"/>
        <v>-10.847719999999988</v>
      </c>
      <c r="GG42">
        <f>IF(BI42&lt;&gt;-999,BI42*$GF42, -999)</f>
        <v>-1066597.6053354265</v>
      </c>
      <c r="GH42">
        <f>IF(BJ42&lt;&gt;-999,BJ42*$GF42, -999)</f>
        <v>-999</v>
      </c>
      <c r="GI42" s="29">
        <f>IF(BK42&lt;&gt;-999,BK42*$GF42, -999)</f>
        <v>-1066597.6053354265</v>
      </c>
      <c r="GJ42" s="30">
        <f t="shared" si="27"/>
        <v>4027705.4542547939</v>
      </c>
    </row>
    <row r="43" spans="1:192">
      <c r="A43" s="48" t="s">
        <v>161</v>
      </c>
      <c r="B43" s="48" t="s">
        <v>182</v>
      </c>
      <c r="C43" s="49">
        <v>91</v>
      </c>
      <c r="D43" s="50">
        <v>0.91300000000000003</v>
      </c>
      <c r="E43" s="49">
        <v>98.493701282543697</v>
      </c>
      <c r="F43" s="49">
        <v>0.79352221837599801</v>
      </c>
      <c r="G43" s="49">
        <v>93.707202112668199</v>
      </c>
      <c r="H43" s="49">
        <v>0.81679658526712795</v>
      </c>
      <c r="I43" s="42">
        <v>115215</v>
      </c>
      <c r="J43" s="43">
        <v>-999</v>
      </c>
      <c r="K43" s="43">
        <f t="shared" si="0"/>
        <v>115215</v>
      </c>
      <c r="L43" s="43">
        <v>52887.199999999997</v>
      </c>
      <c r="M43" s="43">
        <v>-999</v>
      </c>
      <c r="N43" s="43">
        <f t="shared" si="1"/>
        <v>52887.199999999997</v>
      </c>
      <c r="O43" s="43">
        <v>68020.399999999994</v>
      </c>
      <c r="P43" s="43">
        <v>-999</v>
      </c>
      <c r="Q43" s="43">
        <f t="shared" si="2"/>
        <v>68020.399999999994</v>
      </c>
      <c r="R43" s="43">
        <v>53259.8</v>
      </c>
      <c r="S43" s="43">
        <v>-999</v>
      </c>
      <c r="T43" s="43">
        <f t="shared" si="3"/>
        <v>53259.8</v>
      </c>
      <c r="U43" s="43">
        <v>24447.9</v>
      </c>
      <c r="V43" s="43">
        <v>-999</v>
      </c>
      <c r="W43" s="43">
        <f t="shared" si="4"/>
        <v>24447.9</v>
      </c>
      <c r="X43" s="43">
        <v>31443.4</v>
      </c>
      <c r="Y43" s="43">
        <v>-999</v>
      </c>
      <c r="Z43" s="43">
        <f t="shared" si="5"/>
        <v>31443.4</v>
      </c>
      <c r="AA43" s="22">
        <v>1173892.1000000001</v>
      </c>
      <c r="AB43">
        <v>-999</v>
      </c>
      <c r="AC43">
        <v>1173892.1000000001</v>
      </c>
      <c r="AD43">
        <v>538852.80000000005</v>
      </c>
      <c r="AE43">
        <v>-999</v>
      </c>
      <c r="AF43">
        <v>538852.80000000005</v>
      </c>
      <c r="AG43">
        <v>693040.4</v>
      </c>
      <c r="AH43">
        <v>-999</v>
      </c>
      <c r="AI43">
        <v>693040.4</v>
      </c>
      <c r="AJ43">
        <v>542648.5</v>
      </c>
      <c r="AK43">
        <v>-999</v>
      </c>
      <c r="AL43">
        <v>542648.5</v>
      </c>
      <c r="AM43">
        <v>249092.4</v>
      </c>
      <c r="AN43">
        <v>-999</v>
      </c>
      <c r="AO43">
        <v>249092.4</v>
      </c>
      <c r="AP43">
        <v>320367.8</v>
      </c>
      <c r="AQ43">
        <v>-999</v>
      </c>
      <c r="AR43">
        <v>320367.8</v>
      </c>
      <c r="AS43">
        <v>3517894.03</v>
      </c>
      <c r="AT43" s="22">
        <f t="shared" si="36"/>
        <v>1954159.9541951476</v>
      </c>
      <c r="AU43">
        <f t="shared" si="36"/>
        <v>-999</v>
      </c>
      <c r="AV43">
        <f t="shared" si="36"/>
        <v>1954159.9541951476</v>
      </c>
      <c r="AW43">
        <f t="shared" si="36"/>
        <v>897019.89047028008</v>
      </c>
      <c r="AX43">
        <f t="shared" si="36"/>
        <v>-999</v>
      </c>
      <c r="AY43">
        <f t="shared" si="36"/>
        <v>897019.89047028008</v>
      </c>
      <c r="AZ43">
        <f t="shared" si="36"/>
        <v>1153693.59442779</v>
      </c>
      <c r="BA43">
        <f t="shared" si="36"/>
        <v>-999</v>
      </c>
      <c r="BB43">
        <f t="shared" si="36"/>
        <v>1153693.59442779</v>
      </c>
      <c r="BC43">
        <f t="shared" si="36"/>
        <v>903338.53333203751</v>
      </c>
      <c r="BD43">
        <f t="shared" si="36"/>
        <v>-999</v>
      </c>
      <c r="BE43">
        <f t="shared" si="36"/>
        <v>903338.53333203751</v>
      </c>
      <c r="BF43">
        <f t="shared" si="36"/>
        <v>414660.25112049002</v>
      </c>
      <c r="BG43">
        <f t="shared" si="36"/>
        <v>-999</v>
      </c>
      <c r="BH43">
        <f t="shared" si="36"/>
        <v>414660.25112049002</v>
      </c>
      <c r="BI43">
        <f t="shared" si="35"/>
        <v>533311.30294990493</v>
      </c>
      <c r="BJ43">
        <f t="shared" si="35"/>
        <v>-999</v>
      </c>
      <c r="BK43">
        <f t="shared" si="35"/>
        <v>533311.30294990493</v>
      </c>
      <c r="BL43">
        <f t="shared" si="35"/>
        <v>5856183.5764361843</v>
      </c>
      <c r="BM43" s="22">
        <f>-17.17-(0.1023*E43)+F43*(100-8.576-13.681)</f>
        <v>34.444892182000999</v>
      </c>
      <c r="BN43">
        <f>IF(AT43&lt;&gt;-999,AT43*$BM43, -999)</f>
        <v>67310828.928635865</v>
      </c>
      <c r="BO43">
        <f>IF(AU43&lt;&gt;-999,AU43*$BM43, -999)</f>
        <v>-999</v>
      </c>
      <c r="BP43" s="25">
        <f>IF(AV43&lt;&gt;-999,AV43*$BM43, -999)</f>
        <v>67310828.928635865</v>
      </c>
      <c r="BQ43">
        <f>-19.943-(0.1023*E43)+F43*(100-8.576-13.681)</f>
        <v>31.671892182001002</v>
      </c>
      <c r="BR43">
        <f>IF(AW43&lt;&gt;-999,AW43*$BQ43, -999)</f>
        <v>28410317.256085061</v>
      </c>
      <c r="BS43">
        <f>IF(AX43&lt;&gt;-999,AX43*$BQ43, -999)</f>
        <v>-999</v>
      </c>
      <c r="BT43" s="25">
        <f>IF(AY43&lt;&gt;-999,AY43*$BQ43, -999)</f>
        <v>28410317.256085061</v>
      </c>
      <c r="BU43">
        <f>-25.871-(0.1023*E43)+F43*(100-8.576-13.681)</f>
        <v>25.743892182001005</v>
      </c>
      <c r="BV43">
        <f>IF(AZ43&lt;&gt;-999,AZ43*$BU43, -999)</f>
        <v>29700563.50601422</v>
      </c>
      <c r="BW43">
        <f>IF(BA43&lt;&gt;-999,BA43*$BU43, -999)</f>
        <v>-999</v>
      </c>
      <c r="BX43" s="25">
        <f>IF(BB43&lt;&gt;-999,BB43*$BU43, -999)</f>
        <v>29700563.50601422</v>
      </c>
      <c r="BY43">
        <f>-25.245-(0.1023*E43)+F43*(100-8.576-13.681)</f>
        <v>26.369892182001003</v>
      </c>
      <c r="BZ43">
        <f>IF(BC43&lt;&gt;-999,BC43*$BY43, -999)</f>
        <v>23820939.727812748</v>
      </c>
      <c r="CA43">
        <f>IF(BD43&lt;&gt;-999,BD43*$BY43, -999)</f>
        <v>-999</v>
      </c>
      <c r="CB43" s="25">
        <f>IF(BE43&lt;&gt;-999,BE43*$BY43, -999)</f>
        <v>23820939.727812748</v>
      </c>
      <c r="CC43">
        <f>-29.317-(0.1023*E43)+F43*(100-8.576-13.681)</f>
        <v>22.297892182001</v>
      </c>
      <c r="CD43">
        <f>IF(BF43&lt;&gt;-999,BF43*$CC43, -999)</f>
        <v>9246049.5716461465</v>
      </c>
      <c r="CE43">
        <f>IF(BG43&lt;&gt;-999,BG43*$CC43, -999)</f>
        <v>-999</v>
      </c>
      <c r="CF43" s="25">
        <f>IF(BH43&lt;&gt;-999,BH43*$CC43, -999)</f>
        <v>9246049.5716461465</v>
      </c>
      <c r="CG43">
        <f>-38.03-(0.1023*E43)+F43*(100-8.576-13.681)</f>
        <v>13.584892182000999</v>
      </c>
      <c r="CH43">
        <f>IF(BI43&lt;&gt;-999,BI43*$CG43, -999)</f>
        <v>7244976.5500169303</v>
      </c>
      <c r="CI43">
        <f>IF(BJ43&lt;&gt;-999,BJ43*$CG43, -999)</f>
        <v>-999</v>
      </c>
      <c r="CJ43" s="25">
        <f>IF(BK43&lt;&gt;-999,BK43*$CG43, -999)</f>
        <v>7244976.5500169303</v>
      </c>
      <c r="CK43" s="26">
        <f t="shared" si="8"/>
        <v>165733675.54021099</v>
      </c>
      <c r="CL43">
        <f t="shared" si="9"/>
        <v>-35.396198989720403</v>
      </c>
      <c r="CM43">
        <f t="shared" si="10"/>
        <v>21.873779024262063</v>
      </c>
      <c r="CN43">
        <f t="shared" si="11"/>
        <v>-91.67691673874576</v>
      </c>
      <c r="CO43" s="22">
        <f t="shared" si="12"/>
        <v>-40.08</v>
      </c>
      <c r="CP43">
        <f>IF(AT43&lt;&gt;-999,AT43*$CO43, -999)</f>
        <v>-78322730.964141518</v>
      </c>
      <c r="CQ43">
        <f>IF(AU43&lt;&gt;-999,AU43*$CO43, -999)</f>
        <v>-999</v>
      </c>
      <c r="CR43" s="27">
        <f>IF(AV43&lt;&gt;-999,AV43*$CO43, -999)</f>
        <v>-78322730.964141518</v>
      </c>
      <c r="CS43">
        <f t="shared" si="13"/>
        <v>-42.853000000000002</v>
      </c>
      <c r="CT43">
        <f>IF(AW43&lt;&gt;-999,AW43*$CS43, -999)</f>
        <v>-38439993.366322912</v>
      </c>
      <c r="CU43">
        <f>IF(AX43&lt;&gt;-999,AX43*$CS43, -999)</f>
        <v>-999</v>
      </c>
      <c r="CV43" s="27">
        <f>IF(AY43&lt;&gt;-999,AY43*$CS43, -999)</f>
        <v>-38439993.366322912</v>
      </c>
      <c r="CW43">
        <f t="shared" si="14"/>
        <v>-48.780999999999999</v>
      </c>
      <c r="CX43">
        <f>IF(AZ43&lt;&gt;-999,AZ43*$CO43, -999)</f>
        <v>-46240039.26466582</v>
      </c>
      <c r="CY43">
        <f>IF(BA43&lt;&gt;-999,BA43*$CO43, -999)</f>
        <v>-999</v>
      </c>
      <c r="CZ43" s="27">
        <f>IF(BB43&lt;&gt;-999,BB43*$CO43, -999)</f>
        <v>-46240039.26466582</v>
      </c>
      <c r="DA43">
        <f t="shared" si="15"/>
        <v>-48.155000000000001</v>
      </c>
      <c r="DB43">
        <f>IF(BC43&lt;&gt;-999,BC43*$DA43, -999)</f>
        <v>-43500267.072604269</v>
      </c>
      <c r="DC43">
        <f>IF(BD43&lt;&gt;-999,BD43*$DA43, -999)</f>
        <v>-999</v>
      </c>
      <c r="DD43" s="27">
        <f>IF(BE43&lt;&gt;-999,BE43*$DA43, -999)</f>
        <v>-43500267.072604269</v>
      </c>
      <c r="DE43">
        <f t="shared" si="16"/>
        <v>-52.227000000000004</v>
      </c>
      <c r="DF43">
        <f>IF(BF43&lt;&gt;-999,BF43*$DE43, -999)</f>
        <v>-21656460.935269833</v>
      </c>
      <c r="DG43">
        <f>IF(BG43&lt;&gt;-999,BG43*$DE43, -999)</f>
        <v>-999</v>
      </c>
      <c r="DH43" s="27">
        <f>IF(BH43&lt;&gt;-999,BH43*$DE43, -999)</f>
        <v>-21656460.935269833</v>
      </c>
      <c r="DI43">
        <f t="shared" si="17"/>
        <v>-60.94</v>
      </c>
      <c r="DJ43">
        <f>IF(BI43&lt;&gt;-999,BI43*$DI43, -999)</f>
        <v>-32499990.801767204</v>
      </c>
      <c r="DK43">
        <f>IF(BJ43&lt;&gt;-999,BJ43*$DI43, -999)</f>
        <v>-999</v>
      </c>
      <c r="DL43" s="27">
        <f>IF(BK43&lt;&gt;-999,BK43*$DI43, -999)</f>
        <v>-32499990.801767204</v>
      </c>
      <c r="DM43" s="28">
        <f t="shared" si="18"/>
        <v>-260659482.40477154</v>
      </c>
      <c r="DN43" s="22">
        <f t="shared" si="19"/>
        <v>-17.170000000000002</v>
      </c>
      <c r="DO43">
        <f>IF(AT43&lt;&gt;-999,AT43*$DN43, -999)</f>
        <v>-33552926.413530689</v>
      </c>
      <c r="DP43">
        <f>IF(AU43&lt;&gt;-999,AU43*$DN43, -999)</f>
        <v>-999</v>
      </c>
      <c r="DQ43" s="24">
        <f>IF(AV43&lt;&gt;-999,AV43*$DN43, -999)</f>
        <v>-33552926.413530689</v>
      </c>
      <c r="DR43">
        <f t="shared" si="20"/>
        <v>-19.943000000000001</v>
      </c>
      <c r="DS43">
        <f>IF(AW43&lt;&gt;-999,AW43*$DR43, -999)</f>
        <v>-17889267.675648797</v>
      </c>
      <c r="DT43">
        <f>IF(AX43&lt;&gt;-999,AX43*$DR43, -999)</f>
        <v>-999</v>
      </c>
      <c r="DU43" s="24">
        <f>IF(AY43&lt;&gt;-999,AY43*$DR43, -999)</f>
        <v>-17889267.675648797</v>
      </c>
      <c r="DV43">
        <f t="shared" si="21"/>
        <v>-25.870999999999999</v>
      </c>
      <c r="DW43">
        <f>IF(AZ43&lt;&gt;-999,AZ43*$DV43, -999)</f>
        <v>-29847206.981441353</v>
      </c>
      <c r="DX43">
        <f>IF(BA43&lt;&gt;-999,BA43*$DV43, -999)</f>
        <v>-999</v>
      </c>
      <c r="DY43" s="24">
        <f>IF(BB43&lt;&gt;-999,BB43*$DV43, -999)</f>
        <v>-29847206.981441353</v>
      </c>
      <c r="DZ43">
        <f t="shared" si="22"/>
        <v>-25.245000000000001</v>
      </c>
      <c r="EA43">
        <f>IF(BC43&lt;&gt;-999, BC43*$DZ43, -999)</f>
        <v>-22804781.273967288</v>
      </c>
      <c r="EB43">
        <f>IF(BD43&lt;&gt;-999, BD43*$DZ43, -999)</f>
        <v>-999</v>
      </c>
      <c r="EC43" s="24">
        <f>IF(BE43&lt;&gt;-999, BE43*$DZ43, -999)</f>
        <v>-22804781.273967288</v>
      </c>
      <c r="ED43">
        <f t="shared" si="23"/>
        <v>-29.317</v>
      </c>
      <c r="EE43">
        <f>IF(BF43&lt;&gt;-999,BF43*$ED43, -999)</f>
        <v>-12156594.582099406</v>
      </c>
      <c r="EF43">
        <f>IF(BG43&lt;&gt;-999,BG43*$ED43, -999)</f>
        <v>-999</v>
      </c>
      <c r="EG43" s="24">
        <f>IF(BH43&lt;&gt;-999,BH43*$ED43, -999)</f>
        <v>-12156594.582099406</v>
      </c>
      <c r="EH43">
        <f t="shared" si="24"/>
        <v>-38.03</v>
      </c>
      <c r="EI43">
        <f>IF(BI43&lt;&gt;-999,BI43*$EH43, -999)</f>
        <v>-20281828.851184886</v>
      </c>
      <c r="EJ43">
        <f>IF(BJ43&lt;&gt;-999,BJ43*$EH43, -999)</f>
        <v>-999</v>
      </c>
      <c r="EK43" s="24">
        <f>IF(BK43&lt;&gt;-999,BK43*$EH43, -999)</f>
        <v>-20281828.851184886</v>
      </c>
      <c r="EL43" s="28">
        <f t="shared" si="25"/>
        <v>-136532605.77787241</v>
      </c>
      <c r="EM43" s="22">
        <f>-17.17-(0.1023*G43)+H43*(100+102.093-66.644-64.243)</f>
        <v>31.40457087440517</v>
      </c>
      <c r="EN43">
        <f>IF(AT43&lt;&gt;-999,AT43*$EM43, -999)</f>
        <v>61369554.781445876</v>
      </c>
      <c r="EO43">
        <f>IF(AU43&lt;&gt;-999,AU43*$EM43, -999)</f>
        <v>-999</v>
      </c>
      <c r="EP43" s="23">
        <f>IF(AV43&lt;&gt;-999,AV43*$EM43, -999)</f>
        <v>61369554.781445876</v>
      </c>
      <c r="EQ43">
        <f>-19.943-(0.1023*G43)+H43*(100+102.093-66.644-64.243)</f>
        <v>28.63157087440517</v>
      </c>
      <c r="ER43">
        <f>IF(AW43&lt;&gt;-999,AW43*$EQ43, -999)</f>
        <v>25683088.569750987</v>
      </c>
      <c r="ES43">
        <f>IF(AX43&lt;&gt;-999,AX43*$EQ43, -999)</f>
        <v>-999</v>
      </c>
      <c r="ET43" s="23">
        <f>IF(AY43&lt;&gt;-999,AY43*$EQ43, -999)</f>
        <v>25683088.569750987</v>
      </c>
      <c r="EU43">
        <f>-25.871-(0.1023*G43)+H43*(100+102.093-66.644-64.243)</f>
        <v>22.703570874405173</v>
      </c>
      <c r="EV43">
        <f>IF(AZ43&lt;&gt;-999,AZ43*$EU43, -999)</f>
        <v>26192964.288438588</v>
      </c>
      <c r="EW43">
        <f>IF(BA43&lt;&gt;-999,BA43*$EU43, -999)</f>
        <v>-999</v>
      </c>
      <c r="EX43" s="23">
        <f>IF(BB43&lt;&gt;-999,BB43*$EU43, -999)</f>
        <v>26192964.288438588</v>
      </c>
      <c r="EY43">
        <f>-25.245-(0.1023*G43)+H43*(100+102.093-66.644-64.243)</f>
        <v>23.329570874405171</v>
      </c>
      <c r="EZ43">
        <f>IF(BC43&lt;&gt;-999, BC43*$EY43, -999)</f>
        <v>21074500.336950988</v>
      </c>
      <c r="FA43">
        <f>IF(BD43&lt;&gt;-999, BD43*$EY43, -999)</f>
        <v>-999</v>
      </c>
      <c r="FB43" s="23">
        <f>IF(BE43&lt;&gt;-999, BE43*$EY43, -999)</f>
        <v>21074500.336950988</v>
      </c>
      <c r="FC43">
        <f>-29.317-(0.1023*G43)+H43*(100+102.093-66.644-64.243)</f>
        <v>19.257570874405175</v>
      </c>
      <c r="FD43">
        <f>IF(BF43&lt;&gt;-999,BF43*$FC43, -999)</f>
        <v>7985349.1747514848</v>
      </c>
      <c r="FE43">
        <f>IF(BG43&lt;&gt;-999,BG43*$FC43, -999)</f>
        <v>-999</v>
      </c>
      <c r="FF43" s="23">
        <f>IF(BH43&lt;&gt;-999,BH43*$FC43, -999)</f>
        <v>7985349.1747514848</v>
      </c>
      <c r="FG43">
        <f>-38.03-(0.1023*G43)+H43*(100+102.093-66.644-64.243)</f>
        <v>10.544570874405167</v>
      </c>
      <c r="FH43">
        <f>IF(BI43&lt;&gt;-999,BI43*$FG43, -999)</f>
        <v>5623538.832076638</v>
      </c>
      <c r="FI43">
        <f>IF(BJ43&lt;&gt;-999,BJ43*$FG43, -999)</f>
        <v>-999</v>
      </c>
      <c r="FJ43" s="23">
        <f>IF(BK43&lt;&gt;-999,BK43*$FG43, -999)</f>
        <v>5623538.832076638</v>
      </c>
      <c r="FK43" s="28">
        <f t="shared" si="26"/>
        <v>147928995.98341456</v>
      </c>
      <c r="FL43" s="22">
        <f t="shared" si="28"/>
        <v>10.012280000000011</v>
      </c>
      <c r="FM43">
        <f>IF(AT43&lt;&gt;-999,AT43*$FL43, -999)</f>
        <v>19565596.626189016</v>
      </c>
      <c r="FN43">
        <f>IF(AU43&lt;&gt;-999,AU43*$FL43, -999)</f>
        <v>-999</v>
      </c>
      <c r="FO43" s="29">
        <f>IF(AV43&lt;&gt;-999,AV43*$FL43, -999)</f>
        <v>19565596.626189016</v>
      </c>
      <c r="FP43">
        <f t="shared" si="29"/>
        <v>7.2392800000000115</v>
      </c>
      <c r="FQ43">
        <f>IF(AW43&lt;&gt;-999,AW43*$FP43, -999)</f>
        <v>6493778.1526836995</v>
      </c>
      <c r="FR43">
        <f>IF(AX43&lt;&gt;-999,AX43*$FP43, -999)</f>
        <v>-999</v>
      </c>
      <c r="FS43" s="29">
        <f>IF(AY43&lt;&gt;-999,AY43*$FP43, -999)</f>
        <v>6493778.1526836995</v>
      </c>
      <c r="FT43">
        <f t="shared" si="30"/>
        <v>1.3112800000000142</v>
      </c>
      <c r="FU43">
        <f>IF(AZ43&lt;&gt;-999,AZ43*$FT43, -999)</f>
        <v>1512815.3365012889</v>
      </c>
      <c r="FV43">
        <f>IF(BA43&lt;&gt;-999,BA43*$FT43, -999)</f>
        <v>-999</v>
      </c>
      <c r="FW43" s="29">
        <f>IF(BB43&lt;&gt;-999,BB43*$FT43, -999)</f>
        <v>1512815.3365012889</v>
      </c>
      <c r="FX43">
        <f t="shared" si="31"/>
        <v>1.9372800000000119</v>
      </c>
      <c r="FY43">
        <f>IF(BC43&lt;&gt;-999, BC43*$FX43, -999)</f>
        <v>1750019.6738535003</v>
      </c>
      <c r="FZ43">
        <f>IF(BD43&lt;&gt;-999, BD43*$FX43, -999)</f>
        <v>-999</v>
      </c>
      <c r="GA43" s="29">
        <f>IF(BE43&lt;&gt;-999, BE43*$FX43, -999)</f>
        <v>1750019.6738535003</v>
      </c>
      <c r="GB43">
        <f t="shared" si="32"/>
        <v>-2.1347199999999873</v>
      </c>
      <c r="GC43">
        <f>IF(BF43&lt;&gt;-999,BF43*$GB43, -999)</f>
        <v>-885183.53127192718</v>
      </c>
      <c r="GD43">
        <f>IF(BG43&lt;&gt;-999,BG43*$GB43, -999)</f>
        <v>-999</v>
      </c>
      <c r="GE43" s="29">
        <f>IF(BH43&lt;&gt;-999,BH43*$GB43, -999)</f>
        <v>-885183.53127192718</v>
      </c>
      <c r="GF43">
        <f t="shared" si="33"/>
        <v>-10.847719999999988</v>
      </c>
      <c r="GG43">
        <f>IF(BI43&lt;&gt;-999,BI43*$GF43, -999)</f>
        <v>-5785211.6872357363</v>
      </c>
      <c r="GH43">
        <f>IF(BJ43&lt;&gt;-999,BJ43*$GF43, -999)</f>
        <v>-999</v>
      </c>
      <c r="GI43" s="29">
        <f>IF(BK43&lt;&gt;-999,BK43*$GF43, -999)</f>
        <v>-5785211.6872357363</v>
      </c>
      <c r="GJ43" s="30">
        <f t="shared" si="27"/>
        <v>22651814.570719842</v>
      </c>
    </row>
    <row r="44" spans="1:192">
      <c r="A44" s="48" t="s">
        <v>146</v>
      </c>
      <c r="B44" s="48" t="s">
        <v>183</v>
      </c>
      <c r="C44" s="49">
        <v>33</v>
      </c>
      <c r="D44" s="50">
        <v>0.90700000000000003</v>
      </c>
      <c r="E44" s="49">
        <v>29.943539110200199</v>
      </c>
      <c r="F44" s="49">
        <v>0.78938400436575695</v>
      </c>
      <c r="G44" s="49">
        <v>279.16080019561502</v>
      </c>
      <c r="H44" s="49">
        <v>0.80237857521136102</v>
      </c>
      <c r="I44" s="42">
        <v>136882.9</v>
      </c>
      <c r="J44" s="43">
        <v>64366.1</v>
      </c>
      <c r="K44" s="43">
        <f t="shared" si="0"/>
        <v>201249</v>
      </c>
      <c r="L44" s="43">
        <v>83349.8</v>
      </c>
      <c r="M44" s="43">
        <v>39193.4</v>
      </c>
      <c r="N44" s="43">
        <f t="shared" si="1"/>
        <v>122543.20000000001</v>
      </c>
      <c r="O44" s="43">
        <v>124436.4</v>
      </c>
      <c r="P44" s="43">
        <v>58513.4</v>
      </c>
      <c r="Q44" s="43">
        <f t="shared" si="2"/>
        <v>182949.8</v>
      </c>
      <c r="R44" s="43">
        <v>55306</v>
      </c>
      <c r="S44" s="43">
        <v>26006.400000000001</v>
      </c>
      <c r="T44" s="43">
        <f t="shared" si="3"/>
        <v>81312.399999999994</v>
      </c>
      <c r="U44" s="43">
        <v>33676.6</v>
      </c>
      <c r="V44" s="43">
        <v>15835.6</v>
      </c>
      <c r="W44" s="43">
        <f t="shared" si="4"/>
        <v>49512.2</v>
      </c>
      <c r="X44" s="43">
        <v>50277.2</v>
      </c>
      <c r="Y44" s="43">
        <v>23641.7</v>
      </c>
      <c r="Z44" s="43">
        <f t="shared" si="5"/>
        <v>73918.899999999994</v>
      </c>
      <c r="AA44" s="22">
        <v>1300444.2</v>
      </c>
      <c r="AB44">
        <v>468008.6</v>
      </c>
      <c r="AC44">
        <v>1768452.8</v>
      </c>
      <c r="AD44">
        <v>791857.8</v>
      </c>
      <c r="AE44">
        <v>284976.7</v>
      </c>
      <c r="AF44">
        <v>1076834.5</v>
      </c>
      <c r="AG44">
        <v>1182197.3999999999</v>
      </c>
      <c r="AH44">
        <v>425453.5</v>
      </c>
      <c r="AI44">
        <v>1607650.9</v>
      </c>
      <c r="AJ44">
        <v>525430</v>
      </c>
      <c r="AK44">
        <v>189093.7</v>
      </c>
      <c r="AL44">
        <v>714523.7</v>
      </c>
      <c r="AM44">
        <v>319941.3</v>
      </c>
      <c r="AN44">
        <v>115141.7</v>
      </c>
      <c r="AO44">
        <v>435083</v>
      </c>
      <c r="AP44">
        <v>477653.7</v>
      </c>
      <c r="AQ44">
        <v>171899.8</v>
      </c>
      <c r="AR44">
        <v>649553.5</v>
      </c>
      <c r="AS44">
        <v>6252098.4199999999</v>
      </c>
      <c r="AT44" s="22">
        <f t="shared" si="36"/>
        <v>2164829.270343795</v>
      </c>
      <c r="AU44">
        <f t="shared" si="36"/>
        <v>779086.65058648493</v>
      </c>
      <c r="AV44">
        <f t="shared" si="36"/>
        <v>2943915.9209302799</v>
      </c>
      <c r="AW44">
        <f t="shared" si="36"/>
        <v>1318193.3860676552</v>
      </c>
      <c r="AX44">
        <f t="shared" si="36"/>
        <v>474396.28822673252</v>
      </c>
      <c r="AY44">
        <f t="shared" si="36"/>
        <v>1792589.6742943875</v>
      </c>
      <c r="AZ44">
        <f t="shared" si="36"/>
        <v>1967985.658165365</v>
      </c>
      <c r="BA44">
        <f t="shared" si="36"/>
        <v>708245.83628441254</v>
      </c>
      <c r="BB44">
        <f t="shared" si="36"/>
        <v>2676231.4944497771</v>
      </c>
      <c r="BC44">
        <f t="shared" si="36"/>
        <v>874675.16369924997</v>
      </c>
      <c r="BD44">
        <f t="shared" si="36"/>
        <v>314781.34671030752</v>
      </c>
      <c r="BE44">
        <f t="shared" si="36"/>
        <v>1189456.5104095575</v>
      </c>
      <c r="BF44">
        <f t="shared" si="36"/>
        <v>532601.31502131745</v>
      </c>
      <c r="BG44">
        <f t="shared" si="36"/>
        <v>191674.6004151075</v>
      </c>
      <c r="BH44">
        <f t="shared" si="36"/>
        <v>724275.91543642501</v>
      </c>
      <c r="BI44">
        <f t="shared" si="35"/>
        <v>795142.69881630747</v>
      </c>
      <c r="BJ44">
        <f t="shared" si="35"/>
        <v>286158.92831560498</v>
      </c>
      <c r="BK44">
        <f t="shared" si="35"/>
        <v>1081301.6271319124</v>
      </c>
      <c r="BL44">
        <f t="shared" si="35"/>
        <v>10407771.175946031</v>
      </c>
      <c r="BM44" s="22">
        <f>-17.17-(0.1023*E44)+F44*(100-8.576-13.681)</f>
        <v>41.13585660043357</v>
      </c>
      <c r="BN44">
        <f>IF(AT44&lt;&gt;-999,AT44*$BM44, -999)</f>
        <v>89052106.429283589</v>
      </c>
      <c r="BO44">
        <f>IF(AU44&lt;&gt;-999,AU44*$BM44, -999)</f>
        <v>32048396.737837739</v>
      </c>
      <c r="BP44" s="25">
        <f>IF(AV44&lt;&gt;-999,AV44*$BM44, -999)</f>
        <v>121100503.16712132</v>
      </c>
      <c r="BQ44">
        <f>-19.943-(0.1023*E44)+F44*(100-8.576-13.681)</f>
        <v>38.362856600433574</v>
      </c>
      <c r="BR44">
        <f>IF(AW44&lt;&gt;-999,AW44*$BQ44, -999)</f>
        <v>50569663.841353424</v>
      </c>
      <c r="BS44">
        <f>IF(AX44&lt;&gt;-999,AX44*$BQ44, -999)</f>
        <v>18199196.777020093</v>
      </c>
      <c r="BT44" s="25">
        <f>IF(AY44&lt;&gt;-999,AY44*$BQ44, -999)</f>
        <v>68768860.618373513</v>
      </c>
      <c r="BU44">
        <f>-25.871-(0.1023*E44)+F44*(100-8.576-13.681)</f>
        <v>32.434856600433577</v>
      </c>
      <c r="BV44">
        <f>IF(AZ44&lt;&gt;-999,AZ44*$BU44, -999)</f>
        <v>63831332.614303507</v>
      </c>
      <c r="BW44">
        <f>IF(BA44&lt;&gt;-999,BA44*$BU44, -999)</f>
        <v>22971852.137739077</v>
      </c>
      <c r="BX44" s="25">
        <f>IF(BB44&lt;&gt;-999,BB44*$BU44, -999)</f>
        <v>86803184.752042562</v>
      </c>
      <c r="BY44">
        <f>-25.245-(0.1023*E44)+F44*(100-8.576-13.681)</f>
        <v>33.060856600433567</v>
      </c>
      <c r="BZ44">
        <f>IF(BC44&lt;&gt;-999,BC44*$BY44, -999)</f>
        <v>28917510.159021661</v>
      </c>
      <c r="CA44">
        <f>IF(BD44&lt;&gt;-999,BD44*$BY44, -999)</f>
        <v>10406940.964080838</v>
      </c>
      <c r="CB44" s="25">
        <f>IF(BE44&lt;&gt;-999,BE44*$BY44, -999)</f>
        <v>39324451.123102494</v>
      </c>
      <c r="CC44">
        <f>-29.317-(0.1023*E44)+F44*(100-8.576-13.681)</f>
        <v>28.988856600433571</v>
      </c>
      <c r="CD44">
        <f>IF(BF44&lt;&gt;-999,BF44*$CC44, -999)</f>
        <v>15439503.146355318</v>
      </c>
      <c r="CE44">
        <f>IF(BG44&lt;&gt;-999,BG44*$CC44, -999)</f>
        <v>5556427.5053789569</v>
      </c>
      <c r="CF44" s="25">
        <f>IF(BH44&lt;&gt;-999,BH44*$CC44, -999)</f>
        <v>20995930.651734278</v>
      </c>
      <c r="CG44">
        <f>-38.03-(0.1023*E44)+F44*(100-8.576-13.681)</f>
        <v>20.275856600433571</v>
      </c>
      <c r="CH44">
        <f>IF(BI44&lt;&gt;-999,BI44*$CG44, -999)</f>
        <v>16122199.33808119</v>
      </c>
      <c r="CI44">
        <f>IF(BJ44&lt;&gt;-999,BJ44*$CG44, -999)</f>
        <v>5802117.3954609558</v>
      </c>
      <c r="CJ44" s="25">
        <f>IF(BK44&lt;&gt;-999,BK44*$CG44, -999)</f>
        <v>21924316.733542144</v>
      </c>
      <c r="CK44" s="26">
        <f t="shared" si="8"/>
        <v>358917247.04591632</v>
      </c>
      <c r="CL44">
        <f t="shared" si="9"/>
        <v>-44.582175429477836</v>
      </c>
      <c r="CM44">
        <f t="shared" si="10"/>
        <v>12.988030894266346</v>
      </c>
      <c r="CN44">
        <f t="shared" si="11"/>
        <v>-101.1579354562886</v>
      </c>
      <c r="CO44" s="22">
        <f t="shared" si="12"/>
        <v>-40.08</v>
      </c>
      <c r="CP44">
        <f>IF(AT44&lt;&gt;-999,AT44*$CO44, -999)</f>
        <v>-86766357.155379295</v>
      </c>
      <c r="CQ44">
        <f>IF(AU44&lt;&gt;-999,AU44*$CO44, -999)</f>
        <v>-31225792.955506314</v>
      </c>
      <c r="CR44" s="27">
        <f>IF(AV44&lt;&gt;-999,AV44*$CO44, -999)</f>
        <v>-117992150.11088562</v>
      </c>
      <c r="CS44">
        <f t="shared" si="13"/>
        <v>-42.853000000000002</v>
      </c>
      <c r="CT44">
        <f>IF(AW44&lt;&gt;-999,AW44*$CS44, -999)</f>
        <v>-56488541.17315723</v>
      </c>
      <c r="CU44">
        <f>IF(AX44&lt;&gt;-999,AX44*$CS44, -999)</f>
        <v>-20329304.139380168</v>
      </c>
      <c r="CV44" s="27">
        <f>IF(AY44&lt;&gt;-999,AY44*$CS44, -999)</f>
        <v>-76817845.312537387</v>
      </c>
      <c r="CW44">
        <f t="shared" si="14"/>
        <v>-48.780999999999999</v>
      </c>
      <c r="CX44">
        <f>IF(AZ44&lt;&gt;-999,AZ44*$CO44, -999)</f>
        <v>-78876865.179267824</v>
      </c>
      <c r="CY44">
        <f>IF(BA44&lt;&gt;-999,BA44*$CO44, -999)</f>
        <v>-28386493.118279252</v>
      </c>
      <c r="CZ44" s="27">
        <f>IF(BB44&lt;&gt;-999,BB44*$CO44, -999)</f>
        <v>-107263358.29754706</v>
      </c>
      <c r="DA44">
        <f t="shared" si="15"/>
        <v>-48.155000000000001</v>
      </c>
      <c r="DB44">
        <f>IF(BC44&lt;&gt;-999,BC44*$DA44, -999)</f>
        <v>-42119982.507937387</v>
      </c>
      <c r="DC44">
        <f>IF(BD44&lt;&gt;-999,BD44*$DA44, -999)</f>
        <v>-15158295.75083486</v>
      </c>
      <c r="DD44" s="27">
        <f>IF(BE44&lt;&gt;-999,BE44*$DA44, -999)</f>
        <v>-57278278.258772239</v>
      </c>
      <c r="DE44">
        <f t="shared" si="16"/>
        <v>-52.227000000000004</v>
      </c>
      <c r="DF44">
        <f>IF(BF44&lt;&gt;-999,BF44*$DE44, -999)</f>
        <v>-27816168.87961835</v>
      </c>
      <c r="DG44">
        <f>IF(BG44&lt;&gt;-999,BG44*$DE44, -999)</f>
        <v>-10010589.355879821</v>
      </c>
      <c r="DH44" s="27">
        <f>IF(BH44&lt;&gt;-999,BH44*$DE44, -999)</f>
        <v>-37826758.235498175</v>
      </c>
      <c r="DI44">
        <f t="shared" si="17"/>
        <v>-60.94</v>
      </c>
      <c r="DJ44">
        <f>IF(BI44&lt;&gt;-999,BI44*$DI44, -999)</f>
        <v>-48455996.065865777</v>
      </c>
      <c r="DK44">
        <f>IF(BJ44&lt;&gt;-999,BJ44*$DI44, -999)</f>
        <v>-17438525.091552965</v>
      </c>
      <c r="DL44" s="27">
        <f>IF(BK44&lt;&gt;-999,BK44*$DI44, -999)</f>
        <v>-65894521.157418735</v>
      </c>
      <c r="DM44" s="28">
        <f t="shared" si="18"/>
        <v>-463072911.37265921</v>
      </c>
      <c r="DN44" s="22">
        <f t="shared" si="19"/>
        <v>-17.170000000000002</v>
      </c>
      <c r="DO44">
        <f>IF(AT44&lt;&gt;-999,AT44*$DN44, -999)</f>
        <v>-37170118.571802966</v>
      </c>
      <c r="DP44">
        <f>IF(AU44&lt;&gt;-999,AU44*$DN44, -999)</f>
        <v>-13376917.790569948</v>
      </c>
      <c r="DQ44" s="24">
        <f>IF(AV44&lt;&gt;-999,AV44*$DN44, -999)</f>
        <v>-50547036.362372912</v>
      </c>
      <c r="DR44">
        <f t="shared" si="20"/>
        <v>-19.943000000000001</v>
      </c>
      <c r="DS44">
        <f>IF(AW44&lt;&gt;-999,AW44*$DR44, -999)</f>
        <v>-26288730.698347248</v>
      </c>
      <c r="DT44">
        <f>IF(AX44&lt;&gt;-999,AX44*$DR44, -999)</f>
        <v>-9460885.1761057265</v>
      </c>
      <c r="DU44" s="24">
        <f>IF(AY44&lt;&gt;-999,AY44*$DR44, -999)</f>
        <v>-35749615.874452971</v>
      </c>
      <c r="DV44">
        <f t="shared" si="21"/>
        <v>-25.870999999999999</v>
      </c>
      <c r="DW44">
        <f>IF(AZ44&lt;&gt;-999,AZ44*$DV44, -999)</f>
        <v>-50913756.962396152</v>
      </c>
      <c r="DX44">
        <f>IF(BA44&lt;&gt;-999,BA44*$DV44, -999)</f>
        <v>-18323028.030514035</v>
      </c>
      <c r="DY44" s="24">
        <f>IF(BB44&lt;&gt;-999,BB44*$DV44, -999)</f>
        <v>-69236784.992910177</v>
      </c>
      <c r="DZ44">
        <f t="shared" si="22"/>
        <v>-25.245000000000001</v>
      </c>
      <c r="EA44">
        <f>IF(BC44&lt;&gt;-999, BC44*$DZ44, -999)</f>
        <v>-22081174.507587567</v>
      </c>
      <c r="EB44">
        <f>IF(BD44&lt;&gt;-999, BD44*$DZ44, -999)</f>
        <v>-7946655.0977017134</v>
      </c>
      <c r="EC44" s="24">
        <f>IF(BE44&lt;&gt;-999, BE44*$DZ44, -999)</f>
        <v>-30027829.60528928</v>
      </c>
      <c r="ED44">
        <f t="shared" si="23"/>
        <v>-29.317</v>
      </c>
      <c r="EE44">
        <f>IF(BF44&lt;&gt;-999,BF44*$ED44, -999)</f>
        <v>-15614272.752479963</v>
      </c>
      <c r="EF44">
        <f>IF(BG44&lt;&gt;-999,BG44*$ED44, -999)</f>
        <v>-5619324.2603697069</v>
      </c>
      <c r="EG44" s="24">
        <f>IF(BH44&lt;&gt;-999,BH44*$ED44, -999)</f>
        <v>-21233597.012849674</v>
      </c>
      <c r="EH44">
        <f t="shared" si="24"/>
        <v>-38.03</v>
      </c>
      <c r="EI44">
        <f>IF(BI44&lt;&gt;-999,BI44*$EH44, -999)</f>
        <v>-30239276.835984174</v>
      </c>
      <c r="EJ44">
        <f>IF(BJ44&lt;&gt;-999,BJ44*$EH44, -999)</f>
        <v>-10882624.043842457</v>
      </c>
      <c r="EK44" s="24">
        <f>IF(BK44&lt;&gt;-999,BK44*$EH44, -999)</f>
        <v>-41121900.879826628</v>
      </c>
      <c r="EL44" s="28">
        <f t="shared" si="25"/>
        <v>-247916764.72770163</v>
      </c>
      <c r="EM44" s="22">
        <f>-17.17-(0.1023*G44)+H44*(100+102.093-66.644-64.243)</f>
        <v>11.406018966488766</v>
      </c>
      <c r="EN44">
        <f>IF(AT44&lt;&gt;-999,AT44*$EM44, -999)</f>
        <v>24692083.716751363</v>
      </c>
      <c r="EO44">
        <f>IF(AU44&lt;&gt;-999,AU44*$EM44, -999)</f>
        <v>8886277.1131276526</v>
      </c>
      <c r="EP44" s="23">
        <f>IF(AV44&lt;&gt;-999,AV44*$EM44, -999)</f>
        <v>33578360.829879016</v>
      </c>
      <c r="EQ44">
        <f>-19.943-(0.1023*G44)+H44*(100+102.093-66.644-64.243)</f>
        <v>8.6330189664887627</v>
      </c>
      <c r="ER44">
        <f>IF(AW44&lt;&gt;-999,AW44*$EQ44, -999)</f>
        <v>11379988.503422111</v>
      </c>
      <c r="ES44">
        <f>IF(AX44&lt;&gt;-999,AX44*$EQ44, -999)</f>
        <v>4095472.1538932514</v>
      </c>
      <c r="ET44" s="23">
        <f>IF(AY44&lt;&gt;-999,AY44*$EQ44, -999)</f>
        <v>15475460.65731536</v>
      </c>
      <c r="EU44">
        <f>-25.871-(0.1023*G44)+H44*(100+102.093-66.644-64.243)</f>
        <v>2.7050189664887654</v>
      </c>
      <c r="EV44">
        <f>IF(AZ44&lt;&gt;-999,AZ44*$EU44, -999)</f>
        <v>5323438.5311151883</v>
      </c>
      <c r="EW44">
        <f>IF(BA44&lt;&gt;-999,BA44*$EU44, -999)</f>
        <v>1915818.4200860329</v>
      </c>
      <c r="EX44" s="23">
        <f>IF(BB44&lt;&gt;-999,BB44*$EU44, -999)</f>
        <v>7239256.95120122</v>
      </c>
      <c r="EY44">
        <f>-25.245-(0.1023*G44)+H44*(100+102.093-66.644-64.243)</f>
        <v>3.3310189664887702</v>
      </c>
      <c r="EZ44">
        <f>IF(BC44&lt;&gt;-999, BC44*$EY44, -999)</f>
        <v>2913559.5597988716</v>
      </c>
      <c r="FA44">
        <f>IF(BD44&lt;&gt;-999, BD44*$EY44, -999)</f>
        <v>1048542.6361889119</v>
      </c>
      <c r="FB44" s="23">
        <f>IF(BE44&lt;&gt;-999, BE44*$EY44, -999)</f>
        <v>3962102.1959877834</v>
      </c>
      <c r="FC44">
        <f>-29.317-(0.1023*G44)+H44*(100+102.093-66.644-64.243)</f>
        <v>-0.74098103351123257</v>
      </c>
      <c r="FD44">
        <f>IF(BF44&lt;&gt;-999,BF44*$FC44, -999)</f>
        <v>-394647.47285393736</v>
      </c>
      <c r="FE44">
        <f>IF(BG44&lt;&gt;-999,BG44*$FC44, -999)</f>
        <v>-142027.24351343888</v>
      </c>
      <c r="FF44" s="23">
        <f>IF(BH44&lt;&gt;-999,BH44*$FC44, -999)</f>
        <v>-536674.71636737627</v>
      </c>
      <c r="FG44">
        <f>-38.03-(0.1023*G44)+H44*(100+102.093-66.644-64.243)</f>
        <v>-9.4539810335112264</v>
      </c>
      <c r="FH44">
        <f>IF(BI44&lt;&gt;-999,BI44*$FG44, -999)</f>
        <v>-7517263.9935443001</v>
      </c>
      <c r="FI44">
        <f>IF(BJ44&lt;&gt;-999,BJ44*$FG44, -999)</f>
        <v>-2705341.0808656281</v>
      </c>
      <c r="FJ44" s="23">
        <f>IF(BK44&lt;&gt;-999,BK44*$FG44, -999)</f>
        <v>-10222605.074409928</v>
      </c>
      <c r="FK44" s="28">
        <f t="shared" si="26"/>
        <v>49495900.84360607</v>
      </c>
      <c r="FL44" s="22">
        <f t="shared" si="28"/>
        <v>10.012280000000011</v>
      </c>
      <c r="FM44">
        <f>IF(AT44&lt;&gt;-999,AT44*$FL44, -999)</f>
        <v>21674876.806877796</v>
      </c>
      <c r="FN44">
        <f>IF(AU44&lt;&gt;-999,AU44*$FL44, -999)</f>
        <v>7800433.68993406</v>
      </c>
      <c r="FO44" s="29">
        <f>IF(AV44&lt;&gt;-999,AV44*$FL44, -999)</f>
        <v>29475310.496811856</v>
      </c>
      <c r="FP44">
        <f t="shared" si="29"/>
        <v>7.2392800000000115</v>
      </c>
      <c r="FQ44">
        <f>IF(AW44&lt;&gt;-999,AW44*$FP44, -999)</f>
        <v>9542771.0158918705</v>
      </c>
      <c r="FR44">
        <f>IF(AX44&lt;&gt;-999,AX44*$FP44, -999)</f>
        <v>3434287.5614340254</v>
      </c>
      <c r="FS44" s="29">
        <f>IF(AY44&lt;&gt;-999,AY44*$FP44, -999)</f>
        <v>12977058.577325894</v>
      </c>
      <c r="FT44">
        <f t="shared" si="30"/>
        <v>1.3112800000000142</v>
      </c>
      <c r="FU44">
        <f>IF(AZ44&lt;&gt;-999,AZ44*$FT44, -999)</f>
        <v>2580580.2338391077</v>
      </c>
      <c r="FV44">
        <f>IF(BA44&lt;&gt;-999,BA44*$FT44, -999)</f>
        <v>928708.60020303458</v>
      </c>
      <c r="FW44" s="29">
        <f>IF(BB44&lt;&gt;-999,BB44*$FT44, -999)</f>
        <v>3509288.8340421417</v>
      </c>
      <c r="FX44">
        <f t="shared" si="31"/>
        <v>1.9372800000000119</v>
      </c>
      <c r="FY44">
        <f>IF(BC44&lt;&gt;-999, BC44*$FX44, -999)</f>
        <v>1694490.7011312933</v>
      </c>
      <c r="FZ44">
        <f>IF(BD44&lt;&gt;-999, BD44*$FX44, -999)</f>
        <v>609819.6073549483</v>
      </c>
      <c r="GA44" s="29">
        <f>IF(BE44&lt;&gt;-999, BE44*$FX44, -999)</f>
        <v>2304310.3084862418</v>
      </c>
      <c r="GB44">
        <f t="shared" si="32"/>
        <v>-2.1347199999999873</v>
      </c>
      <c r="GC44">
        <f>IF(BF44&lt;&gt;-999,BF44*$GB44, -999)</f>
        <v>-1136954.6792023</v>
      </c>
      <c r="GD44">
        <f>IF(BG44&lt;&gt;-999,BG44*$GB44, -999)</f>
        <v>-409171.60299813584</v>
      </c>
      <c r="GE44" s="29">
        <f>IF(BH44&lt;&gt;-999,BH44*$GB44, -999)</f>
        <v>-1546126.2822004361</v>
      </c>
      <c r="GF44">
        <f t="shared" si="33"/>
        <v>-10.847719999999988</v>
      </c>
      <c r="GG44">
        <f>IF(BI44&lt;&gt;-999,BI44*$GF44, -999)</f>
        <v>-8625485.3568036258</v>
      </c>
      <c r="GH44">
        <f>IF(BJ44&lt;&gt;-999,BJ44*$GF44, -999)</f>
        <v>-3104171.929867751</v>
      </c>
      <c r="GI44" s="29">
        <f>IF(BK44&lt;&gt;-999,BK44*$GF44, -999)</f>
        <v>-11729657.286671376</v>
      </c>
      <c r="GJ44" s="30">
        <f t="shared" si="27"/>
        <v>34990184.647794321</v>
      </c>
    </row>
    <row r="45" spans="1:192">
      <c r="A45" s="48" t="s">
        <v>146</v>
      </c>
      <c r="B45" s="48" t="s">
        <v>184</v>
      </c>
      <c r="C45" s="49">
        <v>52</v>
      </c>
      <c r="D45" s="50">
        <v>0.90700000000000003</v>
      </c>
      <c r="E45" s="49">
        <v>111.616383171583</v>
      </c>
      <c r="F45" s="49">
        <v>0.78880570251517801</v>
      </c>
      <c r="G45" s="49">
        <v>135.644493997832</v>
      </c>
      <c r="H45" s="49">
        <v>0.81375601813572995</v>
      </c>
      <c r="I45" s="42">
        <v>10619.6</v>
      </c>
      <c r="J45" s="43">
        <v>29740.6</v>
      </c>
      <c r="K45" s="43">
        <f t="shared" si="0"/>
        <v>40360.199999999997</v>
      </c>
      <c r="L45" s="43">
        <v>8308.6</v>
      </c>
      <c r="M45" s="43">
        <v>23268.400000000001</v>
      </c>
      <c r="N45" s="43">
        <f t="shared" si="1"/>
        <v>31577</v>
      </c>
      <c r="O45" s="43">
        <v>43779.1</v>
      </c>
      <c r="P45" s="43">
        <v>122604.9</v>
      </c>
      <c r="Q45" s="43">
        <f t="shared" si="2"/>
        <v>166384</v>
      </c>
      <c r="R45" s="43">
        <v>2351.3000000000002</v>
      </c>
      <c r="S45" s="43">
        <v>6584.9</v>
      </c>
      <c r="T45" s="43">
        <f t="shared" si="3"/>
        <v>8936.2000000000007</v>
      </c>
      <c r="U45" s="43">
        <v>1839.6</v>
      </c>
      <c r="V45" s="43">
        <v>5151.8999999999996</v>
      </c>
      <c r="W45" s="43">
        <f t="shared" si="4"/>
        <v>6991.5</v>
      </c>
      <c r="X45" s="43">
        <v>9693.2000000000007</v>
      </c>
      <c r="Y45" s="43">
        <v>27146.1</v>
      </c>
      <c r="Z45" s="43">
        <f t="shared" si="5"/>
        <v>36839.300000000003</v>
      </c>
      <c r="AA45" s="22">
        <v>30989</v>
      </c>
      <c r="AB45">
        <v>64462.8</v>
      </c>
      <c r="AC45">
        <v>95451.8</v>
      </c>
      <c r="AD45">
        <v>24245.200000000001</v>
      </c>
      <c r="AE45">
        <v>50434.400000000001</v>
      </c>
      <c r="AF45">
        <v>74679.5</v>
      </c>
      <c r="AG45">
        <v>127751.6</v>
      </c>
      <c r="AH45">
        <v>265746.59999999998</v>
      </c>
      <c r="AI45">
        <v>393498.3</v>
      </c>
      <c r="AJ45">
        <v>6861.3</v>
      </c>
      <c r="AK45">
        <v>14272.8</v>
      </c>
      <c r="AL45">
        <v>21134.1</v>
      </c>
      <c r="AM45">
        <v>5368.2</v>
      </c>
      <c r="AN45">
        <v>11166.7</v>
      </c>
      <c r="AO45">
        <v>16534.900000000001</v>
      </c>
      <c r="AP45">
        <v>28285.599999999999</v>
      </c>
      <c r="AQ45">
        <v>58839.3</v>
      </c>
      <c r="AR45">
        <v>87124.9</v>
      </c>
      <c r="AS45">
        <v>688423.54</v>
      </c>
      <c r="AT45" s="22">
        <f t="shared" si="36"/>
        <v>51586.907195775006</v>
      </c>
      <c r="AU45">
        <f t="shared" si="36"/>
        <v>107310.22237503</v>
      </c>
      <c r="AV45">
        <f t="shared" si="36"/>
        <v>158897.129570805</v>
      </c>
      <c r="AW45">
        <f t="shared" si="36"/>
        <v>40360.60803327</v>
      </c>
      <c r="AX45">
        <f t="shared" si="36"/>
        <v>83957.362685939996</v>
      </c>
      <c r="AY45">
        <f t="shared" si="36"/>
        <v>124317.80425076251</v>
      </c>
      <c r="AZ45">
        <f t="shared" si="36"/>
        <v>212666.10517641003</v>
      </c>
      <c r="BA45">
        <f t="shared" si="36"/>
        <v>442384.23930403497</v>
      </c>
      <c r="BB45">
        <f t="shared" si="36"/>
        <v>655050.51094889245</v>
      </c>
      <c r="BC45">
        <f t="shared" si="36"/>
        <v>11421.899588317501</v>
      </c>
      <c r="BD45">
        <f t="shared" si="36"/>
        <v>23759.708574780001</v>
      </c>
      <c r="BE45">
        <f t="shared" si="36"/>
        <v>35181.608163097502</v>
      </c>
      <c r="BF45">
        <f t="shared" si="36"/>
        <v>8936.3591986949996</v>
      </c>
      <c r="BG45">
        <f t="shared" si="36"/>
        <v>18589.032126982504</v>
      </c>
      <c r="BH45">
        <f t="shared" si="36"/>
        <v>27525.391325677505</v>
      </c>
      <c r="BI45">
        <f t="shared" si="35"/>
        <v>47086.599186059997</v>
      </c>
      <c r="BJ45">
        <f t="shared" si="35"/>
        <v>97948.869229867501</v>
      </c>
      <c r="BK45">
        <f t="shared" si="35"/>
        <v>145035.46841592749</v>
      </c>
      <c r="BL45">
        <f t="shared" si="35"/>
        <v>1146007.9792625415</v>
      </c>
      <c r="BM45" s="22">
        <f>-17.17-(0.1023*E45)+F45*(100-8.576-13.681)</f>
        <v>32.735765732184554</v>
      </c>
      <c r="BN45">
        <f>IF(AT45&lt;&gt;-999,AT45*$BM45, -999)</f>
        <v>1688736.9088088362</v>
      </c>
      <c r="BO45">
        <f>IF(AU45&lt;&gt;-999,AU45*$BM45, -999)</f>
        <v>3512882.3003376112</v>
      </c>
      <c r="BP45" s="25">
        <f>IF(AV45&lt;&gt;-999,AV45*$BM45, -999)</f>
        <v>5201619.2091464475</v>
      </c>
      <c r="BQ45">
        <f>-19.943-(0.1023*E45)+F45*(100-8.576-13.681)</f>
        <v>29.96276573218455</v>
      </c>
      <c r="BR45">
        <f>IF(AW45&lt;&gt;-999,AW45*$BQ45, -999)</f>
        <v>1209315.4433093949</v>
      </c>
      <c r="BS45">
        <f>IF(AX45&lt;&gt;-999,AX45*$BQ45, -999)</f>
        <v>2515594.7896508728</v>
      </c>
      <c r="BT45" s="25">
        <f>IF(AY45&lt;&gt;-999,AY45*$BQ45, -999)</f>
        <v>3724905.2451051739</v>
      </c>
      <c r="BU45">
        <f>-25.871-(0.1023*E45)+F45*(100-8.576-13.681)</f>
        <v>24.034765732184553</v>
      </c>
      <c r="BV45">
        <f>IF(AZ45&lt;&gt;-999,AZ45*$BU45, -999)</f>
        <v>5111380.0170911355</v>
      </c>
      <c r="BW45">
        <f>IF(BA45&lt;&gt;-999,BA45*$BU45, -999)</f>
        <v>10632601.555283152</v>
      </c>
      <c r="BX45" s="25">
        <f>IF(BB45&lt;&gt;-999,BB45*$BU45, -999)</f>
        <v>15743985.573404422</v>
      </c>
      <c r="BY45">
        <f>-25.245-(0.1023*E45)+F45*(100-8.576-13.681)</f>
        <v>24.660765732184551</v>
      </c>
      <c r="BZ45">
        <f>IF(BC45&lt;&gt;-999,BC45*$BY45, -999)</f>
        <v>281672.78996403306</v>
      </c>
      <c r="CA45">
        <f>IF(BD45&lt;&gt;-999,BD45*$BY45, -999)</f>
        <v>585932.60702762613</v>
      </c>
      <c r="CB45" s="25">
        <f>IF(BE45&lt;&gt;-999,BE45*$BY45, -999)</f>
        <v>867605.39699165919</v>
      </c>
      <c r="CC45">
        <f>-29.317-(0.1023*E45)+F45*(100-8.576-13.681)</f>
        <v>20.588765732184555</v>
      </c>
      <c r="CD45">
        <f>IF(BF45&lt;&gt;-999,BF45*$CC45, -999)</f>
        <v>183988.60604058384</v>
      </c>
      <c r="CE45">
        <f>IF(BG45&lt;&gt;-999,BG45*$CC45, -999)</f>
        <v>382725.22765049513</v>
      </c>
      <c r="CF45" s="25">
        <f>IF(BH45&lt;&gt;-999,BH45*$CC45, -999)</f>
        <v>566713.83369107905</v>
      </c>
      <c r="CG45">
        <f>-38.03-(0.1023*E45)+F45*(100-8.576-13.681)</f>
        <v>11.875765732184554</v>
      </c>
      <c r="CH45">
        <f>IF(BI45&lt;&gt;-999,BI45*$CG45, -999)</f>
        <v>559189.42105892044</v>
      </c>
      <c r="CI45">
        <f>IF(BJ45&lt;&gt;-999,BJ45*$CG45, -999)</f>
        <v>1163217.8247062867</v>
      </c>
      <c r="CJ45" s="25">
        <f>IF(BK45&lt;&gt;-999,BK45*$CG45, -999)</f>
        <v>1722407.2457652069</v>
      </c>
      <c r="CK45" s="26">
        <f t="shared" si="8"/>
        <v>27827236.504103985</v>
      </c>
      <c r="CL45">
        <f t="shared" si="9"/>
        <v>-34.039048393099193</v>
      </c>
      <c r="CM45">
        <f t="shared" si="10"/>
        <v>23.57336472092183</v>
      </c>
      <c r="CN45">
        <f t="shared" si="11"/>
        <v>-90.656286145815173</v>
      </c>
      <c r="CO45" s="22">
        <f t="shared" si="12"/>
        <v>-40.08</v>
      </c>
      <c r="CP45">
        <f>IF(AT45&lt;&gt;-999,AT45*$CO45, -999)</f>
        <v>-2067603.2404066622</v>
      </c>
      <c r="CQ45">
        <f>IF(AU45&lt;&gt;-999,AU45*$CO45, -999)</f>
        <v>-4300993.7127912026</v>
      </c>
      <c r="CR45" s="27">
        <f>IF(AV45&lt;&gt;-999,AV45*$CO45, -999)</f>
        <v>-6368596.9531978639</v>
      </c>
      <c r="CS45">
        <f t="shared" si="13"/>
        <v>-42.853000000000002</v>
      </c>
      <c r="CT45">
        <f>IF(AW45&lt;&gt;-999,AW45*$CS45, -999)</f>
        <v>-1729573.1360497193</v>
      </c>
      <c r="CU45">
        <f>IF(AX45&lt;&gt;-999,AX45*$CS45, -999)</f>
        <v>-3597824.8631805866</v>
      </c>
      <c r="CV45" s="27">
        <f>IF(AY45&lt;&gt;-999,AY45*$CS45, -999)</f>
        <v>-5327390.8655579258</v>
      </c>
      <c r="CW45">
        <f t="shared" si="14"/>
        <v>-48.780999999999999</v>
      </c>
      <c r="CX45">
        <f>IF(AZ45&lt;&gt;-999,AZ45*$CO45, -999)</f>
        <v>-8523657.4954705127</v>
      </c>
      <c r="CY45">
        <f>IF(BA45&lt;&gt;-999,BA45*$CO45, -999)</f>
        <v>-17730760.31130572</v>
      </c>
      <c r="CZ45" s="27">
        <f>IF(BB45&lt;&gt;-999,BB45*$CO45, -999)</f>
        <v>-26254424.478831608</v>
      </c>
      <c r="DA45">
        <f t="shared" si="15"/>
        <v>-48.155000000000001</v>
      </c>
      <c r="DB45">
        <f>IF(BC45&lt;&gt;-999,BC45*$DA45, -999)</f>
        <v>-550021.57467542926</v>
      </c>
      <c r="DC45">
        <f>IF(BD45&lt;&gt;-999,BD45*$DA45, -999)</f>
        <v>-1144148.7664185311</v>
      </c>
      <c r="DD45" s="27">
        <f>IF(BE45&lt;&gt;-999,BE45*$DA45, -999)</f>
        <v>-1694170.3410939602</v>
      </c>
      <c r="DE45">
        <f t="shared" si="16"/>
        <v>-52.227000000000004</v>
      </c>
      <c r="DF45">
        <f>IF(BF45&lt;&gt;-999,BF45*$DE45, -999)</f>
        <v>-466719.23187024379</v>
      </c>
      <c r="DG45">
        <f>IF(BG45&lt;&gt;-999,BG45*$DE45, -999)</f>
        <v>-970849.38089591532</v>
      </c>
      <c r="DH45" s="27">
        <f>IF(BH45&lt;&gt;-999,BH45*$DE45, -999)</f>
        <v>-1437568.6127661592</v>
      </c>
      <c r="DI45">
        <f t="shared" si="17"/>
        <v>-60.94</v>
      </c>
      <c r="DJ45">
        <f>IF(BI45&lt;&gt;-999,BI45*$DI45, -999)</f>
        <v>-2869457.354398496</v>
      </c>
      <c r="DK45">
        <f>IF(BJ45&lt;&gt;-999,BJ45*$DI45, -999)</f>
        <v>-5969004.0908681257</v>
      </c>
      <c r="DL45" s="27">
        <f>IF(BK45&lt;&gt;-999,BK45*$DI45, -999)</f>
        <v>-8838461.4452666212</v>
      </c>
      <c r="DM45" s="28">
        <f t="shared" si="18"/>
        <v>-49920612.696714133</v>
      </c>
      <c r="DN45" s="22">
        <f t="shared" si="19"/>
        <v>-17.170000000000002</v>
      </c>
      <c r="DO45">
        <f>IF(AT45&lt;&gt;-999,AT45*$DN45, -999)</f>
        <v>-885747.19655145693</v>
      </c>
      <c r="DP45">
        <f>IF(AU45&lt;&gt;-999,AU45*$DN45, -999)</f>
        <v>-1842516.5181792653</v>
      </c>
      <c r="DQ45" s="24">
        <f>IF(AV45&lt;&gt;-999,AV45*$DN45, -999)</f>
        <v>-2728263.7147307224</v>
      </c>
      <c r="DR45">
        <f t="shared" si="20"/>
        <v>-19.943000000000001</v>
      </c>
      <c r="DS45">
        <f>IF(AW45&lt;&gt;-999,AW45*$DR45, -999)</f>
        <v>-804911.60600750369</v>
      </c>
      <c r="DT45">
        <f>IF(AX45&lt;&gt;-999,AX45*$DR45, -999)</f>
        <v>-1674361.6840457015</v>
      </c>
      <c r="DU45" s="24">
        <f>IF(AY45&lt;&gt;-999,AY45*$DR45, -999)</f>
        <v>-2479269.9701729571</v>
      </c>
      <c r="DV45">
        <f t="shared" si="21"/>
        <v>-25.870999999999999</v>
      </c>
      <c r="DW45">
        <f>IF(AZ45&lt;&gt;-999,AZ45*$DV45, -999)</f>
        <v>-5501884.8070189031</v>
      </c>
      <c r="DX45">
        <f>IF(BA45&lt;&gt;-999,BA45*$DV45, -999)</f>
        <v>-11444922.655034687</v>
      </c>
      <c r="DY45" s="24">
        <f>IF(BB45&lt;&gt;-999,BB45*$DV45, -999)</f>
        <v>-16946811.768758796</v>
      </c>
      <c r="DZ45">
        <f t="shared" si="22"/>
        <v>-25.245000000000001</v>
      </c>
      <c r="EA45">
        <f>IF(BC45&lt;&gt;-999, BC45*$DZ45, -999)</f>
        <v>-288345.8551070753</v>
      </c>
      <c r="EB45">
        <f>IF(BD45&lt;&gt;-999, BD45*$DZ45, -999)</f>
        <v>-599813.84297032119</v>
      </c>
      <c r="EC45" s="24">
        <f>IF(BE45&lt;&gt;-999, BE45*$DZ45, -999)</f>
        <v>-888159.69807739649</v>
      </c>
      <c r="ED45">
        <f t="shared" si="23"/>
        <v>-29.317</v>
      </c>
      <c r="EE45">
        <f>IF(BF45&lt;&gt;-999,BF45*$ED45, -999)</f>
        <v>-261987.24262814131</v>
      </c>
      <c r="EF45">
        <f>IF(BG45&lt;&gt;-999,BG45*$ED45, -999)</f>
        <v>-544974.65486674604</v>
      </c>
      <c r="EG45" s="24">
        <f>IF(BH45&lt;&gt;-999,BH45*$ED45, -999)</f>
        <v>-806961.89749488747</v>
      </c>
      <c r="EH45">
        <f t="shared" si="24"/>
        <v>-38.03</v>
      </c>
      <c r="EI45">
        <f>IF(BI45&lt;&gt;-999,BI45*$EH45, -999)</f>
        <v>-1790703.3670458617</v>
      </c>
      <c r="EJ45">
        <f>IF(BJ45&lt;&gt;-999,BJ45*$EH45, -999)</f>
        <v>-3724995.4968118612</v>
      </c>
      <c r="EK45" s="24">
        <f>IF(BK45&lt;&gt;-999,BK45*$EH45, -999)</f>
        <v>-5515698.8638577228</v>
      </c>
      <c r="EL45" s="28">
        <f t="shared" si="25"/>
        <v>-29365165.913092483</v>
      </c>
      <c r="EM45" s="22">
        <f>-17.17-(0.1023*G45)+H45*(100+102.093-66.644-64.243)</f>
        <v>26.897879291394581</v>
      </c>
      <c r="EN45">
        <f>IF(AT45&lt;&gt;-999,AT45*$EM45, -999)</f>
        <v>1387578.4027683306</v>
      </c>
      <c r="EO45">
        <f>IF(AU45&lt;&gt;-999,AU45*$EM45, -999)</f>
        <v>2886417.4081762671</v>
      </c>
      <c r="EP45" s="23">
        <f>IF(AV45&lt;&gt;-999,AV45*$EM45, -999)</f>
        <v>4273995.8109445972</v>
      </c>
      <c r="EQ45">
        <f>-19.943-(0.1023*G45)+H45*(100+102.093-66.644-64.243)</f>
        <v>24.124879291394585</v>
      </c>
      <c r="ER45">
        <f>IF(AW45&lt;&gt;-999,AW45*$EQ45, -999)</f>
        <v>973694.79692992941</v>
      </c>
      <c r="ES45">
        <f>IF(AX45&lt;&gt;-999,AX45*$EQ45, -999)</f>
        <v>2025461.2404221382</v>
      </c>
      <c r="ET45" s="23">
        <f>IF(AY45&lt;&gt;-999,AY45*$EQ45, -999)</f>
        <v>2999152.021320866</v>
      </c>
      <c r="EU45">
        <f>-25.871-(0.1023*G45)+H45*(100+102.093-66.644-64.243)</f>
        <v>18.196879291394588</v>
      </c>
      <c r="EV45">
        <f>IF(AZ45&lt;&gt;-999,AZ45*$EU45, -999)</f>
        <v>3869859.4452661588</v>
      </c>
      <c r="EW45">
        <f>IF(BA45&lt;&gt;-999,BA45*$EU45, -999)</f>
        <v>8050012.6030309414</v>
      </c>
      <c r="EX45" s="23">
        <f>IF(BB45&lt;&gt;-999,BB45*$EU45, -999)</f>
        <v>11919875.077503344</v>
      </c>
      <c r="EY45">
        <f>-25.245-(0.1023*G45)+H45*(100+102.093-66.644-64.243)</f>
        <v>18.822879291394585</v>
      </c>
      <c r="EZ45">
        <f>IF(BC45&lt;&gt;-999, BC45*$EY45, -999)</f>
        <v>214993.03722932984</v>
      </c>
      <c r="FA45">
        <f>IF(BD45&lt;&gt;-999, BD45*$EY45, -999)</f>
        <v>447226.12650179683</v>
      </c>
      <c r="FB45" s="23">
        <f>IF(BE45&lt;&gt;-999, BE45*$EY45, -999)</f>
        <v>662219.1637311267</v>
      </c>
      <c r="FC45">
        <f>-29.317-(0.1023*G45)+H45*(100+102.093-66.644-64.243)</f>
        <v>14.750879291394583</v>
      </c>
      <c r="FD45">
        <f>IF(BF45&lt;&gt;-999,BF45*$FC45, -999)</f>
        <v>131819.15584449357</v>
      </c>
      <c r="FE45">
        <f>IF(BG45&lt;&gt;-999,BG45*$FC45, -999)</f>
        <v>274204.56904897478</v>
      </c>
      <c r="FF45" s="23">
        <f>IF(BH45&lt;&gt;-999,BH45*$FC45, -999)</f>
        <v>406023.72489346837</v>
      </c>
      <c r="FG45">
        <f>-38.03-(0.1023*G45)+H45*(100+102.093-66.644-64.243)</f>
        <v>6.0378792913945816</v>
      </c>
      <c r="FH45">
        <f>IF(BI45&lt;&gt;-999,BI45*$FG45, -999)</f>
        <v>284303.20212770859</v>
      </c>
      <c r="FI45">
        <f>IF(BJ45&lt;&gt;-999,BJ45*$FG45, -999)</f>
        <v>591403.44913853297</v>
      </c>
      <c r="FJ45" s="23">
        <f>IF(BK45&lt;&gt;-999,BK45*$FG45, -999)</f>
        <v>875706.65126624145</v>
      </c>
      <c r="FK45" s="28">
        <f t="shared" si="26"/>
        <v>21136972.449659646</v>
      </c>
      <c r="FL45" s="22">
        <f t="shared" si="28"/>
        <v>10.012280000000011</v>
      </c>
      <c r="FM45">
        <f>IF(AT45&lt;&gt;-999,AT45*$FL45, -999)</f>
        <v>516502.55917811475</v>
      </c>
      <c r="FN45">
        <f>IF(AU45&lt;&gt;-999,AU45*$FL45, -999)</f>
        <v>1074419.9932810667</v>
      </c>
      <c r="FO45" s="29">
        <f>IF(AV45&lt;&gt;-999,AV45*$FL45, -999)</f>
        <v>1590922.5524591813</v>
      </c>
      <c r="FP45">
        <f t="shared" si="29"/>
        <v>7.2392800000000115</v>
      </c>
      <c r="FQ45">
        <f>IF(AW45&lt;&gt;-999,AW45*$FP45, -999)</f>
        <v>292181.74252309132</v>
      </c>
      <c r="FR45">
        <f>IF(AX45&lt;&gt;-999,AX45*$FP45, -999)</f>
        <v>607790.85654507263</v>
      </c>
      <c r="FS45" s="29">
        <f>IF(AY45&lt;&gt;-999,AY45*$FP45, -999)</f>
        <v>899971.39395646146</v>
      </c>
      <c r="FT45">
        <f t="shared" si="30"/>
        <v>1.3112800000000142</v>
      </c>
      <c r="FU45">
        <f>IF(AZ45&lt;&gt;-999,AZ45*$FT45, -999)</f>
        <v>278864.81039572594</v>
      </c>
      <c r="FV45">
        <f>IF(BA45&lt;&gt;-999,BA45*$FT45, -999)</f>
        <v>580089.60531460121</v>
      </c>
      <c r="FW45" s="29">
        <f>IF(BB45&lt;&gt;-999,BB45*$FT45, -999)</f>
        <v>858954.63399707305</v>
      </c>
      <c r="FX45">
        <f t="shared" si="31"/>
        <v>1.9372800000000119</v>
      </c>
      <c r="FY45">
        <f>IF(BC45&lt;&gt;-999, BC45*$FX45, -999)</f>
        <v>22127.417634455865</v>
      </c>
      <c r="FZ45">
        <f>IF(BD45&lt;&gt;-999, BD45*$FX45, -999)</f>
        <v>46029.208227750081</v>
      </c>
      <c r="GA45" s="29">
        <f>IF(BE45&lt;&gt;-999, BE45*$FX45, -999)</f>
        <v>68156.625862205954</v>
      </c>
      <c r="GB45">
        <f t="shared" si="32"/>
        <v>-2.1347199999999873</v>
      </c>
      <c r="GC45">
        <f>IF(BF45&lt;&gt;-999,BF45*$GB45, -999)</f>
        <v>-19076.624708638075</v>
      </c>
      <c r="GD45">
        <f>IF(BG45&lt;&gt;-999,BG45*$GB45, -999)</f>
        <v>-39682.378662111856</v>
      </c>
      <c r="GE45" s="29">
        <f>IF(BH45&lt;&gt;-999,BH45*$GB45, -999)</f>
        <v>-58759.003370749931</v>
      </c>
      <c r="GF45">
        <f t="shared" si="33"/>
        <v>-10.847719999999988</v>
      </c>
      <c r="GG45">
        <f>IF(BI45&lt;&gt;-999,BI45*$GF45, -999)</f>
        <v>-510782.24372260622</v>
      </c>
      <c r="GH45">
        <f>IF(BJ45&lt;&gt;-999,BJ45*$GF45, -999)</f>
        <v>-1062521.907722217</v>
      </c>
      <c r="GI45" s="29">
        <f>IF(BK45&lt;&gt;-999,BK45*$GF45, -999)</f>
        <v>-1573304.1514448232</v>
      </c>
      <c r="GJ45" s="30">
        <f t="shared" si="27"/>
        <v>1785942.0514593485</v>
      </c>
    </row>
    <row r="46" spans="1:192">
      <c r="A46" s="48" t="s">
        <v>160</v>
      </c>
      <c r="B46" s="48" t="s">
        <v>185</v>
      </c>
      <c r="C46" s="49">
        <v>149</v>
      </c>
      <c r="D46" s="50">
        <v>0.90600000000000003</v>
      </c>
      <c r="E46" s="49">
        <v>193.578684388168</v>
      </c>
      <c r="F46" s="49">
        <v>0.78114258548633098</v>
      </c>
      <c r="G46" s="49">
        <v>174.02244860297299</v>
      </c>
      <c r="H46" s="49">
        <v>0.81112327815823704</v>
      </c>
      <c r="I46" s="42">
        <v>5291.3</v>
      </c>
      <c r="J46" s="43">
        <v>-999</v>
      </c>
      <c r="K46" s="43">
        <f t="shared" si="0"/>
        <v>5291.3</v>
      </c>
      <c r="L46" s="43">
        <v>1674.7</v>
      </c>
      <c r="M46" s="43">
        <v>-999</v>
      </c>
      <c r="N46" s="43">
        <f t="shared" si="1"/>
        <v>1674.7</v>
      </c>
      <c r="O46" s="43">
        <v>7484.4</v>
      </c>
      <c r="P46" s="43">
        <v>-999</v>
      </c>
      <c r="Q46" s="43">
        <f t="shared" si="2"/>
        <v>7484.4</v>
      </c>
      <c r="R46" s="43">
        <v>7595.7</v>
      </c>
      <c r="S46" s="43">
        <v>-999</v>
      </c>
      <c r="T46" s="43">
        <f t="shared" si="3"/>
        <v>7595.7</v>
      </c>
      <c r="U46" s="43">
        <v>2404.1</v>
      </c>
      <c r="V46" s="43">
        <v>-999</v>
      </c>
      <c r="W46" s="43">
        <f t="shared" si="4"/>
        <v>2404.1</v>
      </c>
      <c r="X46" s="43">
        <v>10743.8</v>
      </c>
      <c r="Y46" s="43">
        <v>-999</v>
      </c>
      <c r="Z46" s="43">
        <f t="shared" si="5"/>
        <v>10743.8</v>
      </c>
      <c r="AA46" s="22">
        <v>182144.3</v>
      </c>
      <c r="AB46">
        <v>-999</v>
      </c>
      <c r="AC46">
        <v>182144.3</v>
      </c>
      <c r="AD46">
        <v>57649.7</v>
      </c>
      <c r="AE46">
        <v>-999</v>
      </c>
      <c r="AF46">
        <v>57649.7</v>
      </c>
      <c r="AG46">
        <v>257635.4</v>
      </c>
      <c r="AH46">
        <v>-999</v>
      </c>
      <c r="AI46">
        <v>257635.4</v>
      </c>
      <c r="AJ46">
        <v>261468.1</v>
      </c>
      <c r="AK46">
        <v>-999</v>
      </c>
      <c r="AL46">
        <v>261468.1</v>
      </c>
      <c r="AM46">
        <v>82756.2</v>
      </c>
      <c r="AN46">
        <v>-999</v>
      </c>
      <c r="AO46">
        <v>82756.2</v>
      </c>
      <c r="AP46">
        <v>369835.5</v>
      </c>
      <c r="AQ46">
        <v>-999</v>
      </c>
      <c r="AR46">
        <v>369835.5</v>
      </c>
      <c r="AS46">
        <v>1211489.2</v>
      </c>
      <c r="AT46" s="22">
        <f t="shared" si="36"/>
        <v>303212.78841974243</v>
      </c>
      <c r="AU46">
        <f t="shared" si="36"/>
        <v>-999</v>
      </c>
      <c r="AV46">
        <f t="shared" si="36"/>
        <v>303212.78841974243</v>
      </c>
      <c r="AW46">
        <f t="shared" si="36"/>
        <v>95968.560578407487</v>
      </c>
      <c r="AX46">
        <f t="shared" si="36"/>
        <v>-999</v>
      </c>
      <c r="AY46">
        <f t="shared" si="36"/>
        <v>95968.560578407487</v>
      </c>
      <c r="AZ46">
        <f t="shared" si="36"/>
        <v>428881.650590415</v>
      </c>
      <c r="BA46">
        <f t="shared" si="36"/>
        <v>-999</v>
      </c>
      <c r="BB46">
        <f t="shared" si="36"/>
        <v>428881.650590415</v>
      </c>
      <c r="BC46">
        <f t="shared" si="36"/>
        <v>435261.88677774754</v>
      </c>
      <c r="BD46">
        <f t="shared" si="36"/>
        <v>-999</v>
      </c>
      <c r="BE46">
        <f t="shared" si="36"/>
        <v>435261.88677774754</v>
      </c>
      <c r="BF46">
        <f t="shared" si="36"/>
        <v>137762.96134999499</v>
      </c>
      <c r="BG46">
        <f t="shared" si="36"/>
        <v>-999</v>
      </c>
      <c r="BH46">
        <f t="shared" si="36"/>
        <v>137762.96134999499</v>
      </c>
      <c r="BI46">
        <f t="shared" si="35"/>
        <v>615659.41515386244</v>
      </c>
      <c r="BJ46">
        <f t="shared" si="35"/>
        <v>-999</v>
      </c>
      <c r="BK46">
        <f t="shared" si="35"/>
        <v>615659.41515386244</v>
      </c>
      <c r="BL46">
        <f t="shared" si="35"/>
        <v>2016747.2628701702</v>
      </c>
      <c r="BM46" s="22">
        <f>-17.17-(0.1023*E46)+F46*(100-8.576-13.681)</f>
        <v>23.755268610554246</v>
      </c>
      <c r="BN46">
        <f>IF(AT46&lt;&gt;-999,AT46*$BM46, -999)</f>
        <v>7202901.2350661336</v>
      </c>
      <c r="BO46">
        <f>IF(AU46&lt;&gt;-999,AU46*$BM46, -999)</f>
        <v>-999</v>
      </c>
      <c r="BP46" s="25">
        <f>IF(AV46&lt;&gt;-999,AV46*$BM46, -999)</f>
        <v>7202901.2350661336</v>
      </c>
      <c r="BQ46">
        <f>-19.943-(0.1023*E46)+F46*(100-8.576-13.681)</f>
        <v>20.98226861055425</v>
      </c>
      <c r="BR46">
        <f>IF(AW46&lt;&gt;-999,AW46*$BQ46, -999)</f>
        <v>2013638.1162243935</v>
      </c>
      <c r="BS46">
        <f>IF(AX46&lt;&gt;-999,AX46*$BQ46, -999)</f>
        <v>-999</v>
      </c>
      <c r="BT46" s="25">
        <f>IF(AY46&lt;&gt;-999,AY46*$BQ46, -999)</f>
        <v>2013638.1162243935</v>
      </c>
      <c r="BU46">
        <f>-25.871-(0.1023*E46)+F46*(100-8.576-13.681)</f>
        <v>15.054268610554253</v>
      </c>
      <c r="BV46">
        <f>IF(AZ46&lt;&gt;-999,AZ46*$BU46, -999)</f>
        <v>6456499.5701259812</v>
      </c>
      <c r="BW46">
        <f>IF(BA46&lt;&gt;-999,BA46*$BU46, -999)</f>
        <v>-999</v>
      </c>
      <c r="BX46" s="25">
        <f>IF(BB46&lt;&gt;-999,BB46*$BU46, -999)</f>
        <v>6456499.5701259812</v>
      </c>
      <c r="BY46">
        <f>-25.245-(0.1023*E46)+F46*(100-8.576-13.681)</f>
        <v>15.680268610554251</v>
      </c>
      <c r="BZ46">
        <f>IF(BC46&lt;&gt;-999,BC46*$BY46, -999)</f>
        <v>6825023.3006117325</v>
      </c>
      <c r="CA46">
        <f>IF(BD46&lt;&gt;-999,BD46*$BY46, -999)</f>
        <v>-999</v>
      </c>
      <c r="CB46" s="25">
        <f>IF(BE46&lt;&gt;-999,BE46*$BY46, -999)</f>
        <v>6825023.3006117325</v>
      </c>
      <c r="CC46">
        <f>-29.317-(0.1023*E46)+F46*(100-8.576-13.681)</f>
        <v>11.608268610554255</v>
      </c>
      <c r="CD46">
        <f>IF(BF46&lt;&gt;-999,BF46*$CC46, -999)</f>
        <v>1599189.4599361459</v>
      </c>
      <c r="CE46">
        <f>IF(BG46&lt;&gt;-999,BG46*$CC46, -999)</f>
        <v>-999</v>
      </c>
      <c r="CF46" s="25">
        <f>IF(BH46&lt;&gt;-999,BH46*$CC46, -999)</f>
        <v>1599189.4599361459</v>
      </c>
      <c r="CG46">
        <f>-38.03-(0.1023*E46)+F46*(100-8.576-13.681)</f>
        <v>2.8952686105542469</v>
      </c>
      <c r="CH46">
        <f>IF(BI46&lt;&gt;-999,BI46*$CG46, -999)</f>
        <v>1782499.3794871636</v>
      </c>
      <c r="CI46">
        <f>IF(BJ46&lt;&gt;-999,BJ46*$CG46, -999)</f>
        <v>-999</v>
      </c>
      <c r="CJ46" s="25">
        <f>IF(BK46&lt;&gt;-999,BK46*$CG46, -999)</f>
        <v>1782499.3794871636</v>
      </c>
      <c r="CK46" s="26">
        <f t="shared" si="8"/>
        <v>25879751.061451551</v>
      </c>
      <c r="CL46">
        <f t="shared" si="9"/>
        <v>-23.857373043256331</v>
      </c>
      <c r="CM46">
        <f t="shared" si="10"/>
        <v>34.320225828409882</v>
      </c>
      <c r="CN46">
        <f t="shared" si="11"/>
        <v>-81.030033745393254</v>
      </c>
      <c r="CO46" s="22">
        <f t="shared" si="12"/>
        <v>-40.08</v>
      </c>
      <c r="CP46">
        <f>IF(AT46&lt;&gt;-999,AT46*$CO46, -999)</f>
        <v>-12152768.559863277</v>
      </c>
      <c r="CQ46">
        <f>IF(AU46&lt;&gt;-999,AU46*$CO46, -999)</f>
        <v>-999</v>
      </c>
      <c r="CR46" s="27">
        <f>IF(AV46&lt;&gt;-999,AV46*$CO46, -999)</f>
        <v>-12152768.559863277</v>
      </c>
      <c r="CS46">
        <f t="shared" si="13"/>
        <v>-42.853000000000002</v>
      </c>
      <c r="CT46">
        <f>IF(AW46&lt;&gt;-999,AW46*$CS46, -999)</f>
        <v>-4112540.726466496</v>
      </c>
      <c r="CU46">
        <f>IF(AX46&lt;&gt;-999,AX46*$CS46, -999)</f>
        <v>-999</v>
      </c>
      <c r="CV46" s="27">
        <f>IF(AY46&lt;&gt;-999,AY46*$CS46, -999)</f>
        <v>-4112540.726466496</v>
      </c>
      <c r="CW46">
        <f t="shared" si="14"/>
        <v>-48.780999999999999</v>
      </c>
      <c r="CX46">
        <f>IF(AZ46&lt;&gt;-999,AZ46*$CO46, -999)</f>
        <v>-17189576.555663832</v>
      </c>
      <c r="CY46">
        <f>IF(BA46&lt;&gt;-999,BA46*$CO46, -999)</f>
        <v>-999</v>
      </c>
      <c r="CZ46" s="27">
        <f>IF(BB46&lt;&gt;-999,BB46*$CO46, -999)</f>
        <v>-17189576.555663832</v>
      </c>
      <c r="DA46">
        <f t="shared" si="15"/>
        <v>-48.155000000000001</v>
      </c>
      <c r="DB46">
        <f>IF(BC46&lt;&gt;-999,BC46*$DA46, -999)</f>
        <v>-20960036.157782432</v>
      </c>
      <c r="DC46">
        <f>IF(BD46&lt;&gt;-999,BD46*$DA46, -999)</f>
        <v>-999</v>
      </c>
      <c r="DD46" s="27">
        <f>IF(BE46&lt;&gt;-999,BE46*$DA46, -999)</f>
        <v>-20960036.157782432</v>
      </c>
      <c r="DE46">
        <f t="shared" si="16"/>
        <v>-52.227000000000004</v>
      </c>
      <c r="DF46">
        <f>IF(BF46&lt;&gt;-999,BF46*$DE46, -999)</f>
        <v>-7194946.1824261891</v>
      </c>
      <c r="DG46">
        <f>IF(BG46&lt;&gt;-999,BG46*$DE46, -999)</f>
        <v>-999</v>
      </c>
      <c r="DH46" s="27">
        <f>IF(BH46&lt;&gt;-999,BH46*$DE46, -999)</f>
        <v>-7194946.1824261891</v>
      </c>
      <c r="DI46">
        <f t="shared" si="17"/>
        <v>-60.94</v>
      </c>
      <c r="DJ46">
        <f>IF(BI46&lt;&gt;-999,BI46*$DI46, -999)</f>
        <v>-37518284.759476379</v>
      </c>
      <c r="DK46">
        <f>IF(BJ46&lt;&gt;-999,BJ46*$DI46, -999)</f>
        <v>-999</v>
      </c>
      <c r="DL46" s="27">
        <f>IF(BK46&lt;&gt;-999,BK46*$DI46, -999)</f>
        <v>-37518284.759476379</v>
      </c>
      <c r="DM46" s="28">
        <f t="shared" si="18"/>
        <v>-99128152.941678613</v>
      </c>
      <c r="DN46" s="22">
        <f t="shared" si="19"/>
        <v>-17.170000000000002</v>
      </c>
      <c r="DO46">
        <f>IF(AT46&lt;&gt;-999,AT46*$DN46, -999)</f>
        <v>-5206163.5771669783</v>
      </c>
      <c r="DP46">
        <f>IF(AU46&lt;&gt;-999,AU46*$DN46, -999)</f>
        <v>-999</v>
      </c>
      <c r="DQ46" s="24">
        <f>IF(AV46&lt;&gt;-999,AV46*$DN46, -999)</f>
        <v>-5206163.5771669783</v>
      </c>
      <c r="DR46">
        <f t="shared" si="20"/>
        <v>-19.943000000000001</v>
      </c>
      <c r="DS46">
        <f>IF(AW46&lt;&gt;-999,AW46*$DR46, -999)</f>
        <v>-1913901.0036151807</v>
      </c>
      <c r="DT46">
        <f>IF(AX46&lt;&gt;-999,AX46*$DR46, -999)</f>
        <v>-999</v>
      </c>
      <c r="DU46" s="24">
        <f>IF(AY46&lt;&gt;-999,AY46*$DR46, -999)</f>
        <v>-1913901.0036151807</v>
      </c>
      <c r="DV46">
        <f t="shared" si="21"/>
        <v>-25.870999999999999</v>
      </c>
      <c r="DW46">
        <f>IF(AZ46&lt;&gt;-999,AZ46*$DV46, -999)</f>
        <v>-11095597.182424625</v>
      </c>
      <c r="DX46">
        <f>IF(BA46&lt;&gt;-999,BA46*$DV46, -999)</f>
        <v>-999</v>
      </c>
      <c r="DY46" s="24">
        <f>IF(BB46&lt;&gt;-999,BB46*$DV46, -999)</f>
        <v>-11095597.182424625</v>
      </c>
      <c r="DZ46">
        <f t="shared" si="22"/>
        <v>-25.245000000000001</v>
      </c>
      <c r="EA46">
        <f>IF(BC46&lt;&gt;-999, BC46*$DZ46, -999)</f>
        <v>-10988186.331704237</v>
      </c>
      <c r="EB46">
        <f>IF(BD46&lt;&gt;-999, BD46*$DZ46, -999)</f>
        <v>-999</v>
      </c>
      <c r="EC46" s="24">
        <f>IF(BE46&lt;&gt;-999, BE46*$DZ46, -999)</f>
        <v>-10988186.331704237</v>
      </c>
      <c r="ED46">
        <f t="shared" si="23"/>
        <v>-29.317</v>
      </c>
      <c r="EE46">
        <f>IF(BF46&lt;&gt;-999,BF46*$ED46, -999)</f>
        <v>-4038796.7378978031</v>
      </c>
      <c r="EF46">
        <f>IF(BG46&lt;&gt;-999,BG46*$ED46, -999)</f>
        <v>-999</v>
      </c>
      <c r="EG46" s="24">
        <f>IF(BH46&lt;&gt;-999,BH46*$ED46, -999)</f>
        <v>-4038796.7378978031</v>
      </c>
      <c r="EH46">
        <f t="shared" si="24"/>
        <v>-38.03</v>
      </c>
      <c r="EI46">
        <f>IF(BI46&lt;&gt;-999,BI46*$EH46, -999)</f>
        <v>-23413527.558301389</v>
      </c>
      <c r="EJ46">
        <f>IF(BJ46&lt;&gt;-999,BJ46*$EH46, -999)</f>
        <v>-999</v>
      </c>
      <c r="EK46" s="24">
        <f>IF(BK46&lt;&gt;-999,BK46*$EH46, -999)</f>
        <v>-23413527.558301389</v>
      </c>
      <c r="EL46" s="28">
        <f t="shared" si="25"/>
        <v>-56656172.391110212</v>
      </c>
      <c r="EM46" s="22">
        <f>-17.17-(0.1023*G46)+H46*(100+102.093-66.644-64.243)</f>
        <v>22.784347652451302</v>
      </c>
      <c r="EN46">
        <f>IF(AT46&lt;&gt;-999,AT46*$EM46, -999)</f>
        <v>6908505.5840245718</v>
      </c>
      <c r="EO46">
        <f>IF(AU46&lt;&gt;-999,AU46*$EM46, -999)</f>
        <v>-999</v>
      </c>
      <c r="EP46" s="23">
        <f>IF(AV46&lt;&gt;-999,AV46*$EM46, -999)</f>
        <v>6908505.5840245718</v>
      </c>
      <c r="EQ46">
        <f>-19.943-(0.1023*G46)+H46*(100+102.093-66.644-64.243)</f>
        <v>20.011347652451299</v>
      </c>
      <c r="ER46">
        <f>IF(AW46&lt;&gt;-999,AW46*$EQ46, -999)</f>
        <v>1920460.2294398448</v>
      </c>
      <c r="ES46">
        <f>IF(AX46&lt;&gt;-999,AX46*$EQ46, -999)</f>
        <v>-999</v>
      </c>
      <c r="ET46" s="23">
        <f>IF(AY46&lt;&gt;-999,AY46*$EQ46, -999)</f>
        <v>1920460.2294398448</v>
      </c>
      <c r="EU46">
        <f>-25.871-(0.1023*G46)+H46*(100+102.093-66.644-64.243)</f>
        <v>14.083347652451302</v>
      </c>
      <c r="EV46">
        <f>IF(AZ46&lt;&gt;-999,AZ46*$EU46, -999)</f>
        <v>6040089.3870219607</v>
      </c>
      <c r="EW46">
        <f>IF(BA46&lt;&gt;-999,BA46*$EU46, -999)</f>
        <v>-999</v>
      </c>
      <c r="EX46" s="23">
        <f>IF(BB46&lt;&gt;-999,BB46*$EU46, -999)</f>
        <v>6040089.3870219607</v>
      </c>
      <c r="EY46">
        <f>-25.245-(0.1023*G46)+H46*(100+102.093-66.644-64.243)</f>
        <v>14.709347652451306</v>
      </c>
      <c r="EZ46">
        <f>IF(BC46&lt;&gt;-999, BC46*$EY46, -999)</f>
        <v>6402418.4124757871</v>
      </c>
      <c r="FA46">
        <f>IF(BD46&lt;&gt;-999, BD46*$EY46, -999)</f>
        <v>-999</v>
      </c>
      <c r="FB46" s="23">
        <f>IF(BE46&lt;&gt;-999, BE46*$EY46, -999)</f>
        <v>6402418.4124757871</v>
      </c>
      <c r="FC46">
        <f>-29.317-(0.1023*G46)+H46*(100+102.093-66.644-64.243)</f>
        <v>10.637347652451304</v>
      </c>
      <c r="FD46">
        <f>IF(BF46&lt;&gt;-999,BF46*$FC46, -999)</f>
        <v>1465432.5135111089</v>
      </c>
      <c r="FE46">
        <f>IF(BG46&lt;&gt;-999,BG46*$FC46, -999)</f>
        <v>-999</v>
      </c>
      <c r="FF46" s="23">
        <f>IF(BH46&lt;&gt;-999,BH46*$FC46, -999)</f>
        <v>1465432.5135111089</v>
      </c>
      <c r="FG46">
        <f>-38.03-(0.1023*G46)+H46*(100+102.093-66.644-64.243)</f>
        <v>1.9243476524513028</v>
      </c>
      <c r="FH46">
        <f>IF(BI46&lt;&gt;-999,BI46*$FG46, -999)</f>
        <v>1184742.7502608772</v>
      </c>
      <c r="FI46">
        <f>IF(BJ46&lt;&gt;-999,BJ46*$FG46, -999)</f>
        <v>-999</v>
      </c>
      <c r="FJ46" s="23">
        <f>IF(BK46&lt;&gt;-999,BK46*$FG46, -999)</f>
        <v>1184742.7502608772</v>
      </c>
      <c r="FK46" s="28">
        <f t="shared" si="26"/>
        <v>23921648.876734152</v>
      </c>
      <c r="FL46" s="22">
        <f t="shared" si="28"/>
        <v>10.012280000000011</v>
      </c>
      <c r="FM46">
        <f>IF(AT46&lt;&gt;-999,AT46*$FL46, -999)</f>
        <v>3035851.3372392221</v>
      </c>
      <c r="FN46">
        <f>IF(AU46&lt;&gt;-999,AU46*$FL46, -999)</f>
        <v>-999</v>
      </c>
      <c r="FO46" s="29">
        <f>IF(AV46&lt;&gt;-999,AV46*$FL46, -999)</f>
        <v>3035851.3372392221</v>
      </c>
      <c r="FP46">
        <f t="shared" si="29"/>
        <v>7.2392800000000115</v>
      </c>
      <c r="FQ46">
        <f>IF(AW46&lt;&gt;-999,AW46*$FP46, -999)</f>
        <v>694743.28122405487</v>
      </c>
      <c r="FR46">
        <f>IF(AX46&lt;&gt;-999,AX46*$FP46, -999)</f>
        <v>-999</v>
      </c>
      <c r="FS46" s="29">
        <f>IF(AY46&lt;&gt;-999,AY46*$FP46, -999)</f>
        <v>694743.28122405487</v>
      </c>
      <c r="FT46">
        <f t="shared" si="30"/>
        <v>1.3112800000000142</v>
      </c>
      <c r="FU46">
        <f>IF(AZ46&lt;&gt;-999,AZ46*$FT46, -999)</f>
        <v>562383.93078620546</v>
      </c>
      <c r="FV46">
        <f>IF(BA46&lt;&gt;-999,BA46*$FT46, -999)</f>
        <v>-999</v>
      </c>
      <c r="FW46" s="29">
        <f>IF(BB46&lt;&gt;-999,BB46*$FT46, -999)</f>
        <v>562383.93078620546</v>
      </c>
      <c r="FX46">
        <f t="shared" si="31"/>
        <v>1.9372800000000119</v>
      </c>
      <c r="FY46">
        <f>IF(BC46&lt;&gt;-999, BC46*$FX46, -999)</f>
        <v>843224.14801679994</v>
      </c>
      <c r="FZ46">
        <f>IF(BD46&lt;&gt;-999, BD46*$FX46, -999)</f>
        <v>-999</v>
      </c>
      <c r="GA46" s="29">
        <f>IF(BE46&lt;&gt;-999, BE46*$FX46, -999)</f>
        <v>843224.14801679994</v>
      </c>
      <c r="GB46">
        <f t="shared" si="32"/>
        <v>-2.1347199999999873</v>
      </c>
      <c r="GC46">
        <f>IF(BF46&lt;&gt;-999,BF46*$GB46, -999)</f>
        <v>-294085.34885305958</v>
      </c>
      <c r="GD46">
        <f>IF(BG46&lt;&gt;-999,BG46*$GB46, -999)</f>
        <v>-999</v>
      </c>
      <c r="GE46" s="29">
        <f>IF(BH46&lt;&gt;-999,BH46*$GB46, -999)</f>
        <v>-294085.34885305958</v>
      </c>
      <c r="GF46">
        <f t="shared" si="33"/>
        <v>-10.847719999999988</v>
      </c>
      <c r="GG46">
        <f>IF(BI46&lt;&gt;-999,BI46*$GF46, -999)</f>
        <v>-6678500.9509528494</v>
      </c>
      <c r="GH46">
        <f>IF(BJ46&lt;&gt;-999,BJ46*$GF46, -999)</f>
        <v>-999</v>
      </c>
      <c r="GI46" s="29">
        <f>IF(BK46&lt;&gt;-999,BK46*$GF46, -999)</f>
        <v>-6678500.9509528494</v>
      </c>
      <c r="GJ46" s="30">
        <f t="shared" si="27"/>
        <v>-1836383.602539626</v>
      </c>
    </row>
    <row r="47" spans="1:192">
      <c r="A47" s="48" t="s">
        <v>136</v>
      </c>
      <c r="B47" s="48" t="s">
        <v>143</v>
      </c>
      <c r="C47" s="49">
        <v>75</v>
      </c>
      <c r="D47" s="50">
        <v>0.90500000000000003</v>
      </c>
      <c r="E47" s="49">
        <v>74.290412927208607</v>
      </c>
      <c r="F47" s="49">
        <v>0.79014097816485496</v>
      </c>
      <c r="G47" s="49">
        <v>265.62237357544302</v>
      </c>
      <c r="H47" s="49">
        <v>0.80351997731255398</v>
      </c>
      <c r="I47" s="42">
        <v>51121.8</v>
      </c>
      <c r="J47" s="43">
        <v>-999</v>
      </c>
      <c r="K47" s="43">
        <f t="shared" si="0"/>
        <v>51121.8</v>
      </c>
      <c r="L47" s="43">
        <v>23207.7</v>
      </c>
      <c r="M47" s="43">
        <v>-999</v>
      </c>
      <c r="N47" s="43">
        <f t="shared" si="1"/>
        <v>23207.7</v>
      </c>
      <c r="O47" s="43">
        <v>52525.7</v>
      </c>
      <c r="P47" s="43">
        <v>-999</v>
      </c>
      <c r="Q47" s="43">
        <f t="shared" si="2"/>
        <v>52525.7</v>
      </c>
      <c r="R47" s="43">
        <v>22730.3</v>
      </c>
      <c r="S47" s="43">
        <v>-999</v>
      </c>
      <c r="T47" s="43">
        <f t="shared" si="3"/>
        <v>22730.3</v>
      </c>
      <c r="U47" s="43">
        <v>10318.9</v>
      </c>
      <c r="V47" s="43">
        <v>-999</v>
      </c>
      <c r="W47" s="43">
        <f t="shared" si="4"/>
        <v>10318.9</v>
      </c>
      <c r="X47" s="43">
        <v>23354.6</v>
      </c>
      <c r="Y47" s="43">
        <v>-999</v>
      </c>
      <c r="Z47" s="43">
        <f t="shared" si="5"/>
        <v>23354.6</v>
      </c>
      <c r="AA47" s="22">
        <v>1552918.1</v>
      </c>
      <c r="AB47">
        <v>-999</v>
      </c>
      <c r="AC47">
        <v>1552918.1</v>
      </c>
      <c r="AD47">
        <v>704975.7</v>
      </c>
      <c r="AE47">
        <v>-999</v>
      </c>
      <c r="AF47">
        <v>704975.7</v>
      </c>
      <c r="AG47">
        <v>1595564.9</v>
      </c>
      <c r="AH47">
        <v>-999</v>
      </c>
      <c r="AI47">
        <v>1595564.9</v>
      </c>
      <c r="AJ47">
        <v>690476.4</v>
      </c>
      <c r="AK47">
        <v>-999</v>
      </c>
      <c r="AL47">
        <v>690476.4</v>
      </c>
      <c r="AM47">
        <v>313454.40000000002</v>
      </c>
      <c r="AN47">
        <v>-999</v>
      </c>
      <c r="AO47">
        <v>313454.40000000002</v>
      </c>
      <c r="AP47">
        <v>709438.5</v>
      </c>
      <c r="AQ47">
        <v>-999</v>
      </c>
      <c r="AR47">
        <v>709438.5</v>
      </c>
      <c r="AS47">
        <v>5566827.96</v>
      </c>
      <c r="AT47" s="22">
        <f t="shared" si="36"/>
        <v>2585118.6520164977</v>
      </c>
      <c r="AU47">
        <f t="shared" si="36"/>
        <v>-999</v>
      </c>
      <c r="AV47">
        <f t="shared" si="36"/>
        <v>2585118.6520164977</v>
      </c>
      <c r="AW47">
        <f t="shared" si="36"/>
        <v>1173562.1030422575</v>
      </c>
      <c r="AX47">
        <f t="shared" si="36"/>
        <v>-999</v>
      </c>
      <c r="AY47">
        <f t="shared" si="36"/>
        <v>1173562.1030422575</v>
      </c>
      <c r="AZ47">
        <f t="shared" si="36"/>
        <v>2656112.1178849274</v>
      </c>
      <c r="BA47">
        <f t="shared" si="36"/>
        <v>-999</v>
      </c>
      <c r="BB47">
        <f t="shared" si="36"/>
        <v>2656112.1178849274</v>
      </c>
      <c r="BC47">
        <f t="shared" si="36"/>
        <v>1149425.3434338903</v>
      </c>
      <c r="BD47">
        <f t="shared" si="36"/>
        <v>-999</v>
      </c>
      <c r="BE47">
        <f t="shared" si="36"/>
        <v>1149425.3434338903</v>
      </c>
      <c r="BF47">
        <f t="shared" si="36"/>
        <v>521802.67330044002</v>
      </c>
      <c r="BG47">
        <f t="shared" si="36"/>
        <v>-999</v>
      </c>
      <c r="BH47">
        <f t="shared" si="36"/>
        <v>521802.67330044002</v>
      </c>
      <c r="BI47">
        <f t="shared" si="35"/>
        <v>1180991.2569172876</v>
      </c>
      <c r="BJ47">
        <f t="shared" si="35"/>
        <v>-999</v>
      </c>
      <c r="BK47">
        <f t="shared" si="35"/>
        <v>1180991.2569172876</v>
      </c>
      <c r="BL47">
        <f t="shared" si="35"/>
        <v>9267012.08000792</v>
      </c>
      <c r="BM47" s="22">
        <f>-17.17-(0.1023*E47)+F47*(100-8.576-13.681)</f>
        <v>36.658020823016884</v>
      </c>
      <c r="BN47">
        <f>IF(AT47&lt;&gt;-999,AT47*$BM47, -999)</f>
        <v>94765333.375590116</v>
      </c>
      <c r="BO47">
        <f>IF(AU47&lt;&gt;-999,AU47*$BM47, -999)</f>
        <v>-999</v>
      </c>
      <c r="BP47" s="25">
        <f>IF(AV47&lt;&gt;-999,AV47*$BM47, -999)</f>
        <v>94765333.375590116</v>
      </c>
      <c r="BQ47">
        <f>-19.943-(0.1023*E47)+F47*(100-8.576-13.681)</f>
        <v>33.885020823016887</v>
      </c>
      <c r="BR47">
        <f>IF(AW47&lt;&gt;-999,AW47*$BQ47, -999)</f>
        <v>39766176.298690386</v>
      </c>
      <c r="BS47">
        <f>IF(AX47&lt;&gt;-999,AX47*$BQ47, -999)</f>
        <v>-999</v>
      </c>
      <c r="BT47" s="25">
        <f>IF(AY47&lt;&gt;-999,AY47*$BQ47, -999)</f>
        <v>39766176.298690386</v>
      </c>
      <c r="BU47">
        <f>-25.871-(0.1023*E47)+F47*(100-8.576-13.681)</f>
        <v>27.95702082301689</v>
      </c>
      <c r="BV47">
        <f>IF(AZ47&lt;&gt;-999,AZ47*$BU47, -999)</f>
        <v>74256981.787976414</v>
      </c>
      <c r="BW47">
        <f>IF(BA47&lt;&gt;-999,BA47*$BU47, -999)</f>
        <v>-999</v>
      </c>
      <c r="BX47" s="25">
        <f>IF(BB47&lt;&gt;-999,BB47*$BU47, -999)</f>
        <v>74256981.787976414</v>
      </c>
      <c r="BY47">
        <f>-25.245-(0.1023*E47)+F47*(100-8.576-13.681)</f>
        <v>28.583020823016888</v>
      </c>
      <c r="BZ47">
        <f>IF(BC47&lt;&gt;-999,BC47*$BY47, -999)</f>
        <v>32854048.525874224</v>
      </c>
      <c r="CA47">
        <f>IF(BD47&lt;&gt;-999,BD47*$BY47, -999)</f>
        <v>-999</v>
      </c>
      <c r="CB47" s="25">
        <f>IF(BE47&lt;&gt;-999,BE47*$BY47, -999)</f>
        <v>32854048.525874224</v>
      </c>
      <c r="CC47">
        <f>-29.317-(0.1023*E47)+F47*(100-8.576-13.681)</f>
        <v>24.511020823016885</v>
      </c>
      <c r="CD47">
        <f>IF(BF47&lt;&gt;-999,BF47*$CC47, -999)</f>
        <v>12789916.190772962</v>
      </c>
      <c r="CE47">
        <f>IF(BG47&lt;&gt;-999,BG47*$CC47, -999)</f>
        <v>-999</v>
      </c>
      <c r="CF47" s="25">
        <f>IF(BH47&lt;&gt;-999,BH47*$CC47, -999)</f>
        <v>12789916.190772962</v>
      </c>
      <c r="CG47">
        <f>-38.03-(0.1023*E47)+F47*(100-8.576-13.681)</f>
        <v>15.798020823016884</v>
      </c>
      <c r="CH47">
        <f>IF(BI47&lt;&gt;-999,BI47*$CG47, -999)</f>
        <v>18657324.468580194</v>
      </c>
      <c r="CI47">
        <f>IF(BJ47&lt;&gt;-999,BJ47*$CG47, -999)</f>
        <v>-999</v>
      </c>
      <c r="CJ47" s="25">
        <f>IF(BK47&lt;&gt;-999,BK47*$CG47, -999)</f>
        <v>18657324.468580194</v>
      </c>
      <c r="CK47" s="26">
        <f t="shared" si="8"/>
        <v>273089780.6474843</v>
      </c>
      <c r="CL47">
        <f t="shared" si="9"/>
        <v>-38.776527041657729</v>
      </c>
      <c r="CM47">
        <f t="shared" si="10"/>
        <v>18.73852565887233</v>
      </c>
      <c r="CN47">
        <f t="shared" si="11"/>
        <v>-95.298086148394944</v>
      </c>
      <c r="CO47" s="22">
        <f t="shared" si="12"/>
        <v>-40.08</v>
      </c>
      <c r="CP47">
        <f>IF(AT47&lt;&gt;-999,AT47*$CO47, -999)</f>
        <v>-103611555.57282123</v>
      </c>
      <c r="CQ47">
        <f>IF(AU47&lt;&gt;-999,AU47*$CO47, -999)</f>
        <v>-999</v>
      </c>
      <c r="CR47" s="27">
        <f>IF(AV47&lt;&gt;-999,AV47*$CO47, -999)</f>
        <v>-103611555.57282123</v>
      </c>
      <c r="CS47">
        <f t="shared" si="13"/>
        <v>-42.853000000000002</v>
      </c>
      <c r="CT47">
        <f>IF(AW47&lt;&gt;-999,AW47*$CS47, -999)</f>
        <v>-50290656.801669858</v>
      </c>
      <c r="CU47">
        <f>IF(AX47&lt;&gt;-999,AX47*$CS47, -999)</f>
        <v>-999</v>
      </c>
      <c r="CV47" s="27">
        <f>IF(AY47&lt;&gt;-999,AY47*$CS47, -999)</f>
        <v>-50290656.801669858</v>
      </c>
      <c r="CW47">
        <f t="shared" si="14"/>
        <v>-48.780999999999999</v>
      </c>
      <c r="CX47">
        <f>IF(AZ47&lt;&gt;-999,AZ47*$CO47, -999)</f>
        <v>-106456973.68482789</v>
      </c>
      <c r="CY47">
        <f>IF(BA47&lt;&gt;-999,BA47*$CO47, -999)</f>
        <v>-999</v>
      </c>
      <c r="CZ47" s="27">
        <f>IF(BB47&lt;&gt;-999,BB47*$CO47, -999)</f>
        <v>-106456973.68482789</v>
      </c>
      <c r="DA47">
        <f t="shared" si="15"/>
        <v>-48.155000000000001</v>
      </c>
      <c r="DB47">
        <f>IF(BC47&lt;&gt;-999,BC47*$DA47, -999)</f>
        <v>-55350577.413058989</v>
      </c>
      <c r="DC47">
        <f>IF(BD47&lt;&gt;-999,BD47*$DA47, -999)</f>
        <v>-999</v>
      </c>
      <c r="DD47" s="27">
        <f>IF(BE47&lt;&gt;-999,BE47*$DA47, -999)</f>
        <v>-55350577.413058989</v>
      </c>
      <c r="DE47">
        <f t="shared" si="16"/>
        <v>-52.227000000000004</v>
      </c>
      <c r="DF47">
        <f>IF(BF47&lt;&gt;-999,BF47*$DE47, -999)</f>
        <v>-27252188.218462083</v>
      </c>
      <c r="DG47">
        <f>IF(BG47&lt;&gt;-999,BG47*$DE47, -999)</f>
        <v>-999</v>
      </c>
      <c r="DH47" s="27">
        <f>IF(BH47&lt;&gt;-999,BH47*$DE47, -999)</f>
        <v>-27252188.218462083</v>
      </c>
      <c r="DI47">
        <f t="shared" si="17"/>
        <v>-60.94</v>
      </c>
      <c r="DJ47">
        <f>IF(BI47&lt;&gt;-999,BI47*$DI47, -999)</f>
        <v>-71969607.196539506</v>
      </c>
      <c r="DK47">
        <f>IF(BJ47&lt;&gt;-999,BJ47*$DI47, -999)</f>
        <v>-999</v>
      </c>
      <c r="DL47" s="27">
        <f>IF(BK47&lt;&gt;-999,BK47*$DI47, -999)</f>
        <v>-71969607.196539506</v>
      </c>
      <c r="DM47" s="28">
        <f t="shared" si="18"/>
        <v>-414931558.88737959</v>
      </c>
      <c r="DN47" s="22">
        <f t="shared" si="19"/>
        <v>-17.170000000000002</v>
      </c>
      <c r="DO47">
        <f>IF(AT47&lt;&gt;-999,AT47*$DN47, -999)</f>
        <v>-44386487.255123273</v>
      </c>
      <c r="DP47">
        <f>IF(AU47&lt;&gt;-999,AU47*$DN47, -999)</f>
        <v>-999</v>
      </c>
      <c r="DQ47" s="24">
        <f>IF(AV47&lt;&gt;-999,AV47*$DN47, -999)</f>
        <v>-44386487.255123273</v>
      </c>
      <c r="DR47">
        <f t="shared" si="20"/>
        <v>-19.943000000000001</v>
      </c>
      <c r="DS47">
        <f>IF(AW47&lt;&gt;-999,AW47*$DR47, -999)</f>
        <v>-23404349.020971742</v>
      </c>
      <c r="DT47">
        <f>IF(AX47&lt;&gt;-999,AX47*$DR47, -999)</f>
        <v>-999</v>
      </c>
      <c r="DU47" s="24">
        <f>IF(AY47&lt;&gt;-999,AY47*$DR47, -999)</f>
        <v>-23404349.020971742</v>
      </c>
      <c r="DV47">
        <f t="shared" si="21"/>
        <v>-25.870999999999999</v>
      </c>
      <c r="DW47">
        <f>IF(AZ47&lt;&gt;-999,AZ47*$DV47, -999)</f>
        <v>-68716276.601800948</v>
      </c>
      <c r="DX47">
        <f>IF(BA47&lt;&gt;-999,BA47*$DV47, -999)</f>
        <v>-999</v>
      </c>
      <c r="DY47" s="24">
        <f>IF(BB47&lt;&gt;-999,BB47*$DV47, -999)</f>
        <v>-68716276.601800948</v>
      </c>
      <c r="DZ47">
        <f t="shared" si="22"/>
        <v>-25.245000000000001</v>
      </c>
      <c r="EA47">
        <f>IF(BC47&lt;&gt;-999, BC47*$DZ47, -999)</f>
        <v>-29017242.794988561</v>
      </c>
      <c r="EB47">
        <f>IF(BD47&lt;&gt;-999, BD47*$DZ47, -999)</f>
        <v>-999</v>
      </c>
      <c r="EC47" s="24">
        <f>IF(BE47&lt;&gt;-999, BE47*$DZ47, -999)</f>
        <v>-29017242.794988561</v>
      </c>
      <c r="ED47">
        <f t="shared" si="23"/>
        <v>-29.317</v>
      </c>
      <c r="EE47">
        <f>IF(BF47&lt;&gt;-999,BF47*$ED47, -999)</f>
        <v>-15297688.973149</v>
      </c>
      <c r="EF47">
        <f>IF(BG47&lt;&gt;-999,BG47*$ED47, -999)</f>
        <v>-999</v>
      </c>
      <c r="EG47" s="24">
        <f>IF(BH47&lt;&gt;-999,BH47*$ED47, -999)</f>
        <v>-15297688.973149</v>
      </c>
      <c r="EH47">
        <f t="shared" si="24"/>
        <v>-38.03</v>
      </c>
      <c r="EI47">
        <f>IF(BI47&lt;&gt;-999,BI47*$EH47, -999)</f>
        <v>-44913097.500564449</v>
      </c>
      <c r="EJ47">
        <f>IF(BJ47&lt;&gt;-999,BJ47*$EH47, -999)</f>
        <v>-999</v>
      </c>
      <c r="EK47" s="24">
        <f>IF(BK47&lt;&gt;-999,BK47*$EH47, -999)</f>
        <v>-44913097.500564449</v>
      </c>
      <c r="EL47" s="28">
        <f t="shared" si="25"/>
        <v>-225735142.14659798</v>
      </c>
      <c r="EM47" s="22">
        <f>-17.17-(0.1023*G47)+H47*(100+102.093-66.644-64.243)</f>
        <v>12.872274687749908</v>
      </c>
      <c r="EN47">
        <f>IF(AT47&lt;&gt;-999,AT47*$EM47, -999)</f>
        <v>33276357.389182124</v>
      </c>
      <c r="EO47">
        <f>IF(AU47&lt;&gt;-999,AU47*$EM47, -999)</f>
        <v>-999</v>
      </c>
      <c r="EP47" s="23">
        <f>IF(AV47&lt;&gt;-999,AV47*$EM47, -999)</f>
        <v>33276357.389182124</v>
      </c>
      <c r="EQ47">
        <f>-19.943-(0.1023*G47)+H47*(100+102.093-66.644-64.243)</f>
        <v>10.099274687749904</v>
      </c>
      <c r="ER47">
        <f>IF(AW47&lt;&gt;-999,AW47*$EQ47, -999)</f>
        <v>11852126.041757217</v>
      </c>
      <c r="ES47">
        <f>IF(AX47&lt;&gt;-999,AX47*$EQ47, -999)</f>
        <v>-999</v>
      </c>
      <c r="ET47" s="23">
        <f>IF(AY47&lt;&gt;-999,AY47*$EQ47, -999)</f>
        <v>11852126.041757217</v>
      </c>
      <c r="EU47">
        <f>-25.871-(0.1023*G47)+H47*(100+102.093-66.644-64.243)</f>
        <v>4.1712746877499072</v>
      </c>
      <c r="EV47">
        <f>IF(AZ47&lt;&gt;-999,AZ47*$EU47, -999)</f>
        <v>11079373.245159196</v>
      </c>
      <c r="EW47">
        <f>IF(BA47&lt;&gt;-999,BA47*$EU47, -999)</f>
        <v>-999</v>
      </c>
      <c r="EX47" s="23">
        <f>IF(BB47&lt;&gt;-999,BB47*$EU47, -999)</f>
        <v>11079373.245159196</v>
      </c>
      <c r="EY47">
        <f>-25.245-(0.1023*G47)+H47*(100+102.093-66.644-64.243)</f>
        <v>4.7972746877499119</v>
      </c>
      <c r="EZ47">
        <f>IF(BC47&lt;&gt;-999, BC47*$EY47, -999)</f>
        <v>5514109.1055136509</v>
      </c>
      <c r="FA47">
        <f>IF(BD47&lt;&gt;-999, BD47*$EY47, -999)</f>
        <v>-999</v>
      </c>
      <c r="FB47" s="23">
        <f>IF(BE47&lt;&gt;-999, BE47*$EY47, -999)</f>
        <v>5514109.1055136509</v>
      </c>
      <c r="FC47">
        <f>-29.317-(0.1023*G47)+H47*(100+102.093-66.644-64.243)</f>
        <v>0.72527468774990922</v>
      </c>
      <c r="FD47">
        <f>IF(BF47&lt;&gt;-999,BF47*$FC47, -999)</f>
        <v>378450.27094504453</v>
      </c>
      <c r="FE47">
        <f>IF(BG47&lt;&gt;-999,BG47*$FC47, -999)</f>
        <v>-999</v>
      </c>
      <c r="FF47" s="23">
        <f>IF(BH47&lt;&gt;-999,BH47*$FC47, -999)</f>
        <v>378450.27094504453</v>
      </c>
      <c r="FG47">
        <f>-38.03-(0.1023*G47)+H47*(100+102.093-66.644-64.243)</f>
        <v>-7.9877253122500989</v>
      </c>
      <c r="FH47">
        <f>IF(BI47&lt;&gt;-999,BI47*$FG47, -999)</f>
        <v>-9433433.756424278</v>
      </c>
      <c r="FI47">
        <f>IF(BJ47&lt;&gt;-999,BJ47*$FG47, -999)</f>
        <v>-999</v>
      </c>
      <c r="FJ47" s="23">
        <f>IF(BK47&lt;&gt;-999,BK47*$FG47, -999)</f>
        <v>-9433433.756424278</v>
      </c>
      <c r="FK47" s="28">
        <f t="shared" si="26"/>
        <v>52666982.296132952</v>
      </c>
      <c r="FL47" s="22">
        <f t="shared" si="28"/>
        <v>10.012280000000011</v>
      </c>
      <c r="FM47">
        <f>IF(AT47&lt;&gt;-999,AT47*$FL47, -999)</f>
        <v>25882931.777211767</v>
      </c>
      <c r="FN47">
        <f>IF(AU47&lt;&gt;-999,AU47*$FL47, -999)</f>
        <v>-999</v>
      </c>
      <c r="FO47" s="29">
        <f>IF(AV47&lt;&gt;-999,AV47*$FL47, -999)</f>
        <v>25882931.777211767</v>
      </c>
      <c r="FP47">
        <f t="shared" si="29"/>
        <v>7.2392800000000115</v>
      </c>
      <c r="FQ47">
        <f>IF(AW47&lt;&gt;-999,AW47*$FP47, -999)</f>
        <v>8495744.661311768</v>
      </c>
      <c r="FR47">
        <f>IF(AX47&lt;&gt;-999,AX47*$FP47, -999)</f>
        <v>-999</v>
      </c>
      <c r="FS47" s="29">
        <f>IF(AY47&lt;&gt;-999,AY47*$FP47, -999)</f>
        <v>8495744.661311768</v>
      </c>
      <c r="FT47">
        <f t="shared" si="30"/>
        <v>1.3112800000000142</v>
      </c>
      <c r="FU47">
        <f>IF(AZ47&lt;&gt;-999,AZ47*$FT47, -999)</f>
        <v>3482906.6979401852</v>
      </c>
      <c r="FV47">
        <f>IF(BA47&lt;&gt;-999,BA47*$FT47, -999)</f>
        <v>-999</v>
      </c>
      <c r="FW47" s="29">
        <f>IF(BB47&lt;&gt;-999,BB47*$FT47, -999)</f>
        <v>3482906.6979401852</v>
      </c>
      <c r="FX47">
        <f t="shared" si="31"/>
        <v>1.9372800000000119</v>
      </c>
      <c r="FY47">
        <f>IF(BC47&lt;&gt;-999, BC47*$FX47, -999)</f>
        <v>2226758.7293276205</v>
      </c>
      <c r="FZ47">
        <f>IF(BD47&lt;&gt;-999, BD47*$FX47, -999)</f>
        <v>-999</v>
      </c>
      <c r="GA47" s="29">
        <f>IF(BE47&lt;&gt;-999, BE47*$FX47, -999)</f>
        <v>2226758.7293276205</v>
      </c>
      <c r="GB47">
        <f t="shared" si="32"/>
        <v>-2.1347199999999873</v>
      </c>
      <c r="GC47">
        <f>IF(BF47&lt;&gt;-999,BF47*$GB47, -999)</f>
        <v>-1113902.6027479088</v>
      </c>
      <c r="GD47">
        <f>IF(BG47&lt;&gt;-999,BG47*$GB47, -999)</f>
        <v>-999</v>
      </c>
      <c r="GE47" s="29">
        <f>IF(BH47&lt;&gt;-999,BH47*$GB47, -999)</f>
        <v>-1113902.6027479088</v>
      </c>
      <c r="GF47">
        <f t="shared" si="33"/>
        <v>-10.847719999999988</v>
      </c>
      <c r="GG47">
        <f>IF(BI47&lt;&gt;-999,BI47*$GF47, -999)</f>
        <v>-12811062.477486786</v>
      </c>
      <c r="GH47">
        <f>IF(BJ47&lt;&gt;-999,BJ47*$GF47, -999)</f>
        <v>-999</v>
      </c>
      <c r="GI47" s="29">
        <f>IF(BK47&lt;&gt;-999,BK47*$GF47, -999)</f>
        <v>-12811062.477486786</v>
      </c>
      <c r="GJ47" s="30">
        <f t="shared" si="27"/>
        <v>26163376.78555664</v>
      </c>
    </row>
    <row r="48" spans="1:192">
      <c r="A48" s="48" t="s">
        <v>178</v>
      </c>
      <c r="B48" s="48" t="s">
        <v>186</v>
      </c>
      <c r="C48" s="49">
        <v>139</v>
      </c>
      <c r="D48" s="50">
        <v>0.90500000000000003</v>
      </c>
      <c r="E48" s="49">
        <v>190.457306656241</v>
      </c>
      <c r="F48" s="49">
        <v>0.78253709189686205</v>
      </c>
      <c r="G48" s="49">
        <v>120.336452507236</v>
      </c>
      <c r="H48" s="49">
        <v>0.814928322680602</v>
      </c>
      <c r="I48" s="42">
        <v>7649.8</v>
      </c>
      <c r="J48" s="43">
        <v>5631.1</v>
      </c>
      <c r="K48" s="43">
        <f t="shared" si="0"/>
        <v>13280.900000000001</v>
      </c>
      <c r="L48" s="43">
        <v>3147.1</v>
      </c>
      <c r="M48" s="43">
        <v>2316.6</v>
      </c>
      <c r="N48" s="43">
        <f t="shared" si="1"/>
        <v>5463.7</v>
      </c>
      <c r="O48" s="43">
        <v>12360.2</v>
      </c>
      <c r="P48" s="43">
        <v>9098.4</v>
      </c>
      <c r="Q48" s="43">
        <f t="shared" si="2"/>
        <v>21458.6</v>
      </c>
      <c r="R48" s="43">
        <v>11764.6</v>
      </c>
      <c r="S48" s="43">
        <v>8660</v>
      </c>
      <c r="T48" s="43">
        <f t="shared" si="3"/>
        <v>20424.599999999999</v>
      </c>
      <c r="U48" s="43">
        <v>4840</v>
      </c>
      <c r="V48" s="43">
        <v>3562.7</v>
      </c>
      <c r="W48" s="43">
        <f t="shared" si="4"/>
        <v>8402.7000000000007</v>
      </c>
      <c r="X48" s="43">
        <v>19008.8</v>
      </c>
      <c r="Y48" s="43">
        <v>13992.4</v>
      </c>
      <c r="Z48" s="43">
        <f t="shared" si="5"/>
        <v>33001.199999999997</v>
      </c>
      <c r="AA48" s="22">
        <v>92023.4</v>
      </c>
      <c r="AB48">
        <v>49518.7</v>
      </c>
      <c r="AC48">
        <v>141542.1</v>
      </c>
      <c r="AD48">
        <v>37858.5</v>
      </c>
      <c r="AE48">
        <v>20372.099999999999</v>
      </c>
      <c r="AF48">
        <v>58230.6</v>
      </c>
      <c r="AG48">
        <v>148687.20000000001</v>
      </c>
      <c r="AH48">
        <v>80010.100000000006</v>
      </c>
      <c r="AI48">
        <v>228697.3</v>
      </c>
      <c r="AJ48">
        <v>141522.29999999999</v>
      </c>
      <c r="AK48">
        <v>76154.600000000006</v>
      </c>
      <c r="AL48">
        <v>217676.9</v>
      </c>
      <c r="AM48">
        <v>58222.5</v>
      </c>
      <c r="AN48">
        <v>31330.1</v>
      </c>
      <c r="AO48">
        <v>89552.6</v>
      </c>
      <c r="AP48">
        <v>228665.4</v>
      </c>
      <c r="AQ48">
        <v>123047.2</v>
      </c>
      <c r="AR48">
        <v>351712.5</v>
      </c>
      <c r="AS48">
        <v>1087411.93</v>
      </c>
      <c r="AT48" s="22">
        <f t="shared" si="36"/>
        <v>153189.925316715</v>
      </c>
      <c r="AU48">
        <f t="shared" si="36"/>
        <v>82433.011112182488</v>
      </c>
      <c r="AV48">
        <f t="shared" si="36"/>
        <v>235622.93642889749</v>
      </c>
      <c r="AW48">
        <f t="shared" si="36"/>
        <v>63022.457196787502</v>
      </c>
      <c r="AX48">
        <f t="shared" si="36"/>
        <v>33913.118593147497</v>
      </c>
      <c r="AY48">
        <f t="shared" si="36"/>
        <v>96935.575789934999</v>
      </c>
      <c r="AZ48">
        <f t="shared" si="36"/>
        <v>247517.27347121999</v>
      </c>
      <c r="BA48">
        <f t="shared" si="36"/>
        <v>133191.57131319752</v>
      </c>
      <c r="BB48">
        <f t="shared" si="36"/>
        <v>380708.84478441748</v>
      </c>
      <c r="BC48">
        <f t="shared" si="36"/>
        <v>235589.9756762925</v>
      </c>
      <c r="BD48">
        <f t="shared" si="36"/>
        <v>126773.38031983502</v>
      </c>
      <c r="BE48">
        <f t="shared" si="36"/>
        <v>362363.35599612753</v>
      </c>
      <c r="BF48">
        <f t="shared" si="36"/>
        <v>96922.091845687493</v>
      </c>
      <c r="BG48">
        <f t="shared" si="36"/>
        <v>52154.731070197493</v>
      </c>
      <c r="BH48">
        <f t="shared" si="36"/>
        <v>149076.82291588502</v>
      </c>
      <c r="BI48">
        <f t="shared" si="35"/>
        <v>380655.74134966498</v>
      </c>
      <c r="BJ48">
        <f t="shared" si="35"/>
        <v>204834.76353222001</v>
      </c>
      <c r="BK48">
        <f t="shared" si="35"/>
        <v>585490.33841343748</v>
      </c>
      <c r="BL48">
        <f t="shared" si="35"/>
        <v>1810197.7578007865</v>
      </c>
      <c r="BM48" s="22">
        <f>-17.17-(0.1023*E48)+F48*(100-8.576-13.681)</f>
        <v>24.182998664404295</v>
      </c>
      <c r="BN48">
        <f>IF(AT48&lt;&gt;-999,AT48*$BM48, -999)</f>
        <v>3704591.7593343128</v>
      </c>
      <c r="BO48">
        <f>IF(AU48&lt;&gt;-999,AU48*$BM48, -999)</f>
        <v>1993477.3976287334</v>
      </c>
      <c r="BP48" s="25">
        <f>IF(AV48&lt;&gt;-999,AV48*$BM48, -999)</f>
        <v>5698069.1569630457</v>
      </c>
      <c r="BQ48">
        <f>-19.943-(0.1023*E48)+F48*(100-8.576-13.681)</f>
        <v>21.409998664404291</v>
      </c>
      <c r="BR48">
        <f>IF(AW48&lt;&gt;-999,AW48*$BQ48, -999)</f>
        <v>1349310.7244106971</v>
      </c>
      <c r="BS48">
        <f>IF(AX48&lt;&gt;-999,AX48*$BQ48, -999)</f>
        <v>726079.82378507231</v>
      </c>
      <c r="BT48" s="25">
        <f>IF(AY48&lt;&gt;-999,AY48*$BQ48, -999)</f>
        <v>2075390.5481957693</v>
      </c>
      <c r="BU48">
        <f>-25.871-(0.1023*E48)+F48*(100-8.576-13.681)</f>
        <v>15.481998664404294</v>
      </c>
      <c r="BV48">
        <f>IF(AZ48&lt;&gt;-999,AZ48*$BU48, -999)</f>
        <v>3832062.0972984205</v>
      </c>
      <c r="BW48">
        <f>IF(BA48&lt;&gt;-999,BA48*$BU48, -999)</f>
        <v>2062071.7291808333</v>
      </c>
      <c r="BX48" s="25">
        <f>IF(BB48&lt;&gt;-999,BB48*$BU48, -999)</f>
        <v>5894133.8264792534</v>
      </c>
      <c r="BY48">
        <f>-25.245-(0.1023*E48)+F48*(100-8.576-13.681)</f>
        <v>16.107998664404299</v>
      </c>
      <c r="BZ48">
        <f>IF(BC48&lt;&gt;-999,BC48*$BY48, -999)</f>
        <v>3794883.0135407606</v>
      </c>
      <c r="CA48">
        <f>IF(BD48&lt;&gt;-999,BD48*$BY48, -999)</f>
        <v>2042065.4408739207</v>
      </c>
      <c r="CB48" s="25">
        <f>IF(BE48&lt;&gt;-999,BE48*$BY48, -999)</f>
        <v>5836948.4544146815</v>
      </c>
      <c r="CC48">
        <f>-29.317-(0.1023*E48)+F48*(100-8.576-13.681)</f>
        <v>12.035998664404296</v>
      </c>
      <c r="CD48">
        <f>IF(BF48&lt;&gt;-999,BF48*$CC48, -999)</f>
        <v>1166554.1680059652</v>
      </c>
      <c r="CE48">
        <f>IF(BG48&lt;&gt;-999,BG48*$CC48, -999)</f>
        <v>627734.27350326232</v>
      </c>
      <c r="CF48" s="25">
        <f>IF(BH48&lt;&gt;-999,BH48*$CC48, -999)</f>
        <v>1794288.4415092277</v>
      </c>
      <c r="CG48">
        <f>-38.03-(0.1023*E48)+F48*(100-8.576-13.681)</f>
        <v>3.3229986644042953</v>
      </c>
      <c r="CH48">
        <f>IF(BI48&lt;&gt;-999,BI48*$CG48, -999)</f>
        <v>1264918.5201027635</v>
      </c>
      <c r="CI48">
        <f>IF(BJ48&lt;&gt;-999,BJ48*$CG48, -999)</f>
        <v>680665.64564113668</v>
      </c>
      <c r="CJ48" s="25">
        <f>IF(BK48&lt;&gt;-999,BK48*$CG48, -999)</f>
        <v>1945583.6125694716</v>
      </c>
      <c r="CK48" s="26">
        <f t="shared" si="8"/>
        <v>23244414.040131446</v>
      </c>
      <c r="CL48">
        <f t="shared" si="9"/>
        <v>-24.183249165666773</v>
      </c>
      <c r="CM48">
        <f t="shared" si="10"/>
        <v>33.890675342936113</v>
      </c>
      <c r="CN48">
        <f t="shared" si="11"/>
        <v>-81.254026337065241</v>
      </c>
      <c r="CO48" s="22">
        <f t="shared" si="12"/>
        <v>-40.08</v>
      </c>
      <c r="CP48">
        <f>IF(AT48&lt;&gt;-999,AT48*$CO48, -999)</f>
        <v>-6139852.2066939371</v>
      </c>
      <c r="CQ48">
        <f>IF(AU48&lt;&gt;-999,AU48*$CO48, -999)</f>
        <v>-3303915.0853762738</v>
      </c>
      <c r="CR48" s="27">
        <f>IF(AV48&lt;&gt;-999,AV48*$CO48, -999)</f>
        <v>-9443767.2920702118</v>
      </c>
      <c r="CS48">
        <f t="shared" si="13"/>
        <v>-42.853000000000002</v>
      </c>
      <c r="CT48">
        <f>IF(AW48&lt;&gt;-999,AW48*$CS48, -999)</f>
        <v>-2700701.3582539349</v>
      </c>
      <c r="CU48">
        <f>IF(AX48&lt;&gt;-999,AX48*$CS48, -999)</f>
        <v>-1453278.8710721498</v>
      </c>
      <c r="CV48" s="27">
        <f>IF(AY48&lt;&gt;-999,AY48*$CS48, -999)</f>
        <v>-4153980.2293260847</v>
      </c>
      <c r="CW48">
        <f t="shared" si="14"/>
        <v>-48.780999999999999</v>
      </c>
      <c r="CX48">
        <f>IF(AZ48&lt;&gt;-999,AZ48*$CO48, -999)</f>
        <v>-9920492.3207264971</v>
      </c>
      <c r="CY48">
        <f>IF(BA48&lt;&gt;-999,BA48*$CO48, -999)</f>
        <v>-5338318.1782329567</v>
      </c>
      <c r="CZ48" s="27">
        <f>IF(BB48&lt;&gt;-999,BB48*$CO48, -999)</f>
        <v>-15258810.498959452</v>
      </c>
      <c r="DA48">
        <f t="shared" si="15"/>
        <v>-48.155000000000001</v>
      </c>
      <c r="DB48">
        <f>IF(BC48&lt;&gt;-999,BC48*$DA48, -999)</f>
        <v>-11344835.278691866</v>
      </c>
      <c r="DC48">
        <f>IF(BD48&lt;&gt;-999,BD48*$DA48, -999)</f>
        <v>-6104772.129301656</v>
      </c>
      <c r="DD48" s="27">
        <f>IF(BE48&lt;&gt;-999,BE48*$DA48, -999)</f>
        <v>-17449607.407993522</v>
      </c>
      <c r="DE48">
        <f t="shared" si="16"/>
        <v>-52.227000000000004</v>
      </c>
      <c r="DF48">
        <f>IF(BF48&lt;&gt;-999,BF48*$DE48, -999)</f>
        <v>-5061950.0908247214</v>
      </c>
      <c r="DG48">
        <f>IF(BG48&lt;&gt;-999,BG48*$DE48, -999)</f>
        <v>-2723885.1396032046</v>
      </c>
      <c r="DH48" s="27">
        <f>IF(BH48&lt;&gt;-999,BH48*$DE48, -999)</f>
        <v>-7785835.2304279273</v>
      </c>
      <c r="DI48">
        <f t="shared" si="17"/>
        <v>-60.94</v>
      </c>
      <c r="DJ48">
        <f>IF(BI48&lt;&gt;-999,BI48*$DI48, -999)</f>
        <v>-23197160.877848584</v>
      </c>
      <c r="DK48">
        <f>IF(BJ48&lt;&gt;-999,BJ48*$DI48, -999)</f>
        <v>-12482630.489653487</v>
      </c>
      <c r="DL48" s="27">
        <f>IF(BK48&lt;&gt;-999,BK48*$DI48, -999)</f>
        <v>-35679781.222914882</v>
      </c>
      <c r="DM48" s="28">
        <f t="shared" si="18"/>
        <v>-89771781.881692082</v>
      </c>
      <c r="DN48" s="22">
        <f t="shared" si="19"/>
        <v>-17.170000000000002</v>
      </c>
      <c r="DO48">
        <f>IF(AT48&lt;&gt;-999,AT48*$DN48, -999)</f>
        <v>-2630271.0176879968</v>
      </c>
      <c r="DP48">
        <f>IF(AU48&lt;&gt;-999,AU48*$DN48, -999)</f>
        <v>-1415374.8007961735</v>
      </c>
      <c r="DQ48" s="24">
        <f>IF(AV48&lt;&gt;-999,AV48*$DN48, -999)</f>
        <v>-4045645.8184841704</v>
      </c>
      <c r="DR48">
        <f t="shared" si="20"/>
        <v>-19.943000000000001</v>
      </c>
      <c r="DS48">
        <f>IF(AW48&lt;&gt;-999,AW48*$DR48, -999)</f>
        <v>-1256856.8638755332</v>
      </c>
      <c r="DT48">
        <f>IF(AX48&lt;&gt;-999,AX48*$DR48, -999)</f>
        <v>-676329.32410314062</v>
      </c>
      <c r="DU48" s="24">
        <f>IF(AY48&lt;&gt;-999,AY48*$DR48, -999)</f>
        <v>-1933186.1879786737</v>
      </c>
      <c r="DV48">
        <f t="shared" si="21"/>
        <v>-25.870999999999999</v>
      </c>
      <c r="DW48">
        <f>IF(AZ48&lt;&gt;-999,AZ48*$DV48, -999)</f>
        <v>-6403519.3819739316</v>
      </c>
      <c r="DX48">
        <f>IF(BA48&lt;&gt;-999,BA48*$DV48, -999)</f>
        <v>-3445799.1414437327</v>
      </c>
      <c r="DY48" s="24">
        <f>IF(BB48&lt;&gt;-999,BB48*$DV48, -999)</f>
        <v>-9849318.5234176647</v>
      </c>
      <c r="DZ48">
        <f t="shared" si="22"/>
        <v>-25.245000000000001</v>
      </c>
      <c r="EA48">
        <f>IF(BC48&lt;&gt;-999, BC48*$DZ48, -999)</f>
        <v>-5947468.935948004</v>
      </c>
      <c r="EB48">
        <f>IF(BD48&lt;&gt;-999, BD48*$DZ48, -999)</f>
        <v>-3200393.9861742351</v>
      </c>
      <c r="EC48" s="24">
        <f>IF(BE48&lt;&gt;-999, BE48*$DZ48, -999)</f>
        <v>-9147862.9221222401</v>
      </c>
      <c r="ED48">
        <f t="shared" si="23"/>
        <v>-29.317</v>
      </c>
      <c r="EE48">
        <f>IF(BF48&lt;&gt;-999,BF48*$ED48, -999)</f>
        <v>-2841464.9666400203</v>
      </c>
      <c r="EF48">
        <f>IF(BG48&lt;&gt;-999,BG48*$ED48, -999)</f>
        <v>-1529020.2507849799</v>
      </c>
      <c r="EG48" s="24">
        <f>IF(BH48&lt;&gt;-999,BH48*$ED48, -999)</f>
        <v>-4370485.2174250009</v>
      </c>
      <c r="EH48">
        <f t="shared" si="24"/>
        <v>-38.03</v>
      </c>
      <c r="EI48">
        <f>IF(BI48&lt;&gt;-999,BI48*$EH48, -999)</f>
        <v>-14476337.84352776</v>
      </c>
      <c r="EJ48">
        <f>IF(BJ48&lt;&gt;-999,BJ48*$EH48, -999)</f>
        <v>-7789866.0571303274</v>
      </c>
      <c r="EK48" s="24">
        <f>IF(BK48&lt;&gt;-999,BK48*$EH48, -999)</f>
        <v>-22266197.569863029</v>
      </c>
      <c r="EL48" s="28">
        <f t="shared" si="25"/>
        <v>-51612696.239290774</v>
      </c>
      <c r="EM48" s="22">
        <f>-17.17-(0.1023*G48)+H48*(100+102.093-66.644-64.243)</f>
        <v>28.547367053304711</v>
      </c>
      <c r="EN48">
        <f>IF(AT48&lt;&gt;-999,AT48*$EM48, -999)</f>
        <v>4373169.0268845996</v>
      </c>
      <c r="EO48">
        <f>IF(AU48&lt;&gt;-999,AU48*$EM48, -999)</f>
        <v>2353245.4255286194</v>
      </c>
      <c r="EP48" s="23">
        <f>IF(AV48&lt;&gt;-999,AV48*$EM48, -999)</f>
        <v>6726414.452413219</v>
      </c>
      <c r="EQ48">
        <f>-19.943-(0.1023*G48)+H48*(100+102.093-66.644-64.243)</f>
        <v>25.774367053304715</v>
      </c>
      <c r="ER48">
        <f>IF(AW48&lt;&gt;-999,AW48*$EQ48, -999)</f>
        <v>1624363.9443911863</v>
      </c>
      <c r="ES48">
        <f>IF(AX48&lt;&gt;-999,AX48*$EQ48, -999)</f>
        <v>874089.16654203646</v>
      </c>
      <c r="ET48" s="23">
        <f>IF(AY48&lt;&gt;-999,AY48*$EQ48, -999)</f>
        <v>2498453.1109332228</v>
      </c>
      <c r="EU48">
        <f>-25.871-(0.1023*G48)+H48*(100+102.093-66.644-64.243)</f>
        <v>19.846367053304718</v>
      </c>
      <c r="EV48">
        <f>IF(AZ48&lt;&gt;-999,AZ48*$EU48, -999)</f>
        <v>4912318.6613430344</v>
      </c>
      <c r="EW48">
        <f>IF(BA48&lt;&gt;-999,BA48*$EU48, -999)</f>
        <v>2643368.812688129</v>
      </c>
      <c r="EX48" s="23">
        <f>IF(BB48&lt;&gt;-999,BB48*$EU48, -999)</f>
        <v>7555687.4740311624</v>
      </c>
      <c r="EY48">
        <f>-25.245-(0.1023*G48)+H48*(100+102.093-66.644-64.243)</f>
        <v>20.472367053304716</v>
      </c>
      <c r="EZ48">
        <f>IF(BC48&lt;&gt;-999, BC48*$EY48, -999)</f>
        <v>4823084.4561241902</v>
      </c>
      <c r="FA48">
        <f>IF(BD48&lt;&gt;-999, BD48*$EY48, -999)</f>
        <v>2595351.1744958591</v>
      </c>
      <c r="FB48" s="23">
        <f>IF(BE48&lt;&gt;-999, BE48*$EY48, -999)</f>
        <v>7418435.6306200493</v>
      </c>
      <c r="FC48">
        <f>-29.317-(0.1023*G48)+H48*(100+102.093-66.644-64.243)</f>
        <v>16.400367053304713</v>
      </c>
      <c r="FD48">
        <f>IF(BF48&lt;&gt;-999,BF48*$FC48, -999)</f>
        <v>1589557.8818433865</v>
      </c>
      <c r="FE48">
        <f>IF(BG48&lt;&gt;-999,BG48*$FC48, -999)</f>
        <v>855356.73311763466</v>
      </c>
      <c r="FF48" s="23">
        <f>IF(BH48&lt;&gt;-999,BH48*$FC48, -999)</f>
        <v>2444914.6149610216</v>
      </c>
      <c r="FG48">
        <f>-38.03-(0.1023*G48)+H48*(100+102.093-66.644-64.243)</f>
        <v>7.6873670533047118</v>
      </c>
      <c r="FH48">
        <f>IF(BI48&lt;&gt;-999,BI48*$FG48, -999)</f>
        <v>2926240.4047026946</v>
      </c>
      <c r="FI48">
        <f>IF(BJ48&lt;&gt;-999,BJ48*$FG48, -999)</f>
        <v>1574640.0125490495</v>
      </c>
      <c r="FJ48" s="23">
        <f>IF(BK48&lt;&gt;-999,BK48*$FG48, -999)</f>
        <v>4500879.1375476858</v>
      </c>
      <c r="FK48" s="28">
        <f t="shared" si="26"/>
        <v>31144784.420506358</v>
      </c>
      <c r="FL48" s="22">
        <f t="shared" si="28"/>
        <v>10.012280000000011</v>
      </c>
      <c r="FM48">
        <f>IF(AT48&lt;&gt;-999,AT48*$FL48, -999)</f>
        <v>1533780.425450041</v>
      </c>
      <c r="FN48">
        <f>IF(AU48&lt;&gt;-999,AU48*$FL48, -999)</f>
        <v>825342.38849828346</v>
      </c>
      <c r="FO48" s="29">
        <f>IF(AV48&lt;&gt;-999,AV48*$FL48, -999)</f>
        <v>2359122.8139483244</v>
      </c>
      <c r="FP48">
        <f t="shared" si="29"/>
        <v>7.2392800000000115</v>
      </c>
      <c r="FQ48">
        <f>IF(AW48&lt;&gt;-999,AW48*$FP48, -999)</f>
        <v>456237.21393556055</v>
      </c>
      <c r="FR48">
        <f>IF(AX48&lt;&gt;-999,AX48*$FP48, -999)</f>
        <v>245506.56116900122</v>
      </c>
      <c r="FS48" s="29">
        <f>IF(AY48&lt;&gt;-999,AY48*$FP48, -999)</f>
        <v>701743.7751045617</v>
      </c>
      <c r="FT48">
        <f t="shared" si="30"/>
        <v>1.3112800000000142</v>
      </c>
      <c r="FU48">
        <f>IF(AZ48&lt;&gt;-999,AZ48*$FT48, -999)</f>
        <v>324564.45035734487</v>
      </c>
      <c r="FV48">
        <f>IF(BA48&lt;&gt;-999,BA48*$FT48, -999)</f>
        <v>174651.44363157154</v>
      </c>
      <c r="FW48" s="29">
        <f>IF(BB48&lt;&gt;-999,BB48*$FT48, -999)</f>
        <v>499215.89398891636</v>
      </c>
      <c r="FX48">
        <f t="shared" si="31"/>
        <v>1.9372800000000119</v>
      </c>
      <c r="FY48">
        <f>IF(BC48&lt;&gt;-999, BC48*$FX48, -999)</f>
        <v>456403.7480781707</v>
      </c>
      <c r="FZ48">
        <f>IF(BD48&lt;&gt;-999, BD48*$FX48, -999)</f>
        <v>245595.53422601148</v>
      </c>
      <c r="GA48" s="29">
        <f>IF(BE48&lt;&gt;-999, BE48*$FX48, -999)</f>
        <v>701999.2823041823</v>
      </c>
      <c r="GB48">
        <f t="shared" si="32"/>
        <v>-2.1347199999999873</v>
      </c>
      <c r="GC48">
        <f>IF(BF48&lt;&gt;-999,BF48*$GB48, -999)</f>
        <v>-206901.52790482476</v>
      </c>
      <c r="GD48">
        <f>IF(BG48&lt;&gt;-999,BG48*$GB48, -999)</f>
        <v>-111335.74751017134</v>
      </c>
      <c r="GE48" s="29">
        <f>IF(BH48&lt;&gt;-999,BH48*$GB48, -999)</f>
        <v>-318237.27541499614</v>
      </c>
      <c r="GF48">
        <f t="shared" si="33"/>
        <v>-10.847719999999988</v>
      </c>
      <c r="GG48">
        <f>IF(BI48&lt;&gt;-999,BI48*$GF48, -999)</f>
        <v>-4129246.8985535833</v>
      </c>
      <c r="GH48">
        <f>IF(BJ48&lt;&gt;-999,BJ48*$GF48, -999)</f>
        <v>-2221990.1610637312</v>
      </c>
      <c r="GI48" s="29">
        <f>IF(BK48&lt;&gt;-999,BK48*$GF48, -999)</f>
        <v>-6351235.2538142074</v>
      </c>
      <c r="GJ48" s="30">
        <f t="shared" si="27"/>
        <v>-2407390.7638832186</v>
      </c>
    </row>
    <row r="49" spans="1:192">
      <c r="A49" s="48" t="s">
        <v>161</v>
      </c>
      <c r="B49" s="48" t="s">
        <v>187</v>
      </c>
      <c r="C49" s="49">
        <v>74</v>
      </c>
      <c r="D49" s="50">
        <v>0.90400000000000003</v>
      </c>
      <c r="E49" s="49">
        <v>111.609412574149</v>
      </c>
      <c r="F49" s="49">
        <v>0.79172317383341495</v>
      </c>
      <c r="G49" s="49">
        <v>67.642716214481396</v>
      </c>
      <c r="H49" s="49">
        <v>0.81863133397634602</v>
      </c>
      <c r="I49" s="42">
        <v>14801</v>
      </c>
      <c r="J49" s="43">
        <v>-999</v>
      </c>
      <c r="K49" s="43">
        <f t="shared" si="0"/>
        <v>14801</v>
      </c>
      <c r="L49" s="43">
        <v>6924.3</v>
      </c>
      <c r="M49" s="43">
        <v>-999</v>
      </c>
      <c r="N49" s="43">
        <f t="shared" si="1"/>
        <v>6924.3</v>
      </c>
      <c r="O49" s="43">
        <v>27740.3</v>
      </c>
      <c r="P49" s="43">
        <v>-999</v>
      </c>
      <c r="Q49" s="43">
        <f t="shared" si="2"/>
        <v>27740.3</v>
      </c>
      <c r="R49" s="43">
        <v>4012.2</v>
      </c>
      <c r="S49" s="43">
        <v>-999</v>
      </c>
      <c r="T49" s="43">
        <f t="shared" si="3"/>
        <v>4012.2</v>
      </c>
      <c r="U49" s="43">
        <v>1877</v>
      </c>
      <c r="V49" s="43">
        <v>-999</v>
      </c>
      <c r="W49" s="43">
        <f t="shared" si="4"/>
        <v>1877</v>
      </c>
      <c r="X49" s="43">
        <v>7519.8</v>
      </c>
      <c r="Y49" s="43">
        <v>-999</v>
      </c>
      <c r="Z49" s="43">
        <f t="shared" si="5"/>
        <v>7519.8</v>
      </c>
      <c r="AA49" s="22">
        <v>72215.100000000006</v>
      </c>
      <c r="AB49">
        <v>-999</v>
      </c>
      <c r="AC49">
        <v>72215.100000000006</v>
      </c>
      <c r="AD49">
        <v>33784.199999999997</v>
      </c>
      <c r="AE49">
        <v>-999</v>
      </c>
      <c r="AF49">
        <v>33784.199999999997</v>
      </c>
      <c r="AG49">
        <v>135346.9</v>
      </c>
      <c r="AH49">
        <v>-999</v>
      </c>
      <c r="AI49">
        <v>135346.9</v>
      </c>
      <c r="AJ49">
        <v>19576.099999999999</v>
      </c>
      <c r="AK49">
        <v>-999</v>
      </c>
      <c r="AL49">
        <v>19576.099999999999</v>
      </c>
      <c r="AM49">
        <v>9158.2000000000007</v>
      </c>
      <c r="AN49">
        <v>-999</v>
      </c>
      <c r="AO49">
        <v>9158.2000000000007</v>
      </c>
      <c r="AP49">
        <v>36689.800000000003</v>
      </c>
      <c r="AQ49">
        <v>-999</v>
      </c>
      <c r="AR49">
        <v>36689.800000000003</v>
      </c>
      <c r="AS49">
        <v>306770.28000000003</v>
      </c>
      <c r="AT49" s="22">
        <f t="shared" si="36"/>
        <v>120215.35583057252</v>
      </c>
      <c r="AU49">
        <f t="shared" si="36"/>
        <v>-999</v>
      </c>
      <c r="AV49">
        <f t="shared" si="36"/>
        <v>120215.35583057252</v>
      </c>
      <c r="AW49">
        <f t="shared" si="36"/>
        <v>56240.033240294993</v>
      </c>
      <c r="AX49">
        <f t="shared" si="36"/>
        <v>-999</v>
      </c>
      <c r="AY49">
        <f t="shared" si="36"/>
        <v>56240.033240294993</v>
      </c>
      <c r="AZ49">
        <f t="shared" si="36"/>
        <v>225309.88316937748</v>
      </c>
      <c r="BA49">
        <f t="shared" si="36"/>
        <v>-999</v>
      </c>
      <c r="BB49">
        <f t="shared" si="36"/>
        <v>225309.88316937748</v>
      </c>
      <c r="BC49">
        <f t="shared" si="36"/>
        <v>32588.029751047499</v>
      </c>
      <c r="BD49">
        <f t="shared" si="36"/>
        <v>-999</v>
      </c>
      <c r="BE49">
        <f t="shared" si="36"/>
        <v>32588.029751047499</v>
      </c>
      <c r="BF49">
        <f t="shared" si="36"/>
        <v>15245.513358945002</v>
      </c>
      <c r="BG49">
        <f t="shared" si="36"/>
        <v>-999</v>
      </c>
      <c r="BH49">
        <f t="shared" si="36"/>
        <v>15245.513358945002</v>
      </c>
      <c r="BI49">
        <f t="shared" si="35"/>
        <v>61076.940450855014</v>
      </c>
      <c r="BJ49">
        <f t="shared" si="35"/>
        <v>-999</v>
      </c>
      <c r="BK49">
        <f t="shared" si="35"/>
        <v>61076.940450855014</v>
      </c>
      <c r="BL49">
        <f t="shared" si="35"/>
        <v>510675.72250740306</v>
      </c>
      <c r="BM49" s="22">
        <f>-17.17-(0.1023*E49)+F49*(100-8.576-13.681)</f>
        <v>32.96329179699574</v>
      </c>
      <c r="BN49">
        <f>IF(AT49&lt;&gt;-999,AT49*$BM49, -999)</f>
        <v>3962693.8527228353</v>
      </c>
      <c r="BO49">
        <f>IF(AU49&lt;&gt;-999,AU49*$BM49, -999)</f>
        <v>-999</v>
      </c>
      <c r="BP49" s="25">
        <f>IF(AV49&lt;&gt;-999,AV49*$BM49, -999)</f>
        <v>3962693.8527228353</v>
      </c>
      <c r="BQ49">
        <f>-19.943-(0.1023*E49)+F49*(100-8.576-13.681)</f>
        <v>30.190291796995744</v>
      </c>
      <c r="BR49">
        <f>IF(AW49&lt;&gt;-999,AW49*$BQ49, -999)</f>
        <v>1697903.0141972459</v>
      </c>
      <c r="BS49">
        <f>IF(AX49&lt;&gt;-999,AX49*$BQ49, -999)</f>
        <v>-999</v>
      </c>
      <c r="BT49" s="25">
        <f>IF(AY49&lt;&gt;-999,AY49*$BQ49, -999)</f>
        <v>1697903.0141972459</v>
      </c>
      <c r="BU49">
        <f>-25.871-(0.1023*E49)+F49*(100-8.576-13.681)</f>
        <v>24.262291796995747</v>
      </c>
      <c r="BV49">
        <f>IF(AZ49&lt;&gt;-999,AZ49*$BU49, -999)</f>
        <v>5466534.1302024573</v>
      </c>
      <c r="BW49">
        <f>IF(BA49&lt;&gt;-999,BA49*$BU49, -999)</f>
        <v>-999</v>
      </c>
      <c r="BX49" s="25">
        <f>IF(BB49&lt;&gt;-999,BB49*$BU49, -999)</f>
        <v>5466534.1302024573</v>
      </c>
      <c r="BY49">
        <f>-25.245-(0.1023*E49)+F49*(100-8.576-13.681)</f>
        <v>24.888291796995745</v>
      </c>
      <c r="BZ49">
        <f>IF(BC49&lt;&gt;-999,BC49*$BY49, -999)</f>
        <v>811060.3935332488</v>
      </c>
      <c r="CA49">
        <f>IF(BD49&lt;&gt;-999,BD49*$BY49, -999)</f>
        <v>-999</v>
      </c>
      <c r="CB49" s="25">
        <f>IF(BE49&lt;&gt;-999,BE49*$BY49, -999)</f>
        <v>811060.3935332488</v>
      </c>
      <c r="CC49">
        <f>-29.317-(0.1023*E49)+F49*(100-8.576-13.681)</f>
        <v>20.816291796995742</v>
      </c>
      <c r="CD49">
        <f>IF(BF49&lt;&gt;-999,BF49*$CC49, -999)</f>
        <v>317355.05467479583</v>
      </c>
      <c r="CE49">
        <f>IF(BG49&lt;&gt;-999,BG49*$CC49, -999)</f>
        <v>-999</v>
      </c>
      <c r="CF49" s="25">
        <f>IF(BH49&lt;&gt;-999,BH49*$CC49, -999)</f>
        <v>317355.05467479583</v>
      </c>
      <c r="CG49">
        <f>-38.03-(0.1023*E49)+F49*(100-8.576-13.681)</f>
        <v>12.103291796995741</v>
      </c>
      <c r="CH49">
        <f>IF(BI49&lt;&gt;-999,BI49*$CG49, -999)</f>
        <v>739232.0323444308</v>
      </c>
      <c r="CI49">
        <f>IF(BJ49&lt;&gt;-999,BJ49*$CG49, -999)</f>
        <v>-999</v>
      </c>
      <c r="CJ49" s="25">
        <f>IF(BK49&lt;&gt;-999,BK49*$CG49, -999)</f>
        <v>739232.0323444308</v>
      </c>
      <c r="CK49" s="26">
        <f t="shared" si="8"/>
        <v>12994778.477675013</v>
      </c>
      <c r="CL49">
        <f t="shared" si="9"/>
        <v>-33.83250017043234</v>
      </c>
      <c r="CM49">
        <f t="shared" si="10"/>
        <v>23.567613280790198</v>
      </c>
      <c r="CN49">
        <f t="shared" si="11"/>
        <v>-90.241105445635284</v>
      </c>
      <c r="CO49" s="22">
        <f t="shared" si="12"/>
        <v>-40.08</v>
      </c>
      <c r="CP49">
        <f>IF(AT49&lt;&gt;-999,AT49*$CO49, -999)</f>
        <v>-4818231.4616893465</v>
      </c>
      <c r="CQ49">
        <f>IF(AU49&lt;&gt;-999,AU49*$CO49, -999)</f>
        <v>-999</v>
      </c>
      <c r="CR49" s="27">
        <f>IF(AV49&lt;&gt;-999,AV49*$CO49, -999)</f>
        <v>-4818231.4616893465</v>
      </c>
      <c r="CS49">
        <f t="shared" si="13"/>
        <v>-42.853000000000002</v>
      </c>
      <c r="CT49">
        <f>IF(AW49&lt;&gt;-999,AW49*$CS49, -999)</f>
        <v>-2410054.1444463613</v>
      </c>
      <c r="CU49">
        <f>IF(AX49&lt;&gt;-999,AX49*$CS49, -999)</f>
        <v>-999</v>
      </c>
      <c r="CV49" s="27">
        <f>IF(AY49&lt;&gt;-999,AY49*$CS49, -999)</f>
        <v>-2410054.1444463613</v>
      </c>
      <c r="CW49">
        <f t="shared" si="14"/>
        <v>-48.780999999999999</v>
      </c>
      <c r="CX49">
        <f>IF(AZ49&lt;&gt;-999,AZ49*$CO49, -999)</f>
        <v>-9030420.1174286492</v>
      </c>
      <c r="CY49">
        <f>IF(BA49&lt;&gt;-999,BA49*$CO49, -999)</f>
        <v>-999</v>
      </c>
      <c r="CZ49" s="27">
        <f>IF(BB49&lt;&gt;-999,BB49*$CO49, -999)</f>
        <v>-9030420.1174286492</v>
      </c>
      <c r="DA49">
        <f t="shared" si="15"/>
        <v>-48.155000000000001</v>
      </c>
      <c r="DB49">
        <f>IF(BC49&lt;&gt;-999,BC49*$DA49, -999)</f>
        <v>-1569276.5726616923</v>
      </c>
      <c r="DC49">
        <f>IF(BD49&lt;&gt;-999,BD49*$DA49, -999)</f>
        <v>-999</v>
      </c>
      <c r="DD49" s="27">
        <f>IF(BE49&lt;&gt;-999,BE49*$DA49, -999)</f>
        <v>-1569276.5726616923</v>
      </c>
      <c r="DE49">
        <f t="shared" si="16"/>
        <v>-52.227000000000004</v>
      </c>
      <c r="DF49">
        <f>IF(BF49&lt;&gt;-999,BF49*$DE49, -999)</f>
        <v>-796227.42619762069</v>
      </c>
      <c r="DG49">
        <f>IF(BG49&lt;&gt;-999,BG49*$DE49, -999)</f>
        <v>-999</v>
      </c>
      <c r="DH49" s="27">
        <f>IF(BH49&lt;&gt;-999,BH49*$DE49, -999)</f>
        <v>-796227.42619762069</v>
      </c>
      <c r="DI49">
        <f t="shared" si="17"/>
        <v>-60.94</v>
      </c>
      <c r="DJ49">
        <f>IF(BI49&lt;&gt;-999,BI49*$DI49, -999)</f>
        <v>-3722028.7510751043</v>
      </c>
      <c r="DK49">
        <f>IF(BJ49&lt;&gt;-999,BJ49*$DI49, -999)</f>
        <v>-999</v>
      </c>
      <c r="DL49" s="27">
        <f>IF(BK49&lt;&gt;-999,BK49*$DI49, -999)</f>
        <v>-3722028.7510751043</v>
      </c>
      <c r="DM49" s="28">
        <f t="shared" si="18"/>
        <v>-22346238.473498773</v>
      </c>
      <c r="DN49" s="22">
        <f t="shared" si="19"/>
        <v>-17.170000000000002</v>
      </c>
      <c r="DO49">
        <f>IF(AT49&lt;&gt;-999,AT49*$DN49, -999)</f>
        <v>-2064097.6596109304</v>
      </c>
      <c r="DP49">
        <f>IF(AU49&lt;&gt;-999,AU49*$DN49, -999)</f>
        <v>-999</v>
      </c>
      <c r="DQ49" s="24">
        <f>IF(AV49&lt;&gt;-999,AV49*$DN49, -999)</f>
        <v>-2064097.6596109304</v>
      </c>
      <c r="DR49">
        <f t="shared" si="20"/>
        <v>-19.943000000000001</v>
      </c>
      <c r="DS49">
        <f>IF(AW49&lt;&gt;-999,AW49*$DR49, -999)</f>
        <v>-1121594.9829112031</v>
      </c>
      <c r="DT49">
        <f>IF(AX49&lt;&gt;-999,AX49*$DR49, -999)</f>
        <v>-999</v>
      </c>
      <c r="DU49" s="24">
        <f>IF(AY49&lt;&gt;-999,AY49*$DR49, -999)</f>
        <v>-1121594.9829112031</v>
      </c>
      <c r="DV49">
        <f t="shared" si="21"/>
        <v>-25.870999999999999</v>
      </c>
      <c r="DW49">
        <f>IF(AZ49&lt;&gt;-999,AZ49*$DV49, -999)</f>
        <v>-5828991.9874749649</v>
      </c>
      <c r="DX49">
        <f>IF(BA49&lt;&gt;-999,BA49*$DV49, -999)</f>
        <v>-999</v>
      </c>
      <c r="DY49" s="24">
        <f>IF(BB49&lt;&gt;-999,BB49*$DV49, -999)</f>
        <v>-5828991.9874749649</v>
      </c>
      <c r="DZ49">
        <f t="shared" si="22"/>
        <v>-25.245000000000001</v>
      </c>
      <c r="EA49">
        <f>IF(BC49&lt;&gt;-999, BC49*$DZ49, -999)</f>
        <v>-822684.8110651942</v>
      </c>
      <c r="EB49">
        <f>IF(BD49&lt;&gt;-999, BD49*$DZ49, -999)</f>
        <v>-999</v>
      </c>
      <c r="EC49" s="24">
        <f>IF(BE49&lt;&gt;-999, BE49*$DZ49, -999)</f>
        <v>-822684.8110651942</v>
      </c>
      <c r="ED49">
        <f t="shared" si="23"/>
        <v>-29.317</v>
      </c>
      <c r="EE49">
        <f>IF(BF49&lt;&gt;-999,BF49*$ED49, -999)</f>
        <v>-446952.71514419059</v>
      </c>
      <c r="EF49">
        <f>IF(BG49&lt;&gt;-999,BG49*$ED49, -999)</f>
        <v>-999</v>
      </c>
      <c r="EG49" s="24">
        <f>IF(BH49&lt;&gt;-999,BH49*$ED49, -999)</f>
        <v>-446952.71514419059</v>
      </c>
      <c r="EH49">
        <f t="shared" si="24"/>
        <v>-38.03</v>
      </c>
      <c r="EI49">
        <f>IF(BI49&lt;&gt;-999,BI49*$EH49, -999)</f>
        <v>-2322756.0453460161</v>
      </c>
      <c r="EJ49">
        <f>IF(BJ49&lt;&gt;-999,BJ49*$EH49, -999)</f>
        <v>-999</v>
      </c>
      <c r="EK49" s="24">
        <f>IF(BK49&lt;&gt;-999,BK49*$EH49, -999)</f>
        <v>-2322756.0453460161</v>
      </c>
      <c r="EL49" s="28">
        <f t="shared" si="25"/>
        <v>-12607078.201552501</v>
      </c>
      <c r="EM49" s="22">
        <f>-17.17-(0.1023*G49)+H49*(100+102.093-66.644-64.243)</f>
        <v>34.201612898378258</v>
      </c>
      <c r="EN49">
        <f>IF(AT49&lt;&gt;-999,AT49*$EM49, -999)</f>
        <v>4111559.0645580408</v>
      </c>
      <c r="EO49">
        <f>IF(AU49&lt;&gt;-999,AU49*$EM49, -999)</f>
        <v>-999</v>
      </c>
      <c r="EP49" s="23">
        <f>IF(AV49&lt;&gt;-999,AV49*$EM49, -999)</f>
        <v>4111559.0645580408</v>
      </c>
      <c r="EQ49">
        <f>-19.943-(0.1023*G49)+H49*(100+102.093-66.644-64.243)</f>
        <v>31.428612898378262</v>
      </c>
      <c r="ER49">
        <f>IF(AW49&lt;&gt;-999,AW49*$EQ49, -999)</f>
        <v>1767546.2341011574</v>
      </c>
      <c r="ES49">
        <f>IF(AX49&lt;&gt;-999,AX49*$EQ49, -999)</f>
        <v>-999</v>
      </c>
      <c r="ET49" s="23">
        <f>IF(AY49&lt;&gt;-999,AY49*$EQ49, -999)</f>
        <v>1767546.2341011574</v>
      </c>
      <c r="EU49">
        <f>-25.871-(0.1023*G49)+H49*(100+102.093-66.644-64.243)</f>
        <v>25.500612898378265</v>
      </c>
      <c r="EV49">
        <f>IF(AZ49&lt;&gt;-999,AZ49*$EU49, -999)</f>
        <v>5745540.1128811277</v>
      </c>
      <c r="EW49">
        <f>IF(BA49&lt;&gt;-999,BA49*$EU49, -999)</f>
        <v>-999</v>
      </c>
      <c r="EX49" s="23">
        <f>IF(BB49&lt;&gt;-999,BB49*$EU49, -999)</f>
        <v>5745540.1128811277</v>
      </c>
      <c r="EY49">
        <f>-25.245-(0.1023*G49)+H49*(100+102.093-66.644-64.243)</f>
        <v>26.126612898378262</v>
      </c>
      <c r="EZ49">
        <f>IF(BC49&lt;&gt;-999, BC49*$EY49, -999)</f>
        <v>851414.83842645213</v>
      </c>
      <c r="FA49">
        <f>IF(BD49&lt;&gt;-999, BD49*$EY49, -999)</f>
        <v>-999</v>
      </c>
      <c r="FB49" s="23">
        <f>IF(BE49&lt;&gt;-999, BE49*$EY49, -999)</f>
        <v>851414.83842645213</v>
      </c>
      <c r="FC49">
        <f>-29.317-(0.1023*G49)+H49*(100+102.093-66.644-64.243)</f>
        <v>22.054612898378267</v>
      </c>
      <c r="FD49">
        <f>IF(BF49&lt;&gt;-999,BF49*$FC49, -999)</f>
        <v>336233.89556858659</v>
      </c>
      <c r="FE49">
        <f>IF(BG49&lt;&gt;-999,BG49*$FC49, -999)</f>
        <v>-999</v>
      </c>
      <c r="FF49" s="23">
        <f>IF(BH49&lt;&gt;-999,BH49*$FC49, -999)</f>
        <v>336233.89556858659</v>
      </c>
      <c r="FG49">
        <f>-38.03-(0.1023*G49)+H49*(100+102.093-66.644-64.243)</f>
        <v>13.341612898378266</v>
      </c>
      <c r="FH49">
        <f>IF(BI49&lt;&gt;-999,BI49*$FG49, -999)</f>
        <v>814864.89651260851</v>
      </c>
      <c r="FI49">
        <f>IF(BJ49&lt;&gt;-999,BJ49*$FG49, -999)</f>
        <v>-999</v>
      </c>
      <c r="FJ49" s="23">
        <f>IF(BK49&lt;&gt;-999,BK49*$FG49, -999)</f>
        <v>814864.89651260851</v>
      </c>
      <c r="FK49" s="28">
        <f t="shared" si="26"/>
        <v>13627159.042047974</v>
      </c>
      <c r="FL49" s="22">
        <f t="shared" si="28"/>
        <v>10.012280000000011</v>
      </c>
      <c r="FM49">
        <f>IF(AT49&lt;&gt;-999,AT49*$FL49, -999)</f>
        <v>1203629.802875326</v>
      </c>
      <c r="FN49">
        <f>IF(AU49&lt;&gt;-999,AU49*$FL49, -999)</f>
        <v>-999</v>
      </c>
      <c r="FO49" s="29">
        <f>IF(AV49&lt;&gt;-999,AV49*$FL49, -999)</f>
        <v>1203629.802875326</v>
      </c>
      <c r="FP49">
        <f t="shared" si="29"/>
        <v>7.2392800000000115</v>
      </c>
      <c r="FQ49">
        <f>IF(AW49&lt;&gt;-999,AW49*$FP49, -999)</f>
        <v>407137.3478358034</v>
      </c>
      <c r="FR49">
        <f>IF(AX49&lt;&gt;-999,AX49*$FP49, -999)</f>
        <v>-999</v>
      </c>
      <c r="FS49" s="29">
        <f>IF(AY49&lt;&gt;-999,AY49*$FP49, -999)</f>
        <v>407137.3478358034</v>
      </c>
      <c r="FT49">
        <f t="shared" si="30"/>
        <v>1.3112800000000142</v>
      </c>
      <c r="FU49">
        <f>IF(AZ49&lt;&gt;-999,AZ49*$FT49, -999)</f>
        <v>295444.34360234451</v>
      </c>
      <c r="FV49">
        <f>IF(BA49&lt;&gt;-999,BA49*$FT49, -999)</f>
        <v>-999</v>
      </c>
      <c r="FW49" s="29">
        <f>IF(BB49&lt;&gt;-999,BB49*$FT49, -999)</f>
        <v>295444.34360234451</v>
      </c>
      <c r="FX49">
        <f t="shared" si="31"/>
        <v>1.9372800000000119</v>
      </c>
      <c r="FY49">
        <f>IF(BC49&lt;&gt;-999, BC49*$FX49, -999)</f>
        <v>63132.13827610969</v>
      </c>
      <c r="FZ49">
        <f>IF(BD49&lt;&gt;-999, BD49*$FX49, -999)</f>
        <v>-999</v>
      </c>
      <c r="GA49" s="29">
        <f>IF(BE49&lt;&gt;-999, BE49*$FX49, -999)</f>
        <v>63132.13827610969</v>
      </c>
      <c r="GB49">
        <f t="shared" si="32"/>
        <v>-2.1347199999999873</v>
      </c>
      <c r="GC49">
        <f>IF(BF49&lt;&gt;-999,BF49*$GB49, -999)</f>
        <v>-32544.902277606881</v>
      </c>
      <c r="GD49">
        <f>IF(BG49&lt;&gt;-999,BG49*$GB49, -999)</f>
        <v>-999</v>
      </c>
      <c r="GE49" s="29">
        <f>IF(BH49&lt;&gt;-999,BH49*$GB49, -999)</f>
        <v>-32544.902277606881</v>
      </c>
      <c r="GF49">
        <f t="shared" si="33"/>
        <v>-10.847719999999988</v>
      </c>
      <c r="GG49">
        <f>IF(BI49&lt;&gt;-999,BI49*$GF49, -999)</f>
        <v>-662545.54846754821</v>
      </c>
      <c r="GH49">
        <f>IF(BJ49&lt;&gt;-999,BJ49*$GF49, -999)</f>
        <v>-999</v>
      </c>
      <c r="GI49" s="29">
        <f>IF(BK49&lt;&gt;-999,BK49*$GF49, -999)</f>
        <v>-662545.54846754821</v>
      </c>
      <c r="GJ49" s="30">
        <f t="shared" si="27"/>
        <v>1274253.1818444286</v>
      </c>
    </row>
    <row r="50" spans="1:192">
      <c r="A50" s="48" t="s">
        <v>138</v>
      </c>
      <c r="B50" s="48" t="s">
        <v>188</v>
      </c>
      <c r="C50" s="49">
        <v>79</v>
      </c>
      <c r="D50" s="50">
        <v>0.90400000000000003</v>
      </c>
      <c r="E50" s="49">
        <v>146.184084873453</v>
      </c>
      <c r="F50" s="49">
        <v>0.78983958603823901</v>
      </c>
      <c r="G50" s="49">
        <v>159.83225840019799</v>
      </c>
      <c r="H50" s="49">
        <v>0.80977935206501706</v>
      </c>
      <c r="I50" s="42">
        <v>14000.5</v>
      </c>
      <c r="J50" s="43">
        <v>-999</v>
      </c>
      <c r="K50" s="43">
        <f t="shared" si="0"/>
        <v>14000.5</v>
      </c>
      <c r="L50" s="43">
        <v>628.1</v>
      </c>
      <c r="M50" s="43">
        <v>-999</v>
      </c>
      <c r="N50" s="43">
        <f t="shared" si="1"/>
        <v>628.1</v>
      </c>
      <c r="O50" s="43">
        <v>46347.3</v>
      </c>
      <c r="P50" s="43">
        <v>-999</v>
      </c>
      <c r="Q50" s="43">
        <f t="shared" si="2"/>
        <v>46347.3</v>
      </c>
      <c r="R50" s="43">
        <v>10795.2</v>
      </c>
      <c r="S50" s="43">
        <v>-999</v>
      </c>
      <c r="T50" s="43">
        <f t="shared" si="3"/>
        <v>10795.2</v>
      </c>
      <c r="U50" s="43">
        <v>484.3</v>
      </c>
      <c r="V50" s="43">
        <v>-999</v>
      </c>
      <c r="W50" s="43">
        <f t="shared" si="4"/>
        <v>484.3</v>
      </c>
      <c r="X50" s="43">
        <v>35736.5</v>
      </c>
      <c r="Y50" s="43">
        <v>-999</v>
      </c>
      <c r="Z50" s="43">
        <f t="shared" si="5"/>
        <v>35736.5</v>
      </c>
      <c r="AA50" s="22">
        <v>69258.100000000006</v>
      </c>
      <c r="AB50">
        <v>-999</v>
      </c>
      <c r="AC50">
        <v>69258.100000000006</v>
      </c>
      <c r="AD50">
        <v>3107.1</v>
      </c>
      <c r="AE50">
        <v>-999</v>
      </c>
      <c r="AF50">
        <v>3107.1</v>
      </c>
      <c r="AG50">
        <v>229272.1</v>
      </c>
      <c r="AH50">
        <v>-999</v>
      </c>
      <c r="AI50">
        <v>229272.1</v>
      </c>
      <c r="AJ50">
        <v>53402</v>
      </c>
      <c r="AK50">
        <v>-999</v>
      </c>
      <c r="AL50">
        <v>53402</v>
      </c>
      <c r="AM50">
        <v>2395.8000000000002</v>
      </c>
      <c r="AN50">
        <v>-999</v>
      </c>
      <c r="AO50">
        <v>2395.8000000000002</v>
      </c>
      <c r="AP50">
        <v>176782.1</v>
      </c>
      <c r="AQ50">
        <v>-999</v>
      </c>
      <c r="AR50">
        <v>176782.1</v>
      </c>
      <c r="AS50">
        <v>534217.16</v>
      </c>
      <c r="AT50" s="22">
        <f t="shared" si="36"/>
        <v>115292.88383799751</v>
      </c>
      <c r="AU50">
        <f t="shared" si="36"/>
        <v>-999</v>
      </c>
      <c r="AV50">
        <f t="shared" si="36"/>
        <v>115292.88383799751</v>
      </c>
      <c r="AW50">
        <f t="shared" si="36"/>
        <v>5172.3411322724996</v>
      </c>
      <c r="AX50">
        <f t="shared" si="36"/>
        <v>-999</v>
      </c>
      <c r="AY50">
        <f t="shared" si="36"/>
        <v>5172.3411322724996</v>
      </c>
      <c r="AZ50">
        <f t="shared" si="36"/>
        <v>381665.70542064751</v>
      </c>
      <c r="BA50">
        <f t="shared" si="36"/>
        <v>-999</v>
      </c>
      <c r="BB50">
        <f t="shared" si="36"/>
        <v>381665.70542064751</v>
      </c>
      <c r="BC50">
        <f t="shared" si="36"/>
        <v>88897.480333950007</v>
      </c>
      <c r="BD50">
        <f t="shared" si="36"/>
        <v>-999</v>
      </c>
      <c r="BE50">
        <f t="shared" si="36"/>
        <v>88897.480333950007</v>
      </c>
      <c r="BF50">
        <f t="shared" si="36"/>
        <v>3988.2510652050005</v>
      </c>
      <c r="BG50">
        <f t="shared" si="36"/>
        <v>-999</v>
      </c>
      <c r="BH50">
        <f t="shared" si="36"/>
        <v>3988.2510652050005</v>
      </c>
      <c r="BI50">
        <f t="shared" si="35"/>
        <v>294286.41732789751</v>
      </c>
      <c r="BJ50">
        <f t="shared" si="35"/>
        <v>-999</v>
      </c>
      <c r="BK50">
        <f t="shared" si="35"/>
        <v>294286.41732789751</v>
      </c>
      <c r="BL50">
        <f t="shared" si="35"/>
        <v>889303.01253059111</v>
      </c>
      <c r="BM50" s="22">
        <f>-17.17-(0.1023*E50)+F50*(100-8.576-13.681)</f>
        <v>29.279867054816584</v>
      </c>
      <c r="BN50">
        <f>IF(AT50&lt;&gt;-999,AT50*$BM50, -999)</f>
        <v>3375760.3111429787</v>
      </c>
      <c r="BO50">
        <f>IF(AU50&lt;&gt;-999,AU50*$BM50, -999)</f>
        <v>-999</v>
      </c>
      <c r="BP50" s="25">
        <f>IF(AV50&lt;&gt;-999,AV50*$BM50, -999)</f>
        <v>3375760.3111429787</v>
      </c>
      <c r="BQ50">
        <f>-19.943-(0.1023*E50)+F50*(100-8.576-13.681)</f>
        <v>26.506867054816581</v>
      </c>
      <c r="BR50">
        <f>IF(AW50&lt;&gt;-999,AW50*$BQ50, -999)</f>
        <v>137102.55875530661</v>
      </c>
      <c r="BS50">
        <f>IF(AX50&lt;&gt;-999,AX50*$BQ50, -999)</f>
        <v>-999</v>
      </c>
      <c r="BT50" s="25">
        <f>IF(AY50&lt;&gt;-999,AY50*$BQ50, -999)</f>
        <v>137102.55875530661</v>
      </c>
      <c r="BU50">
        <f>-25.871-(0.1023*E50)+F50*(100-8.576-13.681)</f>
        <v>20.578867054816584</v>
      </c>
      <c r="BV50">
        <f>IF(AZ50&lt;&gt;-999,AZ50*$BU50, -999)</f>
        <v>7854247.8112342944</v>
      </c>
      <c r="BW50">
        <f>IF(BA50&lt;&gt;-999,BA50*$BU50, -999)</f>
        <v>-999</v>
      </c>
      <c r="BX50" s="25">
        <f>IF(BB50&lt;&gt;-999,BB50*$BU50, -999)</f>
        <v>7854247.8112342944</v>
      </c>
      <c r="BY50">
        <f>-25.245-(0.1023*E50)+F50*(100-8.576-13.681)</f>
        <v>21.204867054816582</v>
      </c>
      <c r="BZ50">
        <f>IF(BC50&lt;&gt;-999,BC50*$BY50, -999)</f>
        <v>1885059.2519895814</v>
      </c>
      <c r="CA50">
        <f>IF(BD50&lt;&gt;-999,BD50*$BY50, -999)</f>
        <v>-999</v>
      </c>
      <c r="CB50" s="25">
        <f>IF(BE50&lt;&gt;-999,BE50*$BY50, -999)</f>
        <v>1885059.2519895814</v>
      </c>
      <c r="CC50">
        <f>-29.317-(0.1023*E50)+F50*(100-8.576-13.681)</f>
        <v>17.132867054816579</v>
      </c>
      <c r="CD50">
        <f>IF(BF50&lt;&gt;-999,BF50*$CC50, -999)</f>
        <v>68330.175281387885</v>
      </c>
      <c r="CE50">
        <f>IF(BG50&lt;&gt;-999,BG50*$CC50, -999)</f>
        <v>-999</v>
      </c>
      <c r="CF50" s="25">
        <f>IF(BH50&lt;&gt;-999,BH50*$CC50, -999)</f>
        <v>68330.175281387885</v>
      </c>
      <c r="CG50">
        <f>-38.03-(0.1023*E50)+F50*(100-8.576-13.681)</f>
        <v>8.419867054816585</v>
      </c>
      <c r="CH50">
        <f>IF(BI50&lt;&gt;-999,BI50*$CG50, -999)</f>
        <v>2477852.509939169</v>
      </c>
      <c r="CI50">
        <f>IF(BJ50&lt;&gt;-999,BJ50*$CG50, -999)</f>
        <v>-999</v>
      </c>
      <c r="CJ50" s="25">
        <f>IF(BK50&lt;&gt;-999,BK50*$CG50, -999)</f>
        <v>2477852.509939169</v>
      </c>
      <c r="CK50" s="26">
        <f t="shared" si="8"/>
        <v>15798352.618342718</v>
      </c>
      <c r="CL50">
        <f t="shared" si="9"/>
        <v>-29.488150331661245</v>
      </c>
      <c r="CM50">
        <f t="shared" si="10"/>
        <v>28.048849336775035</v>
      </c>
      <c r="CN50">
        <f t="shared" si="11"/>
        <v>-86.031277302557143</v>
      </c>
      <c r="CO50" s="22">
        <f t="shared" si="12"/>
        <v>-40.08</v>
      </c>
      <c r="CP50">
        <f>IF(AT50&lt;&gt;-999,AT50*$CO50, -999)</f>
        <v>-4620938.78422694</v>
      </c>
      <c r="CQ50">
        <f>IF(AU50&lt;&gt;-999,AU50*$CO50, -999)</f>
        <v>-999</v>
      </c>
      <c r="CR50" s="27">
        <f>IF(AV50&lt;&gt;-999,AV50*$CO50, -999)</f>
        <v>-4620938.78422694</v>
      </c>
      <c r="CS50">
        <f t="shared" si="13"/>
        <v>-42.853000000000002</v>
      </c>
      <c r="CT50">
        <f>IF(AW50&lt;&gt;-999,AW50*$CS50, -999)</f>
        <v>-221650.33454127345</v>
      </c>
      <c r="CU50">
        <f>IF(AX50&lt;&gt;-999,AX50*$CS50, -999)</f>
        <v>-999</v>
      </c>
      <c r="CV50" s="27">
        <f>IF(AY50&lt;&gt;-999,AY50*$CS50, -999)</f>
        <v>-221650.33454127345</v>
      </c>
      <c r="CW50">
        <f t="shared" si="14"/>
        <v>-48.780999999999999</v>
      </c>
      <c r="CX50">
        <f>IF(AZ50&lt;&gt;-999,AZ50*$CO50, -999)</f>
        <v>-15297161.473259551</v>
      </c>
      <c r="CY50">
        <f>IF(BA50&lt;&gt;-999,BA50*$CO50, -999)</f>
        <v>-999</v>
      </c>
      <c r="CZ50" s="27">
        <f>IF(BB50&lt;&gt;-999,BB50*$CO50, -999)</f>
        <v>-15297161.473259551</v>
      </c>
      <c r="DA50">
        <f t="shared" si="15"/>
        <v>-48.155000000000001</v>
      </c>
      <c r="DB50">
        <f>IF(BC50&lt;&gt;-999,BC50*$DA50, -999)</f>
        <v>-4280858.1654813625</v>
      </c>
      <c r="DC50">
        <f>IF(BD50&lt;&gt;-999,BD50*$DA50, -999)</f>
        <v>-999</v>
      </c>
      <c r="DD50" s="27">
        <f>IF(BE50&lt;&gt;-999,BE50*$DA50, -999)</f>
        <v>-4280858.1654813625</v>
      </c>
      <c r="DE50">
        <f t="shared" si="16"/>
        <v>-52.227000000000004</v>
      </c>
      <c r="DF50">
        <f>IF(BF50&lt;&gt;-999,BF50*$DE50, -999)</f>
        <v>-208294.38838246156</v>
      </c>
      <c r="DG50">
        <f>IF(BG50&lt;&gt;-999,BG50*$DE50, -999)</f>
        <v>-999</v>
      </c>
      <c r="DH50" s="27">
        <f>IF(BH50&lt;&gt;-999,BH50*$DE50, -999)</f>
        <v>-208294.38838246156</v>
      </c>
      <c r="DI50">
        <f t="shared" si="17"/>
        <v>-60.94</v>
      </c>
      <c r="DJ50">
        <f>IF(BI50&lt;&gt;-999,BI50*$DI50, -999)</f>
        <v>-17933814.271962073</v>
      </c>
      <c r="DK50">
        <f>IF(BJ50&lt;&gt;-999,BJ50*$DI50, -999)</f>
        <v>-999</v>
      </c>
      <c r="DL50" s="27">
        <f>IF(BK50&lt;&gt;-999,BK50*$DI50, -999)</f>
        <v>-17933814.271962073</v>
      </c>
      <c r="DM50" s="28">
        <f t="shared" si="18"/>
        <v>-42562717.417853661</v>
      </c>
      <c r="DN50" s="22">
        <f t="shared" si="19"/>
        <v>-17.170000000000002</v>
      </c>
      <c r="DO50">
        <f>IF(AT50&lt;&gt;-999,AT50*$DN50, -999)</f>
        <v>-1979578.8154984175</v>
      </c>
      <c r="DP50">
        <f>IF(AU50&lt;&gt;-999,AU50*$DN50, -999)</f>
        <v>-999</v>
      </c>
      <c r="DQ50" s="24">
        <f>IF(AV50&lt;&gt;-999,AV50*$DN50, -999)</f>
        <v>-1979578.8154984175</v>
      </c>
      <c r="DR50">
        <f t="shared" si="20"/>
        <v>-19.943000000000001</v>
      </c>
      <c r="DS50">
        <f>IF(AW50&lt;&gt;-999,AW50*$DR50, -999)</f>
        <v>-103151.99920091046</v>
      </c>
      <c r="DT50">
        <f>IF(AX50&lt;&gt;-999,AX50*$DR50, -999)</f>
        <v>-999</v>
      </c>
      <c r="DU50" s="24">
        <f>IF(AY50&lt;&gt;-999,AY50*$DR50, -999)</f>
        <v>-103151.99920091046</v>
      </c>
      <c r="DV50">
        <f t="shared" si="21"/>
        <v>-25.870999999999999</v>
      </c>
      <c r="DW50">
        <f>IF(AZ50&lt;&gt;-999,AZ50*$DV50, -999)</f>
        <v>-9874073.4649375714</v>
      </c>
      <c r="DX50">
        <f>IF(BA50&lt;&gt;-999,BA50*$DV50, -999)</f>
        <v>-999</v>
      </c>
      <c r="DY50" s="24">
        <f>IF(BB50&lt;&gt;-999,BB50*$DV50, -999)</f>
        <v>-9874073.4649375714</v>
      </c>
      <c r="DZ50">
        <f t="shared" si="22"/>
        <v>-25.245000000000001</v>
      </c>
      <c r="EA50">
        <f>IF(BC50&lt;&gt;-999, BC50*$DZ50, -999)</f>
        <v>-2244216.8910305682</v>
      </c>
      <c r="EB50">
        <f>IF(BD50&lt;&gt;-999, BD50*$DZ50, -999)</f>
        <v>-999</v>
      </c>
      <c r="EC50" s="24">
        <f>IF(BE50&lt;&gt;-999, BE50*$DZ50, -999)</f>
        <v>-2244216.8910305682</v>
      </c>
      <c r="ED50">
        <f t="shared" si="23"/>
        <v>-29.317</v>
      </c>
      <c r="EE50">
        <f>IF(BF50&lt;&gt;-999,BF50*$ED50, -999)</f>
        <v>-116923.55647861501</v>
      </c>
      <c r="EF50">
        <f>IF(BG50&lt;&gt;-999,BG50*$ED50, -999)</f>
        <v>-999</v>
      </c>
      <c r="EG50" s="24">
        <f>IF(BH50&lt;&gt;-999,BH50*$ED50, -999)</f>
        <v>-116923.55647861501</v>
      </c>
      <c r="EH50">
        <f t="shared" si="24"/>
        <v>-38.03</v>
      </c>
      <c r="EI50">
        <f>IF(BI50&lt;&gt;-999,BI50*$EH50, -999)</f>
        <v>-11191712.450979942</v>
      </c>
      <c r="EJ50">
        <f>IF(BJ50&lt;&gt;-999,BJ50*$EH50, -999)</f>
        <v>-999</v>
      </c>
      <c r="EK50" s="24">
        <f>IF(BK50&lt;&gt;-999,BK50*$EH50, -999)</f>
        <v>-11191712.450979942</v>
      </c>
      <c r="EL50" s="28">
        <f t="shared" si="25"/>
        <v>-25509657.178126026</v>
      </c>
      <c r="EM50" s="22">
        <f>-17.17-(0.1023*G50)+H50*(100+102.093-66.644-64.243)</f>
        <v>24.140308508801368</v>
      </c>
      <c r="EN50">
        <f>IF(AT50&lt;&gt;-999,AT50*$EM50, -999)</f>
        <v>2783205.7847186588</v>
      </c>
      <c r="EO50">
        <f>IF(AU50&lt;&gt;-999,AU50*$EM50, -999)</f>
        <v>-999</v>
      </c>
      <c r="EP50" s="23">
        <f>IF(AV50&lt;&gt;-999,AV50*$EM50, -999)</f>
        <v>2783205.7847186588</v>
      </c>
      <c r="EQ50">
        <f>-19.943-(0.1023*G50)+H50*(100+102.093-66.644-64.243)</f>
        <v>21.367308508801365</v>
      </c>
      <c r="ER50">
        <f>IF(AW50&lt;&gt;-999,AW50*$EQ50, -999)</f>
        <v>110519.00868602947</v>
      </c>
      <c r="ES50">
        <f>IF(AX50&lt;&gt;-999,AX50*$EQ50, -999)</f>
        <v>-999</v>
      </c>
      <c r="ET50" s="23">
        <f>IF(AY50&lt;&gt;-999,AY50*$EQ50, -999)</f>
        <v>110519.00868602947</v>
      </c>
      <c r="EU50">
        <f>-25.871-(0.1023*G50)+H50*(100+102.093-66.644-64.243)</f>
        <v>15.439308508801368</v>
      </c>
      <c r="EV50">
        <f>IF(AZ50&lt;&gt;-999,AZ50*$EU50, -999)</f>
        <v>5892654.5732186791</v>
      </c>
      <c r="EW50">
        <f>IF(BA50&lt;&gt;-999,BA50*$EU50, -999)</f>
        <v>-999</v>
      </c>
      <c r="EX50" s="23">
        <f>IF(BB50&lt;&gt;-999,BB50*$EU50, -999)</f>
        <v>5892654.5732186791</v>
      </c>
      <c r="EY50">
        <f>-25.245-(0.1023*G50)+H50*(100+102.093-66.644-64.243)</f>
        <v>16.065308508801365</v>
      </c>
      <c r="EZ50">
        <f>IF(BC50&lt;&gt;-999, BC50*$EY50, -999)</f>
        <v>1428165.4472200091</v>
      </c>
      <c r="FA50">
        <f>IF(BD50&lt;&gt;-999, BD50*$EY50, -999)</f>
        <v>-999</v>
      </c>
      <c r="FB50" s="23">
        <f>IF(BE50&lt;&gt;-999, BE50*$EY50, -999)</f>
        <v>1428165.4472200091</v>
      </c>
      <c r="FC50">
        <f>-29.317-(0.1023*G50)+H50*(100+102.093-66.644-64.243)</f>
        <v>11.993308508801363</v>
      </c>
      <c r="FD50">
        <f>IF(BF50&lt;&gt;-999,BF50*$FC50, -999)</f>
        <v>47832.325435559229</v>
      </c>
      <c r="FE50">
        <f>IF(BG50&lt;&gt;-999,BG50*$FC50, -999)</f>
        <v>-999</v>
      </c>
      <c r="FF50" s="23">
        <f>IF(BH50&lt;&gt;-999,BH50*$FC50, -999)</f>
        <v>47832.325435559229</v>
      </c>
      <c r="FG50">
        <f>-38.03-(0.1023*G50)+H50*(100+102.093-66.644-64.243)</f>
        <v>3.2803085088013688</v>
      </c>
      <c r="FH50">
        <f>IF(BI50&lt;&gt;-999,BI50*$FG50, -999)</f>
        <v>965350.23878537281</v>
      </c>
      <c r="FI50">
        <f>IF(BJ50&lt;&gt;-999,BJ50*$FG50, -999)</f>
        <v>-999</v>
      </c>
      <c r="FJ50" s="23">
        <f>IF(BK50&lt;&gt;-999,BK50*$FG50, -999)</f>
        <v>965350.23878537281</v>
      </c>
      <c r="FK50" s="28">
        <f t="shared" si="26"/>
        <v>11227727.378064308</v>
      </c>
      <c r="FL50" s="22">
        <f t="shared" si="28"/>
        <v>10.012280000000011</v>
      </c>
      <c r="FM50">
        <f>IF(AT50&lt;&gt;-999,AT50*$FL50, -999)</f>
        <v>1154344.6349935071</v>
      </c>
      <c r="FN50">
        <f>IF(AU50&lt;&gt;-999,AU50*$FL50, -999)</f>
        <v>-999</v>
      </c>
      <c r="FO50" s="29">
        <f>IF(AV50&lt;&gt;-999,AV50*$FL50, -999)</f>
        <v>1154344.6349935071</v>
      </c>
      <c r="FP50">
        <f t="shared" si="29"/>
        <v>7.2392800000000115</v>
      </c>
      <c r="FQ50">
        <f>IF(AW50&lt;&gt;-999,AW50*$FP50, -999)</f>
        <v>37444.025712037721</v>
      </c>
      <c r="FR50">
        <f>IF(AX50&lt;&gt;-999,AX50*$FP50, -999)</f>
        <v>-999</v>
      </c>
      <c r="FS50" s="29">
        <f>IF(AY50&lt;&gt;-999,AY50*$FP50, -999)</f>
        <v>37444.025712037721</v>
      </c>
      <c r="FT50">
        <f t="shared" si="30"/>
        <v>1.3112800000000142</v>
      </c>
      <c r="FU50">
        <f>IF(AZ50&lt;&gt;-999,AZ50*$FT50, -999)</f>
        <v>500470.60620399209</v>
      </c>
      <c r="FV50">
        <f>IF(BA50&lt;&gt;-999,BA50*$FT50, -999)</f>
        <v>-999</v>
      </c>
      <c r="FW50" s="29">
        <f>IF(BB50&lt;&gt;-999,BB50*$FT50, -999)</f>
        <v>500470.60620399209</v>
      </c>
      <c r="FX50">
        <f t="shared" si="31"/>
        <v>1.9372800000000119</v>
      </c>
      <c r="FY50">
        <f>IF(BC50&lt;&gt;-999, BC50*$FX50, -999)</f>
        <v>172219.31070135572</v>
      </c>
      <c r="FZ50">
        <f>IF(BD50&lt;&gt;-999, BD50*$FX50, -999)</f>
        <v>-999</v>
      </c>
      <c r="GA50" s="29">
        <f>IF(BE50&lt;&gt;-999, BE50*$FX50, -999)</f>
        <v>172219.31070135572</v>
      </c>
      <c r="GB50">
        <f t="shared" si="32"/>
        <v>-2.1347199999999873</v>
      </c>
      <c r="GC50">
        <f>IF(BF50&lt;&gt;-999,BF50*$GB50, -999)</f>
        <v>-8513.7993139143673</v>
      </c>
      <c r="GD50">
        <f>IF(BG50&lt;&gt;-999,BG50*$GB50, -999)</f>
        <v>-999</v>
      </c>
      <c r="GE50" s="29">
        <f>IF(BH50&lt;&gt;-999,BH50*$GB50, -999)</f>
        <v>-8513.7993139143673</v>
      </c>
      <c r="GF50">
        <f t="shared" si="33"/>
        <v>-10.847719999999988</v>
      </c>
      <c r="GG50">
        <f>IF(BI50&lt;&gt;-999,BI50*$GF50, -999)</f>
        <v>-3192336.654976177</v>
      </c>
      <c r="GH50">
        <f>IF(BJ50&lt;&gt;-999,BJ50*$GF50, -999)</f>
        <v>-999</v>
      </c>
      <c r="GI50" s="29">
        <f>IF(BK50&lt;&gt;-999,BK50*$GF50, -999)</f>
        <v>-3192336.654976177</v>
      </c>
      <c r="GJ50" s="30">
        <f t="shared" si="27"/>
        <v>-1336371.8766791986</v>
      </c>
    </row>
    <row r="51" spans="1:192">
      <c r="A51" s="48" t="s">
        <v>153</v>
      </c>
      <c r="B51" s="48" t="s">
        <v>189</v>
      </c>
      <c r="C51" s="49">
        <v>117</v>
      </c>
      <c r="D51" s="50">
        <v>0.90400000000000003</v>
      </c>
      <c r="E51" s="49">
        <v>210.58513632065899</v>
      </c>
      <c r="F51" s="49">
        <v>0.77724989162760505</v>
      </c>
      <c r="G51" s="49">
        <v>75.394347991069694</v>
      </c>
      <c r="H51" s="49">
        <v>0.81811347192089301</v>
      </c>
      <c r="I51" s="42">
        <v>10624.3</v>
      </c>
      <c r="J51" s="43">
        <v>37061.1</v>
      </c>
      <c r="K51" s="43">
        <f t="shared" si="0"/>
        <v>47685.399999999994</v>
      </c>
      <c r="L51" s="43">
        <v>6894</v>
      </c>
      <c r="M51" s="43">
        <v>24048.6</v>
      </c>
      <c r="N51" s="43">
        <f t="shared" si="1"/>
        <v>30942.6</v>
      </c>
      <c r="O51" s="43">
        <v>21239.7</v>
      </c>
      <c r="P51" s="43">
        <v>74090.7</v>
      </c>
      <c r="Q51" s="43">
        <f t="shared" si="2"/>
        <v>95330.4</v>
      </c>
      <c r="R51" s="43">
        <v>3748.8</v>
      </c>
      <c r="S51" s="43">
        <v>13077.1</v>
      </c>
      <c r="T51" s="43">
        <f t="shared" si="3"/>
        <v>16825.900000000001</v>
      </c>
      <c r="U51" s="43">
        <v>2432.6</v>
      </c>
      <c r="V51" s="43">
        <v>8485.6</v>
      </c>
      <c r="W51" s="43">
        <f t="shared" si="4"/>
        <v>10918.2</v>
      </c>
      <c r="X51" s="43">
        <v>7494.5</v>
      </c>
      <c r="Y51" s="43">
        <v>26143.200000000001</v>
      </c>
      <c r="Z51" s="43">
        <f t="shared" si="5"/>
        <v>33637.699999999997</v>
      </c>
      <c r="AA51" s="22">
        <v>82642.100000000006</v>
      </c>
      <c r="AB51">
        <v>232535.2</v>
      </c>
      <c r="AC51">
        <v>315177.3</v>
      </c>
      <c r="AD51">
        <v>53625.7</v>
      </c>
      <c r="AE51">
        <v>150889.9</v>
      </c>
      <c r="AF51">
        <v>204515.6</v>
      </c>
      <c r="AG51">
        <v>165213.9</v>
      </c>
      <c r="AH51">
        <v>464872.7</v>
      </c>
      <c r="AI51">
        <v>630086.6</v>
      </c>
      <c r="AJ51">
        <v>29160.5</v>
      </c>
      <c r="AK51">
        <v>82050.8</v>
      </c>
      <c r="AL51">
        <v>111211.4</v>
      </c>
      <c r="AM51">
        <v>18922</v>
      </c>
      <c r="AN51">
        <v>53242</v>
      </c>
      <c r="AO51">
        <v>72164</v>
      </c>
      <c r="AP51">
        <v>58296.3</v>
      </c>
      <c r="AQ51">
        <v>164031.9</v>
      </c>
      <c r="AR51">
        <v>222328.2</v>
      </c>
      <c r="AS51">
        <v>1555483.1</v>
      </c>
      <c r="AT51" s="22">
        <f t="shared" ref="AT51:BI67" si="37">IF(AA51&lt;&gt;-999,AA51*0.5*3.67*0.907185, -999)</f>
        <v>137573.02085139751</v>
      </c>
      <c r="AU51">
        <f t="shared" si="37"/>
        <v>387097.73733102001</v>
      </c>
      <c r="AV51">
        <f t="shared" si="37"/>
        <v>524670.75818241748</v>
      </c>
      <c r="AW51">
        <f t="shared" si="37"/>
        <v>89269.870251007495</v>
      </c>
      <c r="AX51">
        <f t="shared" si="37"/>
        <v>251184.07396430249</v>
      </c>
      <c r="AY51">
        <f t="shared" si="37"/>
        <v>340453.94421530998</v>
      </c>
      <c r="AZ51">
        <f t="shared" si="37"/>
        <v>275029.01438420248</v>
      </c>
      <c r="BA51">
        <f t="shared" si="37"/>
        <v>773866.36654133257</v>
      </c>
      <c r="BB51">
        <f t="shared" si="37"/>
        <v>1048895.380925535</v>
      </c>
      <c r="BC51">
        <f t="shared" si="37"/>
        <v>48543.031633237501</v>
      </c>
      <c r="BD51">
        <f t="shared" si="37"/>
        <v>136588.69292132999</v>
      </c>
      <c r="BE51">
        <f t="shared" si="37"/>
        <v>185131.89102301499</v>
      </c>
      <c r="BF51">
        <f t="shared" si="37"/>
        <v>31499.159635950004</v>
      </c>
      <c r="BG51">
        <f t="shared" si="37"/>
        <v>88631.13081794999</v>
      </c>
      <c r="BH51">
        <f t="shared" si="37"/>
        <v>120130.2904539</v>
      </c>
      <c r="BI51">
        <f t="shared" si="35"/>
        <v>97044.945559942498</v>
      </c>
      <c r="BJ51">
        <f t="shared" si="35"/>
        <v>273061.35733475251</v>
      </c>
      <c r="BK51">
        <f t="shared" si="35"/>
        <v>370106.30289469502</v>
      </c>
      <c r="BL51">
        <f t="shared" si="35"/>
        <v>2589388.5676948726</v>
      </c>
      <c r="BM51" s="22">
        <f>-17.17-(0.1023*E51)+F51*(100-8.576-13.681)</f>
        <v>21.71287887920149</v>
      </c>
      <c r="BN51">
        <f>IF(AT51&lt;&gt;-999,AT51*$BM51, -999)</f>
        <v>2987106.3387922551</v>
      </c>
      <c r="BO51">
        <f>IF(AU51&lt;&gt;-999,AU51*$BM51, -999)</f>
        <v>8405006.2850813903</v>
      </c>
      <c r="BP51" s="25">
        <f>IF(AV51&lt;&gt;-999,AV51*$BM51, -999)</f>
        <v>11392112.623873645</v>
      </c>
      <c r="BQ51">
        <f>-19.943-(0.1023*E51)+F51*(100-8.576-13.681)</f>
        <v>18.939878879201487</v>
      </c>
      <c r="BR51">
        <f>IF(AW51&lt;&gt;-999,AW51*$BQ51, -999)</f>
        <v>1690760.5301161141</v>
      </c>
      <c r="BS51">
        <f>IF(AX51&lt;&gt;-999,AX51*$BQ51, -999)</f>
        <v>4757395.9372682767</v>
      </c>
      <c r="BT51" s="25">
        <f>IF(AY51&lt;&gt;-999,AY51*$BQ51, -999)</f>
        <v>6448156.4673843905</v>
      </c>
      <c r="BU51">
        <f>-25.871-(0.1023*E51)+F51*(100-8.576-13.681)</f>
        <v>13.01187887920149</v>
      </c>
      <c r="BV51">
        <f>IF(AZ51&lt;&gt;-999,AZ51*$BU51, -999)</f>
        <v>3578644.223433407</v>
      </c>
      <c r="BW51">
        <f>IF(BA51&lt;&gt;-999,BA51*$BU51, -999)</f>
        <v>10069455.430123564</v>
      </c>
      <c r="BX51" s="25">
        <f>IF(BB51&lt;&gt;-999,BB51*$BU51, -999)</f>
        <v>13648099.653556969</v>
      </c>
      <c r="BY51">
        <f>-25.245-(0.1023*E51)+F51*(100-8.576-13.681)</f>
        <v>13.637878879201487</v>
      </c>
      <c r="BZ51">
        <f>IF(BC51&lt;&gt;-999,BC51*$BY51, -999)</f>
        <v>662023.98584333935</v>
      </c>
      <c r="CA51">
        <f>IF(BD51&lt;&gt;-999,BD51*$BY51, -999)</f>
        <v>1862780.0503295439</v>
      </c>
      <c r="CB51" s="25">
        <f>IF(BE51&lt;&gt;-999,BE51*$BY51, -999)</f>
        <v>2524806.3064494077</v>
      </c>
      <c r="CC51">
        <f>-29.317-(0.1023*E51)+F51*(100-8.576-13.681)</f>
        <v>9.5658788792014846</v>
      </c>
      <c r="CD51">
        <f>IF(BF51&lt;&gt;-999,BF51*$CC51, -999)</f>
        <v>301317.14587413007</v>
      </c>
      <c r="CE51">
        <f>IF(BG51&lt;&gt;-999,BG51*$CC51, -999)</f>
        <v>847834.66233117157</v>
      </c>
      <c r="CF51" s="25">
        <f>IF(BH51&lt;&gt;-999,BH51*$CC51, -999)</f>
        <v>1149151.8082053016</v>
      </c>
      <c r="CG51">
        <f>-38.03-(0.1023*E51)+F51*(100-8.576-13.681)</f>
        <v>0.85287887920149075</v>
      </c>
      <c r="CH51">
        <f>IF(BI51&lt;&gt;-999,BI51*$CG51, -999)</f>
        <v>82767.584401333443</v>
      </c>
      <c r="CI51">
        <f>IF(BJ51&lt;&gt;-999,BJ51*$CG51, -999)</f>
        <v>232888.26439690148</v>
      </c>
      <c r="CJ51" s="25">
        <f>IF(BK51&lt;&gt;-999,BK51*$CG51, -999)</f>
        <v>315655.84879823495</v>
      </c>
      <c r="CK51" s="26">
        <f t="shared" si="8"/>
        <v>35477982.70826795</v>
      </c>
      <c r="CL51">
        <f t="shared" si="9"/>
        <v>-21.849973733515561</v>
      </c>
      <c r="CM51">
        <f t="shared" si="10"/>
        <v>36.61899549957834</v>
      </c>
      <c r="CN51">
        <f t="shared" si="11"/>
        <v>-79.308971774003467</v>
      </c>
      <c r="CO51" s="22">
        <f t="shared" si="12"/>
        <v>-40.08</v>
      </c>
      <c r="CP51">
        <f>IF(AT51&lt;&gt;-999,AT51*$CO51, -999)</f>
        <v>-5513926.6757240118</v>
      </c>
      <c r="CQ51">
        <f>IF(AU51&lt;&gt;-999,AU51*$CO51, -999)</f>
        <v>-15514877.312227281</v>
      </c>
      <c r="CR51" s="27">
        <f>IF(AV51&lt;&gt;-999,AV51*$CO51, -999)</f>
        <v>-21028803.987951294</v>
      </c>
      <c r="CS51">
        <f t="shared" si="13"/>
        <v>-42.853000000000002</v>
      </c>
      <c r="CT51">
        <f>IF(AW51&lt;&gt;-999,AW51*$CS51, -999)</f>
        <v>-3825481.7498664241</v>
      </c>
      <c r="CU51">
        <f>IF(AX51&lt;&gt;-999,AX51*$CS51, -999)</f>
        <v>-10763991.121592255</v>
      </c>
      <c r="CV51" s="27">
        <f>IF(AY51&lt;&gt;-999,AY51*$CS51, -999)</f>
        <v>-14589472.871458679</v>
      </c>
      <c r="CW51">
        <f t="shared" si="14"/>
        <v>-48.780999999999999</v>
      </c>
      <c r="CX51">
        <f>IF(AZ51&lt;&gt;-999,AZ51*$CO51, -999)</f>
        <v>-11023162.896518836</v>
      </c>
      <c r="CY51">
        <f>IF(BA51&lt;&gt;-999,BA51*$CO51, -999)</f>
        <v>-31016563.97097661</v>
      </c>
      <c r="CZ51" s="27">
        <f>IF(BB51&lt;&gt;-999,BB51*$CO51, -999)</f>
        <v>-42039726.86749544</v>
      </c>
      <c r="DA51">
        <f t="shared" si="15"/>
        <v>-48.155000000000001</v>
      </c>
      <c r="DB51">
        <f>IF(BC51&lt;&gt;-999,BC51*$DA51, -999)</f>
        <v>-2337589.6882985518</v>
      </c>
      <c r="DC51">
        <f>IF(BD51&lt;&gt;-999,BD51*$DA51, -999)</f>
        <v>-6577428.5076266462</v>
      </c>
      <c r="DD51" s="27">
        <f>IF(BE51&lt;&gt;-999,BE51*$DA51, -999)</f>
        <v>-8915026.2122132871</v>
      </c>
      <c r="DE51">
        <f t="shared" si="16"/>
        <v>-52.227000000000004</v>
      </c>
      <c r="DF51">
        <f>IF(BF51&lt;&gt;-999,BF51*$DE51, -999)</f>
        <v>-1645106.610306761</v>
      </c>
      <c r="DG51">
        <f>IF(BG51&lt;&gt;-999,BG51*$DE51, -999)</f>
        <v>-4628938.0692290748</v>
      </c>
      <c r="DH51" s="27">
        <f>IF(BH51&lt;&gt;-999,BH51*$DE51, -999)</f>
        <v>-6274044.679535836</v>
      </c>
      <c r="DI51">
        <f t="shared" si="17"/>
        <v>-60.94</v>
      </c>
      <c r="DJ51">
        <f>IF(BI51&lt;&gt;-999,BI51*$DI51, -999)</f>
        <v>-5913918.9824228957</v>
      </c>
      <c r="DK51">
        <f>IF(BJ51&lt;&gt;-999,BJ51*$DI51, -999)</f>
        <v>-16640359.115979817</v>
      </c>
      <c r="DL51" s="27">
        <f>IF(BK51&lt;&gt;-999,BK51*$DI51, -999)</f>
        <v>-22554278.098402712</v>
      </c>
      <c r="DM51" s="28">
        <f t="shared" si="18"/>
        <v>-115401352.71705724</v>
      </c>
      <c r="DN51" s="22">
        <f t="shared" si="19"/>
        <v>-17.170000000000002</v>
      </c>
      <c r="DO51">
        <f>IF(AT51&lt;&gt;-999,AT51*$DN51, -999)</f>
        <v>-2362128.7680184953</v>
      </c>
      <c r="DP51">
        <f>IF(AU51&lt;&gt;-999,AU51*$DN51, -999)</f>
        <v>-6646468.1499736141</v>
      </c>
      <c r="DQ51" s="24">
        <f>IF(AV51&lt;&gt;-999,AV51*$DN51, -999)</f>
        <v>-9008596.9179921094</v>
      </c>
      <c r="DR51">
        <f t="shared" si="20"/>
        <v>-19.943000000000001</v>
      </c>
      <c r="DS51">
        <f>IF(AW51&lt;&gt;-999,AW51*$DR51, -999)</f>
        <v>-1780309.0224158426</v>
      </c>
      <c r="DT51">
        <f>IF(AX51&lt;&gt;-999,AX51*$DR51, -999)</f>
        <v>-5009363.9870700845</v>
      </c>
      <c r="DU51" s="24">
        <f>IF(AY51&lt;&gt;-999,AY51*$DR51, -999)</f>
        <v>-6789673.0094859274</v>
      </c>
      <c r="DV51">
        <f t="shared" si="21"/>
        <v>-25.870999999999999</v>
      </c>
      <c r="DW51">
        <f>IF(AZ51&lt;&gt;-999,AZ51*$DV51, -999)</f>
        <v>-7115275.6311337017</v>
      </c>
      <c r="DX51">
        <f>IF(BA51&lt;&gt;-999,BA51*$DV51, -999)</f>
        <v>-20020696.768790815</v>
      </c>
      <c r="DY51" s="24">
        <f>IF(BB51&lt;&gt;-999,BB51*$DV51, -999)</f>
        <v>-27135972.399924513</v>
      </c>
      <c r="DZ51">
        <f t="shared" si="22"/>
        <v>-25.245000000000001</v>
      </c>
      <c r="EA51">
        <f>IF(BC51&lt;&gt;-999, BC51*$DZ51, -999)</f>
        <v>-1225468.8335810807</v>
      </c>
      <c r="EB51">
        <f>IF(BD51&lt;&gt;-999, BD51*$DZ51, -999)</f>
        <v>-3448181.5527989757</v>
      </c>
      <c r="EC51" s="24">
        <f>IF(BE51&lt;&gt;-999, BE51*$DZ51, -999)</f>
        <v>-4673654.5888760136</v>
      </c>
      <c r="ED51">
        <f t="shared" si="23"/>
        <v>-29.317</v>
      </c>
      <c r="EE51">
        <f>IF(BF51&lt;&gt;-999,BF51*$ED51, -999)</f>
        <v>-923460.86304714624</v>
      </c>
      <c r="EF51">
        <f>IF(BG51&lt;&gt;-999,BG51*$ED51, -999)</f>
        <v>-2598398.8621898401</v>
      </c>
      <c r="EG51" s="24">
        <f>IF(BH51&lt;&gt;-999,BH51*$ED51, -999)</f>
        <v>-3521859.7252369863</v>
      </c>
      <c r="EH51">
        <f t="shared" si="24"/>
        <v>-38.03</v>
      </c>
      <c r="EI51">
        <f>IF(BI51&lt;&gt;-999,BI51*$EH51, -999)</f>
        <v>-3690619.2796446132</v>
      </c>
      <c r="EJ51">
        <f>IF(BJ51&lt;&gt;-999,BJ51*$EH51, -999)</f>
        <v>-10384523.419440638</v>
      </c>
      <c r="EK51" s="24">
        <f>IF(BK51&lt;&gt;-999,BK51*$EH51, -999)</f>
        <v>-14075142.699085252</v>
      </c>
      <c r="EL51" s="28">
        <f t="shared" si="25"/>
        <v>-65204899.340600803</v>
      </c>
      <c r="EM51" s="22">
        <f>-17.17-(0.1023*G51)+H51*(100+102.093-66.644-64.243)</f>
        <v>33.371746082112693</v>
      </c>
      <c r="EN51">
        <f>IF(AT51&lt;&gt;-999,AT51*$EM51, -999)</f>
        <v>4591051.9196020328</v>
      </c>
      <c r="EO51">
        <f>IF(AU51&lt;&gt;-999,AU51*$EM51, -999)</f>
        <v>12918127.399171155</v>
      </c>
      <c r="EP51" s="23">
        <f>IF(AV51&lt;&gt;-999,AV51*$EM51, -999)</f>
        <v>17509179.318773188</v>
      </c>
      <c r="EQ51">
        <f>-19.943-(0.1023*G51)+H51*(100+102.093-66.644-64.243)</f>
        <v>30.59874608211269</v>
      </c>
      <c r="ER51">
        <f>IF(AW51&lt;&gt;-999,AW51*$EQ51, -999)</f>
        <v>2731546.0925937239</v>
      </c>
      <c r="ES51">
        <f>IF(AX51&lt;&gt;-999,AX51*$EQ51, -999)</f>
        <v>7685917.6991043054</v>
      </c>
      <c r="ET51" s="23">
        <f>IF(AY51&lt;&gt;-999,AY51*$EQ51, -999)</f>
        <v>10417463.791698029</v>
      </c>
      <c r="EU51">
        <f>-25.871-(0.1023*G51)+H51*(100+102.093-66.644-64.243)</f>
        <v>24.670746082112693</v>
      </c>
      <c r="EV51">
        <f>IF(AZ51&lt;&gt;-999,AZ51*$EU51, -999)</f>
        <v>6785170.9790863786</v>
      </c>
      <c r="EW51">
        <f>IF(BA51&lt;&gt;-999,BA51*$EU51, -999)</f>
        <v>19091860.630428366</v>
      </c>
      <c r="EX51" s="23">
        <f>IF(BB51&lt;&gt;-999,BB51*$EU51, -999)</f>
        <v>25877031.609514743</v>
      </c>
      <c r="EY51">
        <f>-25.245-(0.1023*G51)+H51*(100+102.093-66.644-64.243)</f>
        <v>25.296746082112691</v>
      </c>
      <c r="EZ51">
        <f>IF(BC51&lt;&gt;-999, BC51*$EY51, -999)</f>
        <v>1227980.7452819732</v>
      </c>
      <c r="FA51">
        <f>IF(BD51&lt;&gt;-999, BD51*$EY51, -999)</f>
        <v>3455249.4825185477</v>
      </c>
      <c r="FB51" s="23">
        <f>IF(BE51&lt;&gt;-999, BE51*$EY51, -999)</f>
        <v>4683234.4389105681</v>
      </c>
      <c r="FC51">
        <f>-29.317-(0.1023*G51)+H51*(100+102.093-66.644-64.243)</f>
        <v>21.224746082112688</v>
      </c>
      <c r="FD51">
        <f>IF(BF51&lt;&gt;-999,BF51*$FC51, -999)</f>
        <v>668561.66507297195</v>
      </c>
      <c r="FE51">
        <f>IF(BG51&lt;&gt;-999,BG51*$FC51, -999)</f>
        <v>1881173.2465815011</v>
      </c>
      <c r="FF51" s="23">
        <f>IF(BH51&lt;&gt;-999,BH51*$FC51, -999)</f>
        <v>2549734.9116544733</v>
      </c>
      <c r="FG51">
        <f>-38.03-(0.1023*G51)+H51*(100+102.093-66.644-64.243)</f>
        <v>12.511746082112694</v>
      </c>
      <c r="FH51">
        <f>IF(BI51&lt;&gt;-999,BI51*$FG51, -999)</f>
        <v>1214201.7173984502</v>
      </c>
      <c r="FI51">
        <f>IF(BJ51&lt;&gt;-999,BJ51*$FG51, -999)</f>
        <v>3416474.3678094642</v>
      </c>
      <c r="FJ51" s="23">
        <f>IF(BK51&lt;&gt;-999,BK51*$FG51, -999)</f>
        <v>4630676.085207914</v>
      </c>
      <c r="FK51" s="28">
        <f t="shared" si="26"/>
        <v>65667320.155758917</v>
      </c>
      <c r="FL51" s="22">
        <f t="shared" si="28"/>
        <v>10.012280000000011</v>
      </c>
      <c r="FM51">
        <f>IF(AT51&lt;&gt;-999,AT51*$FL51, -999)</f>
        <v>1377419.6052100318</v>
      </c>
      <c r="FN51">
        <f>IF(AU51&lt;&gt;-999,AU51*$FL51, -999)</f>
        <v>3875730.9335246291</v>
      </c>
      <c r="FO51" s="29">
        <f>IF(AV51&lt;&gt;-999,AV51*$FL51, -999)</f>
        <v>5253150.5387346605</v>
      </c>
      <c r="FP51">
        <f t="shared" si="29"/>
        <v>7.2392800000000115</v>
      </c>
      <c r="FQ51">
        <f>IF(AW51&lt;&gt;-999,AW51*$FP51, -999)</f>
        <v>646249.5863107146</v>
      </c>
      <c r="FR51">
        <f>IF(AX51&lt;&gt;-999,AX51*$FP51, -999)</f>
        <v>1818391.8429682986</v>
      </c>
      <c r="FS51" s="29">
        <f>IF(AY51&lt;&gt;-999,AY51*$FP51, -999)</f>
        <v>2464641.4292790131</v>
      </c>
      <c r="FT51">
        <f t="shared" si="30"/>
        <v>1.3112800000000142</v>
      </c>
      <c r="FU51">
        <f>IF(AZ51&lt;&gt;-999,AZ51*$FT51, -999)</f>
        <v>360640.04598172096</v>
      </c>
      <c r="FV51">
        <f>IF(BA51&lt;&gt;-999,BA51*$FT51, -999)</f>
        <v>1014755.4891183296</v>
      </c>
      <c r="FW51" s="29">
        <f>IF(BB51&lt;&gt;-999,BB51*$FT51, -999)</f>
        <v>1375395.5351000505</v>
      </c>
      <c r="FX51">
        <f t="shared" si="31"/>
        <v>1.9372800000000119</v>
      </c>
      <c r="FY51">
        <f>IF(BC51&lt;&gt;-999, BC51*$FX51, -999)</f>
        <v>94041.444322438925</v>
      </c>
      <c r="FZ51">
        <f>IF(BD51&lt;&gt;-999, BD51*$FX51, -999)</f>
        <v>264610.5430226358</v>
      </c>
      <c r="GA51" s="29">
        <f>IF(BE51&lt;&gt;-999, BE51*$FX51, -999)</f>
        <v>358652.30984106869</v>
      </c>
      <c r="GB51">
        <f t="shared" si="32"/>
        <v>-2.1347199999999873</v>
      </c>
      <c r="GC51">
        <f>IF(BF51&lt;&gt;-999,BF51*$GB51, -999)</f>
        <v>-67241.886058054792</v>
      </c>
      <c r="GD51">
        <f>IF(BG51&lt;&gt;-999,BG51*$GB51, -999)</f>
        <v>-189202.64757969309</v>
      </c>
      <c r="GE51" s="29">
        <f>IF(BH51&lt;&gt;-999,BH51*$GB51, -999)</f>
        <v>-256444.5336377479</v>
      </c>
      <c r="GF51">
        <f t="shared" si="33"/>
        <v>-10.847719999999988</v>
      </c>
      <c r="GG51">
        <f>IF(BI51&lt;&gt;-999,BI51*$GF51, -999)</f>
        <v>-1052716.3968494984</v>
      </c>
      <c r="GH51">
        <f>IF(BJ51&lt;&gt;-999,BJ51*$GF51, -999)</f>
        <v>-2962093.1471873382</v>
      </c>
      <c r="GI51" s="29">
        <f>IF(BK51&lt;&gt;-999,BK51*$GF51, -999)</f>
        <v>-4014809.5440368368</v>
      </c>
      <c r="GJ51" s="30">
        <f t="shared" si="27"/>
        <v>5180585.7352802083</v>
      </c>
    </row>
    <row r="52" spans="1:192">
      <c r="A52" s="48" t="s">
        <v>161</v>
      </c>
      <c r="B52" s="48" t="s">
        <v>190</v>
      </c>
      <c r="C52" s="49">
        <v>85</v>
      </c>
      <c r="D52" s="50">
        <v>0.89900000000000002</v>
      </c>
      <c r="E52" s="49">
        <v>160.38963623655499</v>
      </c>
      <c r="F52" s="49">
        <v>0.78910507946907305</v>
      </c>
      <c r="G52" s="49">
        <v>118.899305839211</v>
      </c>
      <c r="H52" s="49">
        <v>0.81500578598366202</v>
      </c>
      <c r="I52" s="42">
        <v>132969.70000000001</v>
      </c>
      <c r="J52" s="43">
        <v>55430.9</v>
      </c>
      <c r="K52" s="43">
        <f t="shared" si="0"/>
        <v>188400.6</v>
      </c>
      <c r="L52" s="43">
        <v>86978.2</v>
      </c>
      <c r="M52" s="43">
        <v>36258.5</v>
      </c>
      <c r="N52" s="43">
        <f t="shared" si="1"/>
        <v>123236.7</v>
      </c>
      <c r="O52" s="43">
        <v>228222.3</v>
      </c>
      <c r="P52" s="43">
        <v>95138.8</v>
      </c>
      <c r="Q52" s="43">
        <f t="shared" si="2"/>
        <v>323361.09999999998</v>
      </c>
      <c r="R52" s="43">
        <v>100620.6</v>
      </c>
      <c r="S52" s="43">
        <v>41945.599999999999</v>
      </c>
      <c r="T52" s="43">
        <f t="shared" si="3"/>
        <v>142566.20000000001</v>
      </c>
      <c r="U52" s="43">
        <v>65818</v>
      </c>
      <c r="V52" s="43">
        <v>27437.5</v>
      </c>
      <c r="W52" s="43">
        <f t="shared" si="4"/>
        <v>93255.5</v>
      </c>
      <c r="X52" s="43">
        <v>172700</v>
      </c>
      <c r="Y52" s="43">
        <v>71993.2</v>
      </c>
      <c r="Z52" s="43">
        <f t="shared" si="5"/>
        <v>244693.2</v>
      </c>
      <c r="AA52" s="22">
        <v>921179</v>
      </c>
      <c r="AB52">
        <v>181497.5</v>
      </c>
      <c r="AC52">
        <v>1102676.6000000001</v>
      </c>
      <c r="AD52">
        <v>602562.30000000005</v>
      </c>
      <c r="AE52">
        <v>118721.3</v>
      </c>
      <c r="AF52">
        <v>721283.6</v>
      </c>
      <c r="AG52">
        <v>1581064.2</v>
      </c>
      <c r="AH52">
        <v>311513</v>
      </c>
      <c r="AI52">
        <v>1892577.3</v>
      </c>
      <c r="AJ52">
        <v>697072.8</v>
      </c>
      <c r="AK52">
        <v>137342.5</v>
      </c>
      <c r="AL52">
        <v>834415.3</v>
      </c>
      <c r="AM52">
        <v>455969.8</v>
      </c>
      <c r="AN52">
        <v>89838.5</v>
      </c>
      <c r="AO52">
        <v>545808.30000000005</v>
      </c>
      <c r="AP52">
        <v>1196419.8999999999</v>
      </c>
      <c r="AQ52">
        <v>235727.5</v>
      </c>
      <c r="AR52">
        <v>1432147.4</v>
      </c>
      <c r="AS52">
        <v>6528908.46</v>
      </c>
      <c r="AT52" s="22">
        <f t="shared" si="37"/>
        <v>1533472.379996025</v>
      </c>
      <c r="AU52">
        <f t="shared" si="37"/>
        <v>302136.0705013125</v>
      </c>
      <c r="AV52">
        <f t="shared" si="37"/>
        <v>1835608.6169657852</v>
      </c>
      <c r="AW52">
        <f t="shared" si="37"/>
        <v>1003076.1060302927</v>
      </c>
      <c r="AX52">
        <f t="shared" si="37"/>
        <v>197633.50496181753</v>
      </c>
      <c r="AY52">
        <f t="shared" si="37"/>
        <v>1200709.6109921101</v>
      </c>
      <c r="AZ52">
        <f t="shared" si="37"/>
        <v>2631973.0277182949</v>
      </c>
      <c r="BA52">
        <f t="shared" si="37"/>
        <v>518570.854860675</v>
      </c>
      <c r="BB52">
        <f t="shared" si="37"/>
        <v>3150544.0490474175</v>
      </c>
      <c r="BC52">
        <f t="shared" si="37"/>
        <v>1160406.26810478</v>
      </c>
      <c r="BD52">
        <f t="shared" si="37"/>
        <v>228631.92750768751</v>
      </c>
      <c r="BE52">
        <f t="shared" si="37"/>
        <v>1389038.1956124676</v>
      </c>
      <c r="BF52">
        <f t="shared" si="37"/>
        <v>759045.84712885495</v>
      </c>
      <c r="BG52">
        <f t="shared" si="37"/>
        <v>149552.75620728749</v>
      </c>
      <c r="BH52">
        <f t="shared" si="37"/>
        <v>908598.60333614261</v>
      </c>
      <c r="BI52">
        <f t="shared" si="35"/>
        <v>1991661.6331110524</v>
      </c>
      <c r="BJ52">
        <f t="shared" si="35"/>
        <v>392411.9095805625</v>
      </c>
      <c r="BK52">
        <f t="shared" si="35"/>
        <v>2384073.5426916149</v>
      </c>
      <c r="BL52">
        <f t="shared" si="35"/>
        <v>10868572.552058158</v>
      </c>
      <c r="BM52" s="22">
        <f>-17.17-(0.1023*E52)+F52*(100-8.576-13.681)</f>
        <v>27.769536406164569</v>
      </c>
      <c r="BN52">
        <f>IF(AT52&lt;&gt;-999,AT52*$BM52, -999)</f>
        <v>42583817.084147446</v>
      </c>
      <c r="BO52">
        <f>IF(AU52&lt;&gt;-999,AU52*$BM52, -999)</f>
        <v>8390178.6094017029</v>
      </c>
      <c r="BP52" s="25">
        <f>IF(AV52&lt;&gt;-999,AV52*$BM52, -999)</f>
        <v>50974000.316300765</v>
      </c>
      <c r="BQ52">
        <f>-19.943-(0.1023*E52)+F52*(100-8.576-13.681)</f>
        <v>24.996536406164573</v>
      </c>
      <c r="BR52">
        <f>IF(AW52&lt;&gt;-999,AW52*$BQ52, -999)</f>
        <v>25073428.402540006</v>
      </c>
      <c r="BS52">
        <f>IF(AX52&lt;&gt;-999,AX52*$BQ52, -999)</f>
        <v>4940153.1018559784</v>
      </c>
      <c r="BT52" s="25">
        <f>IF(AY52&lt;&gt;-999,AY52*$BQ52, -999)</f>
        <v>30013581.504395984</v>
      </c>
      <c r="BU52">
        <f>-25.871-(0.1023*E52)+F52*(100-8.576-13.681)</f>
        <v>19.068536406164576</v>
      </c>
      <c r="BV52">
        <f>IF(AZ52&lt;&gt;-999,AZ52*$BU52, -999)</f>
        <v>50187873.499089509</v>
      </c>
      <c r="BW52">
        <f>IF(BA52&lt;&gt;-999,BA52*$BU52, -999)</f>
        <v>9888387.2250866666</v>
      </c>
      <c r="BX52" s="25">
        <f>IF(BB52&lt;&gt;-999,BB52*$BU52, -999)</f>
        <v>60076263.898485832</v>
      </c>
      <c r="BY52">
        <f>-25.245-(0.1023*E52)+F52*(100-8.576-13.681)</f>
        <v>19.694536406164573</v>
      </c>
      <c r="BZ52">
        <f>IF(BC52&lt;&gt;-999,BC52*$BY52, -999)</f>
        <v>22853663.493131157</v>
      </c>
      <c r="CA52">
        <f>IF(BD52&lt;&gt;-999,BD52*$BY52, -999)</f>
        <v>4502799.8199117314</v>
      </c>
      <c r="CB52" s="25">
        <f>IF(BE52&lt;&gt;-999,BE52*$BY52, -999)</f>
        <v>27356463.31304289</v>
      </c>
      <c r="CC52">
        <f>-29.317-(0.1023*E52)+F52*(100-8.576-13.681)</f>
        <v>15.622536406164578</v>
      </c>
      <c r="CD52">
        <f>IF(BF52&lt;&gt;-999,BF52*$CC52, -999)</f>
        <v>11858221.380718568</v>
      </c>
      <c r="CE52">
        <f>IF(BG52&lt;&gt;-999,BG52*$CC52, -999)</f>
        <v>2336393.3784906045</v>
      </c>
      <c r="CF52" s="25">
        <f>IF(BH52&lt;&gt;-999,BH52*$CC52, -999)</f>
        <v>14194614.759209177</v>
      </c>
      <c r="CG52">
        <f>-38.03-(0.1023*E52)+F52*(100-8.576-13.681)</f>
        <v>6.9095364061645697</v>
      </c>
      <c r="CH52">
        <f>IF(BI52&lt;&gt;-999,BI52*$CG52, -999)</f>
        <v>13761458.562741999</v>
      </c>
      <c r="CI52">
        <f>IF(BJ52&lt;&gt;-999,BJ52*$CG52, -999)</f>
        <v>2711384.3754594559</v>
      </c>
      <c r="CJ52" s="25">
        <f>IF(BK52&lt;&gt;-999,BK52*$CG52, -999)</f>
        <v>16472842.938201455</v>
      </c>
      <c r="CK52" s="26">
        <f t="shared" si="8"/>
        <v>199087766.7296361</v>
      </c>
      <c r="CL52">
        <f t="shared" si="9"/>
        <v>-27.694700018863301</v>
      </c>
      <c r="CM52">
        <f t="shared" si="10"/>
        <v>29.895855640183242</v>
      </c>
      <c r="CN52">
        <f t="shared" si="11"/>
        <v>-84.290457874139307</v>
      </c>
      <c r="CO52" s="22">
        <f t="shared" si="12"/>
        <v>-40.08</v>
      </c>
      <c r="CP52">
        <f>IF(AT52&lt;&gt;-999,AT52*$CO52, -999)</f>
        <v>-61461572.990240678</v>
      </c>
      <c r="CQ52">
        <f>IF(AU52&lt;&gt;-999,AU52*$CO52, -999)</f>
        <v>-12109613.705692604</v>
      </c>
      <c r="CR52" s="27">
        <f>IF(AV52&lt;&gt;-999,AV52*$CO52, -999)</f>
        <v>-73571193.367988661</v>
      </c>
      <c r="CS52">
        <f t="shared" si="13"/>
        <v>-42.853000000000002</v>
      </c>
      <c r="CT52">
        <f>IF(AW52&lt;&gt;-999,AW52*$CS52, -999)</f>
        <v>-42984820.371716134</v>
      </c>
      <c r="CU52">
        <f>IF(AX52&lt;&gt;-999,AX52*$CS52, -999)</f>
        <v>-8469188.588128766</v>
      </c>
      <c r="CV52" s="27">
        <f>IF(AY52&lt;&gt;-999,AY52*$CS52, -999)</f>
        <v>-51454008.959844895</v>
      </c>
      <c r="CW52">
        <f t="shared" si="14"/>
        <v>-48.780999999999999</v>
      </c>
      <c r="CX52">
        <f>IF(AZ52&lt;&gt;-999,AZ52*$CO52, -999)</f>
        <v>-105489478.95094925</v>
      </c>
      <c r="CY52">
        <f>IF(BA52&lt;&gt;-999,BA52*$CO52, -999)</f>
        <v>-20784319.862815853</v>
      </c>
      <c r="CZ52" s="27">
        <f>IF(BB52&lt;&gt;-999,BB52*$CO52, -999)</f>
        <v>-126273805.48582049</v>
      </c>
      <c r="DA52">
        <f t="shared" si="15"/>
        <v>-48.155000000000001</v>
      </c>
      <c r="DB52">
        <f>IF(BC52&lt;&gt;-999,BC52*$DA52, -999)</f>
        <v>-55879363.840585679</v>
      </c>
      <c r="DC52">
        <f>IF(BD52&lt;&gt;-999,BD52*$DA52, -999)</f>
        <v>-11009770.469132692</v>
      </c>
      <c r="DD52" s="27">
        <f>IF(BE52&lt;&gt;-999,BE52*$DA52, -999)</f>
        <v>-66889134.309718378</v>
      </c>
      <c r="DE52">
        <f t="shared" si="16"/>
        <v>-52.227000000000004</v>
      </c>
      <c r="DF52">
        <f>IF(BF52&lt;&gt;-999,BF52*$DE52, -999)</f>
        <v>-39642687.457998708</v>
      </c>
      <c r="DG52">
        <f>IF(BG52&lt;&gt;-999,BG52*$DE52, -999)</f>
        <v>-7810691.7984380042</v>
      </c>
      <c r="DH52" s="27">
        <f>IF(BH52&lt;&gt;-999,BH52*$DE52, -999)</f>
        <v>-47453379.25643672</v>
      </c>
      <c r="DI52">
        <f t="shared" si="17"/>
        <v>-60.94</v>
      </c>
      <c r="DJ52">
        <f>IF(BI52&lt;&gt;-999,BI52*$DI52, -999)</f>
        <v>-121371859.92178753</v>
      </c>
      <c r="DK52">
        <f>IF(BJ52&lt;&gt;-999,BJ52*$DI52, -999)</f>
        <v>-23913581.769839477</v>
      </c>
      <c r="DL52" s="27">
        <f>IF(BK52&lt;&gt;-999,BK52*$DI52, -999)</f>
        <v>-145285441.691627</v>
      </c>
      <c r="DM52" s="28">
        <f t="shared" si="18"/>
        <v>-510926963.07143617</v>
      </c>
      <c r="DN52" s="22">
        <f t="shared" si="19"/>
        <v>-17.170000000000002</v>
      </c>
      <c r="DO52">
        <f>IF(AT52&lt;&gt;-999,AT52*$DN52, -999)</f>
        <v>-26329720.76453175</v>
      </c>
      <c r="DP52">
        <f>IF(AU52&lt;&gt;-999,AU52*$DN52, -999)</f>
        <v>-5187676.3305075364</v>
      </c>
      <c r="DQ52" s="24">
        <f>IF(AV52&lt;&gt;-999,AV52*$DN52, -999)</f>
        <v>-31517399.953302532</v>
      </c>
      <c r="DR52">
        <f t="shared" si="20"/>
        <v>-19.943000000000001</v>
      </c>
      <c r="DS52">
        <f>IF(AW52&lt;&gt;-999,AW52*$DR52, -999)</f>
        <v>-20004346.782562129</v>
      </c>
      <c r="DT52">
        <f>IF(AX52&lt;&gt;-999,AX52*$DR52, -999)</f>
        <v>-3941404.9894535271</v>
      </c>
      <c r="DU52" s="24">
        <f>IF(AY52&lt;&gt;-999,AY52*$DR52, -999)</f>
        <v>-23945751.772015654</v>
      </c>
      <c r="DV52">
        <f t="shared" si="21"/>
        <v>-25.870999999999999</v>
      </c>
      <c r="DW52">
        <f>IF(AZ52&lt;&gt;-999,AZ52*$DV52, -999)</f>
        <v>-68091774.200100005</v>
      </c>
      <c r="DX52">
        <f>IF(BA52&lt;&gt;-999,BA52*$DV52, -999)</f>
        <v>-13415946.586100522</v>
      </c>
      <c r="DY52" s="24">
        <f>IF(BB52&lt;&gt;-999,BB52*$DV52, -999)</f>
        <v>-81507725.09290573</v>
      </c>
      <c r="DZ52">
        <f t="shared" si="22"/>
        <v>-25.245000000000001</v>
      </c>
      <c r="EA52">
        <f>IF(BC52&lt;&gt;-999, BC52*$DZ52, -999)</f>
        <v>-29294456.238305174</v>
      </c>
      <c r="EB52">
        <f>IF(BD52&lt;&gt;-999, BD52*$DZ52, -999)</f>
        <v>-5771813.0099315709</v>
      </c>
      <c r="EC52" s="24">
        <f>IF(BE52&lt;&gt;-999, BE52*$DZ52, -999)</f>
        <v>-35066269.248236746</v>
      </c>
      <c r="ED52">
        <f t="shared" si="23"/>
        <v>-29.317</v>
      </c>
      <c r="EE52">
        <f>IF(BF52&lt;&gt;-999,BF52*$ED52, -999)</f>
        <v>-22252947.100276642</v>
      </c>
      <c r="EF52">
        <f>IF(BG52&lt;&gt;-999,BG52*$ED52, -999)</f>
        <v>-4384438.1537290476</v>
      </c>
      <c r="EG52" s="24">
        <f>IF(BH52&lt;&gt;-999,BH52*$ED52, -999)</f>
        <v>-26637385.254005693</v>
      </c>
      <c r="EH52">
        <f t="shared" si="24"/>
        <v>-38.03</v>
      </c>
      <c r="EI52">
        <f>IF(BI52&lt;&gt;-999,BI52*$EH52, -999)</f>
        <v>-75742891.90721333</v>
      </c>
      <c r="EJ52">
        <f>IF(BJ52&lt;&gt;-999,BJ52*$EH52, -999)</f>
        <v>-14923424.921348792</v>
      </c>
      <c r="EK52" s="24">
        <f>IF(BK52&lt;&gt;-999,BK52*$EH52, -999)</f>
        <v>-90666316.828562126</v>
      </c>
      <c r="EL52" s="28">
        <f t="shared" si="25"/>
        <v>-289340848.14902848</v>
      </c>
      <c r="EM52" s="22">
        <f>-17.17-(0.1023*G52)+H52*(100+102.093-66.644-64.243)</f>
        <v>28.699903009401368</v>
      </c>
      <c r="EN52">
        <f>IF(AT52&lt;&gt;-999,AT52*$EM52, -999)</f>
        <v>44010508.573481798</v>
      </c>
      <c r="EO52">
        <f>IF(AU52&lt;&gt;-999,AU52*$EM52, -999)</f>
        <v>8671275.9190293215</v>
      </c>
      <c r="EP52" s="23">
        <f>IF(AV52&lt;&gt;-999,AV52*$EM52, -999)</f>
        <v>52681789.270139419</v>
      </c>
      <c r="EQ52">
        <f>-19.943-(0.1023*G52)+H52*(100+102.093-66.644-64.243)</f>
        <v>25.926903009401371</v>
      </c>
      <c r="ER52">
        <f>IF(AW52&lt;&gt;-999,AW52*$EQ52, -999)</f>
        <v>26006656.912095405</v>
      </c>
      <c r="ES52">
        <f>IF(AX52&lt;&gt;-999,AX52*$EQ52, -999)</f>
        <v>5124024.7145530879</v>
      </c>
      <c r="ET52" s="23">
        <f>IF(AY52&lt;&gt;-999,AY52*$EQ52, -999)</f>
        <v>31130681.626648489</v>
      </c>
      <c r="EU52">
        <f>-25.871-(0.1023*G52)+H52*(100+102.093-66.644-64.243)</f>
        <v>19.998903009401374</v>
      </c>
      <c r="EV52">
        <f>IF(AZ52&lt;&gt;-999,AZ52*$EU52, -999)</f>
        <v>52636573.304698654</v>
      </c>
      <c r="EW52">
        <f>IF(BA52&lt;&gt;-999,BA52*$EU52, -999)</f>
        <v>10370848.229860997</v>
      </c>
      <c r="EX52" s="23">
        <f>IF(BB52&lt;&gt;-999,BB52*$EU52, -999)</f>
        <v>63007424.863745987</v>
      </c>
      <c r="EY52">
        <f>-25.245-(0.1023*G52)+H52*(100+102.093-66.644-64.243)</f>
        <v>20.624903009401365</v>
      </c>
      <c r="EZ52">
        <f>IF(BC52&lt;&gt;-999, BC52*$EY52, -999)</f>
        <v>23933266.731162485</v>
      </c>
      <c r="FA52">
        <f>IF(BD52&lt;&gt;-999, BD52*$EY52, -999)</f>
        <v>4715511.3296985384</v>
      </c>
      <c r="FB52" s="23">
        <f>IF(BE52&lt;&gt;-999, BE52*$EY52, -999)</f>
        <v>28648778.060861025</v>
      </c>
      <c r="FC52">
        <f>-29.317-(0.1023*G52)+H52*(100+102.093-66.644-64.243)</f>
        <v>16.552903009401369</v>
      </c>
      <c r="FD52">
        <f>IF(BF52&lt;&gt;-999,BF52*$FC52, -999)</f>
        <v>12564412.287212834</v>
      </c>
      <c r="FE52">
        <f>IF(BG52&lt;&gt;-999,BG52*$FC52, -999)</f>
        <v>2475532.2682878785</v>
      </c>
      <c r="FF52" s="23">
        <f>IF(BH52&lt;&gt;-999,BH52*$FC52, -999)</f>
        <v>15039944.555500716</v>
      </c>
      <c r="FG52">
        <f>-38.03-(0.1023*G52)+H52*(100+102.093-66.644-64.243)</f>
        <v>7.8399030094013682</v>
      </c>
      <c r="FH52">
        <f>IF(BI52&lt;&gt;-999,BI52*$FG52, -999)</f>
        <v>15614434.031136584</v>
      </c>
      <c r="FI52">
        <f>IF(BJ52&lt;&gt;-999,BJ52*$FG52, -999)</f>
        <v>3076471.3108455897</v>
      </c>
      <c r="FJ52" s="23">
        <f>IF(BK52&lt;&gt;-999,BK52*$FG52, -999)</f>
        <v>18690905.341982175</v>
      </c>
      <c r="FK52" s="28">
        <f t="shared" si="26"/>
        <v>209199523.71887782</v>
      </c>
      <c r="FL52" s="22">
        <f t="shared" si="28"/>
        <v>10.012280000000011</v>
      </c>
      <c r="FM52">
        <f>IF(AT52&lt;&gt;-999,AT52*$FL52, -999)</f>
        <v>15353554.840786619</v>
      </c>
      <c r="FN52">
        <f>IF(AU52&lt;&gt;-999,AU52*$FL52, -999)</f>
        <v>3025070.9359588847</v>
      </c>
      <c r="FO52" s="29">
        <f>IF(AV52&lt;&gt;-999,AV52*$FL52, -999)</f>
        <v>18378627.443474211</v>
      </c>
      <c r="FP52">
        <f t="shared" si="29"/>
        <v>7.2392800000000115</v>
      </c>
      <c r="FQ52">
        <f>IF(AW52&lt;&gt;-999,AW52*$FP52, -999)</f>
        <v>7261548.792862989</v>
      </c>
      <c r="FR52">
        <f>IF(AX52&lt;&gt;-999,AX52*$FP52, -999)</f>
        <v>1430724.2797999887</v>
      </c>
      <c r="FS52" s="29">
        <f>IF(AY52&lt;&gt;-999,AY52*$FP52, -999)</f>
        <v>8692273.0726629775</v>
      </c>
      <c r="FT52">
        <f t="shared" si="30"/>
        <v>1.3112800000000142</v>
      </c>
      <c r="FU52">
        <f>IF(AZ52&lt;&gt;-999,AZ52*$FT52, -999)</f>
        <v>3451253.5917864833</v>
      </c>
      <c r="FV52">
        <f>IF(BA52&lt;&gt;-999,BA52*$FT52, -999)</f>
        <v>679991.59056171332</v>
      </c>
      <c r="FW52" s="29">
        <f>IF(BB52&lt;&gt;-999,BB52*$FT52, -999)</f>
        <v>4131245.4006349426</v>
      </c>
      <c r="FX52">
        <f t="shared" si="31"/>
        <v>1.9372800000000119</v>
      </c>
      <c r="FY52">
        <f>IF(BC52&lt;&gt;-999, BC52*$FX52, -999)</f>
        <v>2248031.855074042</v>
      </c>
      <c r="FZ52">
        <f>IF(BD52&lt;&gt;-999, BD52*$FX52, -999)</f>
        <v>442924.06052209559</v>
      </c>
      <c r="GA52" s="29">
        <f>IF(BE52&lt;&gt;-999, BE52*$FX52, -999)</f>
        <v>2690955.9155961378</v>
      </c>
      <c r="GB52">
        <f t="shared" si="32"/>
        <v>-2.1347199999999873</v>
      </c>
      <c r="GC52">
        <f>IF(BF52&lt;&gt;-999,BF52*$GB52, -999)</f>
        <v>-1620350.3507828997</v>
      </c>
      <c r="GD52">
        <f>IF(BG52&lt;&gt;-999,BG52*$GB52, -999)</f>
        <v>-319253.25973081886</v>
      </c>
      <c r="GE52" s="29">
        <f>IF(BH52&lt;&gt;-999,BH52*$GB52, -999)</f>
        <v>-1939603.6105137188</v>
      </c>
      <c r="GF52">
        <f t="shared" si="33"/>
        <v>-10.847719999999988</v>
      </c>
      <c r="GG52">
        <f>IF(BI52&lt;&gt;-999,BI52*$GF52, -999)</f>
        <v>-21604987.730731402</v>
      </c>
      <c r="GH52">
        <f>IF(BJ52&lt;&gt;-999,BJ52*$GF52, -999)</f>
        <v>-4256774.5197952548</v>
      </c>
      <c r="GI52" s="29">
        <f>IF(BK52&lt;&gt;-999,BK52*$GF52, -999)</f>
        <v>-25861762.250526655</v>
      </c>
      <c r="GJ52" s="30">
        <f t="shared" si="27"/>
        <v>6091735.9713278972</v>
      </c>
    </row>
    <row r="53" spans="1:192">
      <c r="A53" s="48" t="s">
        <v>151</v>
      </c>
      <c r="B53" s="48" t="s">
        <v>191</v>
      </c>
      <c r="C53" s="49">
        <v>36</v>
      </c>
      <c r="D53" s="50">
        <v>0.89600000000000002</v>
      </c>
      <c r="E53" s="49">
        <v>194.01278128126</v>
      </c>
      <c r="F53" s="49">
        <v>0.78709280716652397</v>
      </c>
      <c r="G53" s="49">
        <v>151.92195788641999</v>
      </c>
      <c r="H53" s="49">
        <v>0.81268277776002595</v>
      </c>
      <c r="I53" s="42">
        <v>15573.3</v>
      </c>
      <c r="J53" s="43">
        <v>29200</v>
      </c>
      <c r="K53" s="43">
        <f t="shared" si="0"/>
        <v>44773.3</v>
      </c>
      <c r="L53" s="43">
        <v>5389.3</v>
      </c>
      <c r="M53" s="43">
        <v>10105</v>
      </c>
      <c r="N53" s="43">
        <f t="shared" si="1"/>
        <v>15494.3</v>
      </c>
      <c r="O53" s="43">
        <v>6481.7</v>
      </c>
      <c r="P53" s="43">
        <v>12153.1</v>
      </c>
      <c r="Q53" s="43">
        <f t="shared" si="2"/>
        <v>18634.8</v>
      </c>
      <c r="R53" s="43">
        <v>15036.4</v>
      </c>
      <c r="S53" s="43">
        <v>28193.1</v>
      </c>
      <c r="T53" s="43">
        <f t="shared" si="3"/>
        <v>43229.5</v>
      </c>
      <c r="U53" s="43">
        <v>5203.5</v>
      </c>
      <c r="V53" s="43">
        <v>9756.5</v>
      </c>
      <c r="W53" s="43">
        <f t="shared" si="4"/>
        <v>14960</v>
      </c>
      <c r="X53" s="43">
        <v>6258.2</v>
      </c>
      <c r="Y53" s="43">
        <v>11734</v>
      </c>
      <c r="Z53" s="43">
        <f t="shared" si="5"/>
        <v>17992.2</v>
      </c>
      <c r="AA53" s="22">
        <v>128420.2</v>
      </c>
      <c r="AB53">
        <v>97386.2</v>
      </c>
      <c r="AC53">
        <v>225806.4</v>
      </c>
      <c r="AD53">
        <v>44441.2</v>
      </c>
      <c r="AE53">
        <v>33701.5</v>
      </c>
      <c r="AF53">
        <v>78142.7</v>
      </c>
      <c r="AG53">
        <v>53448.7</v>
      </c>
      <c r="AH53">
        <v>40532.300000000003</v>
      </c>
      <c r="AI53">
        <v>93981.1</v>
      </c>
      <c r="AJ53">
        <v>123992.2</v>
      </c>
      <c r="AK53">
        <v>94028.3</v>
      </c>
      <c r="AL53">
        <v>218020.5</v>
      </c>
      <c r="AM53">
        <v>42908.800000000003</v>
      </c>
      <c r="AN53">
        <v>32539.5</v>
      </c>
      <c r="AO53">
        <v>75448.3</v>
      </c>
      <c r="AP53">
        <v>51605.8</v>
      </c>
      <c r="AQ53">
        <v>39134.699999999997</v>
      </c>
      <c r="AR53">
        <v>90740.5</v>
      </c>
      <c r="AS53">
        <v>782139.59</v>
      </c>
      <c r="AT53" s="22">
        <f t="shared" si="37"/>
        <v>213779.113216395</v>
      </c>
      <c r="AU53">
        <f t="shared" si="37"/>
        <v>162117.29521924499</v>
      </c>
      <c r="AV53">
        <f t="shared" si="37"/>
        <v>375896.40843564004</v>
      </c>
      <c r="AW53">
        <f t="shared" si="37"/>
        <v>73980.575690369995</v>
      </c>
      <c r="AX53">
        <f t="shared" si="37"/>
        <v>56102.363834212505</v>
      </c>
      <c r="AY53">
        <f t="shared" si="37"/>
        <v>130082.93952458249</v>
      </c>
      <c r="AZ53">
        <f t="shared" si="37"/>
        <v>88975.221098932496</v>
      </c>
      <c r="BA53">
        <f t="shared" si="37"/>
        <v>67473.490546042507</v>
      </c>
      <c r="BB53">
        <f t="shared" si="37"/>
        <v>156448.87811342248</v>
      </c>
      <c r="BC53">
        <f t="shared" si="37"/>
        <v>206407.89036109499</v>
      </c>
      <c r="BD53">
        <f t="shared" si="37"/>
        <v>156527.45122064248</v>
      </c>
      <c r="BE53">
        <f t="shared" si="37"/>
        <v>362935.34158173751</v>
      </c>
      <c r="BF53">
        <f t="shared" si="37"/>
        <v>71429.613200880005</v>
      </c>
      <c r="BG53">
        <f t="shared" si="37"/>
        <v>54168.000474262502</v>
      </c>
      <c r="BH53">
        <f t="shared" si="37"/>
        <v>125597.61367514251</v>
      </c>
      <c r="BI53">
        <f t="shared" si="35"/>
        <v>85907.374079955</v>
      </c>
      <c r="BJ53">
        <f t="shared" si="35"/>
        <v>65146.927523782499</v>
      </c>
      <c r="BK53">
        <f t="shared" si="35"/>
        <v>151054.30160373752</v>
      </c>
      <c r="BL53">
        <f t="shared" si="35"/>
        <v>1302015.6327558651</v>
      </c>
      <c r="BM53" s="22">
        <f>-17.17-(0.1023*E53)+F53*(100-8.576-13.681)</f>
        <v>24.17344858247418</v>
      </c>
      <c r="BN53">
        <f>IF(AT53&lt;&gt;-999,AT53*$BM53, -999)</f>
        <v>5167778.4013434509</v>
      </c>
      <c r="BO53">
        <f>IF(AU53&lt;&gt;-999,AU53*$BM53, -999)</f>
        <v>3918934.100312206</v>
      </c>
      <c r="BP53" s="25">
        <f>IF(AV53&lt;&gt;-999,AV53*$BM53, -999)</f>
        <v>9086712.5016556587</v>
      </c>
      <c r="BQ53">
        <f>-19.943-(0.1023*E53)+F53*(100-8.576-13.681)</f>
        <v>21.400448582474183</v>
      </c>
      <c r="BR53">
        <f>IF(AW53&lt;&gt;-999,AW53*$BQ53, -999)</f>
        <v>1583217.5061636027</v>
      </c>
      <c r="BS53">
        <f>IF(AX53&lt;&gt;-999,AX53*$BQ53, -999)</f>
        <v>1200615.7525893238</v>
      </c>
      <c r="BT53" s="25">
        <f>IF(AY53&lt;&gt;-999,AY53*$BQ53, -999)</f>
        <v>2783833.2587529263</v>
      </c>
      <c r="BU53">
        <f>-25.871-(0.1023*E53)+F53*(100-8.576-13.681)</f>
        <v>15.472448582474186</v>
      </c>
      <c r="BV53">
        <f>IF(AZ53&lt;&gt;-999,AZ53*$BU53, -999)</f>
        <v>1376664.5335675054</v>
      </c>
      <c r="BW53">
        <f>IF(BA53&lt;&gt;-999,BA53*$BU53, -999)</f>
        <v>1043980.1131537008</v>
      </c>
      <c r="BX53" s="25">
        <f>IF(BB53&lt;&gt;-999,BB53*$BU53, -999)</f>
        <v>2420647.2223957004</v>
      </c>
      <c r="BY53">
        <f>-25.245-(0.1023*E53)+F53*(100-8.576-13.681)</f>
        <v>16.098448582474177</v>
      </c>
      <c r="BZ53">
        <f>IF(BC53&lt;&gt;-999,BC53*$BY53, -999)</f>
        <v>3322846.8099950552</v>
      </c>
      <c r="CA53">
        <f>IF(BD53&lt;&gt;-999,BD53*$BY53, -999)</f>
        <v>2519849.1252212478</v>
      </c>
      <c r="CB53" s="25">
        <f>IF(BE53&lt;&gt;-999,BE53*$BY53, -999)</f>
        <v>5842695.935216303</v>
      </c>
      <c r="CC53">
        <f>-29.317-(0.1023*E53)+F53*(100-8.576-13.681)</f>
        <v>12.026448582474181</v>
      </c>
      <c r="CD53">
        <f>IF(BF53&lt;&gt;-999,BF53*$CC53, -999)</f>
        <v>859044.57042640238</v>
      </c>
      <c r="CE53">
        <f>IF(BG53&lt;&gt;-999,BG53*$CC53, -999)</f>
        <v>651448.67251915508</v>
      </c>
      <c r="CF53" s="25">
        <f>IF(BH53&lt;&gt;-999,BH53*$CC53, -999)</f>
        <v>1510493.2429455575</v>
      </c>
      <c r="CG53">
        <f>-38.03-(0.1023*E53)+F53*(100-8.576-13.681)</f>
        <v>3.3134485824741802</v>
      </c>
      <c r="CH53">
        <f>IF(BI53&lt;&gt;-999,BI53*$CG53, -999)</f>
        <v>284649.66686930601</v>
      </c>
      <c r="CI53">
        <f>IF(BJ53&lt;&gt;-999,BJ53*$CG53, -999)</f>
        <v>215860.99465622526</v>
      </c>
      <c r="CJ53" s="25">
        <f>IF(BK53&lt;&gt;-999,BK53*$CG53, -999)</f>
        <v>500510.66152553138</v>
      </c>
      <c r="CK53" s="26">
        <f t="shared" si="8"/>
        <v>22144892.822491676</v>
      </c>
      <c r="CL53">
        <f t="shared" si="9"/>
        <v>-23.452339670430256</v>
      </c>
      <c r="CM53">
        <f t="shared" si="10"/>
        <v>34.285451332385094</v>
      </c>
      <c r="CN53">
        <f t="shared" si="11"/>
        <v>-80.192789580997598</v>
      </c>
      <c r="CO53" s="22">
        <f t="shared" si="12"/>
        <v>-40.08</v>
      </c>
      <c r="CP53">
        <f>IF(AT53&lt;&gt;-999,AT53*$CO53, -999)</f>
        <v>-8568266.8577131107</v>
      </c>
      <c r="CQ53">
        <f>IF(AU53&lt;&gt;-999,AU53*$CO53, -999)</f>
        <v>-6497661.1923873387</v>
      </c>
      <c r="CR53" s="27">
        <f>IF(AV53&lt;&gt;-999,AV53*$CO53, -999)</f>
        <v>-15065928.050100451</v>
      </c>
      <c r="CS53">
        <f t="shared" si="13"/>
        <v>-42.853000000000002</v>
      </c>
      <c r="CT53">
        <f>IF(AW53&lt;&gt;-999,AW53*$CS53, -999)</f>
        <v>-3170289.6100594257</v>
      </c>
      <c r="CU53">
        <f>IF(AX53&lt;&gt;-999,AX53*$CS53, -999)</f>
        <v>-2404154.5973875085</v>
      </c>
      <c r="CV53" s="27">
        <f>IF(AY53&lt;&gt;-999,AY53*$CS53, -999)</f>
        <v>-5574444.2074469337</v>
      </c>
      <c r="CW53">
        <f t="shared" si="14"/>
        <v>-48.780999999999999</v>
      </c>
      <c r="CX53">
        <f>IF(AZ53&lt;&gt;-999,AZ53*$CO53, -999)</f>
        <v>-3566126.8616452143</v>
      </c>
      <c r="CY53">
        <f>IF(BA53&lt;&gt;-999,BA53*$CO53, -999)</f>
        <v>-2704337.5010853834</v>
      </c>
      <c r="CZ53" s="27">
        <f>IF(BB53&lt;&gt;-999,BB53*$CO53, -999)</f>
        <v>-6270471.0347859729</v>
      </c>
      <c r="DA53">
        <f t="shared" si="15"/>
        <v>-48.155000000000001</v>
      </c>
      <c r="DB53">
        <f>IF(BC53&lt;&gt;-999,BC53*$DA53, -999)</f>
        <v>-9939571.9603385292</v>
      </c>
      <c r="DC53">
        <f>IF(BD53&lt;&gt;-999,BD53*$DA53, -999)</f>
        <v>-7537579.4135300387</v>
      </c>
      <c r="DD53" s="27">
        <f>IF(BE53&lt;&gt;-999,BE53*$DA53, -999)</f>
        <v>-17477151.37386857</v>
      </c>
      <c r="DE53">
        <f t="shared" si="16"/>
        <v>-52.227000000000004</v>
      </c>
      <c r="DF53">
        <f>IF(BF53&lt;&gt;-999,BF53*$DE53, -999)</f>
        <v>-3730554.4086423605</v>
      </c>
      <c r="DG53">
        <f>IF(BG53&lt;&gt;-999,BG53*$DE53, -999)</f>
        <v>-2829032.160769308</v>
      </c>
      <c r="DH53" s="27">
        <f>IF(BH53&lt;&gt;-999,BH53*$DE53, -999)</f>
        <v>-6559586.569411668</v>
      </c>
      <c r="DI53">
        <f t="shared" si="17"/>
        <v>-60.94</v>
      </c>
      <c r="DJ53">
        <f>IF(BI53&lt;&gt;-999,BI53*$DI53, -999)</f>
        <v>-5235195.3764324579</v>
      </c>
      <c r="DK53">
        <f>IF(BJ53&lt;&gt;-999,BJ53*$DI53, -999)</f>
        <v>-3970053.7632993055</v>
      </c>
      <c r="DL53" s="27">
        <f>IF(BK53&lt;&gt;-999,BK53*$DI53, -999)</f>
        <v>-9205249.1397317648</v>
      </c>
      <c r="DM53" s="28">
        <f t="shared" si="18"/>
        <v>-60152830.375345357</v>
      </c>
      <c r="DN53" s="22">
        <f t="shared" si="19"/>
        <v>-17.170000000000002</v>
      </c>
      <c r="DO53">
        <f>IF(AT53&lt;&gt;-999,AT53*$DN53, -999)</f>
        <v>-3670587.3739255024</v>
      </c>
      <c r="DP53">
        <f>IF(AU53&lt;&gt;-999,AU53*$DN53, -999)</f>
        <v>-2783553.9589144369</v>
      </c>
      <c r="DQ53" s="24">
        <f>IF(AV53&lt;&gt;-999,AV53*$DN53, -999)</f>
        <v>-6454141.3328399397</v>
      </c>
      <c r="DR53">
        <f t="shared" si="20"/>
        <v>-19.943000000000001</v>
      </c>
      <c r="DS53">
        <f>IF(AW53&lt;&gt;-999,AW53*$DR53, -999)</f>
        <v>-1475394.6209930489</v>
      </c>
      <c r="DT53">
        <f>IF(AX53&lt;&gt;-999,AX53*$DR53, -999)</f>
        <v>-1118849.4419457</v>
      </c>
      <c r="DU53" s="24">
        <f>IF(AY53&lt;&gt;-999,AY53*$DR53, -999)</f>
        <v>-2594244.0629387489</v>
      </c>
      <c r="DV53">
        <f t="shared" si="21"/>
        <v>-25.870999999999999</v>
      </c>
      <c r="DW53">
        <f>IF(AZ53&lt;&gt;-999,AZ53*$DV53, -999)</f>
        <v>-2301877.9450504826</v>
      </c>
      <c r="DX53">
        <f>IF(BA53&lt;&gt;-999,BA53*$DV53, -999)</f>
        <v>-1745606.6739166656</v>
      </c>
      <c r="DY53" s="24">
        <f>IF(BB53&lt;&gt;-999,BB53*$DV53, -999)</f>
        <v>-4047488.9256723528</v>
      </c>
      <c r="DZ53">
        <f t="shared" si="22"/>
        <v>-25.245000000000001</v>
      </c>
      <c r="EA53">
        <f>IF(BC53&lt;&gt;-999, BC53*$DZ53, -999)</f>
        <v>-5210767.1921658432</v>
      </c>
      <c r="EB53">
        <f>IF(BD53&lt;&gt;-999, BD53*$DZ53, -999)</f>
        <v>-3951535.5060651195</v>
      </c>
      <c r="EC53" s="24">
        <f>IF(BE53&lt;&gt;-999, BE53*$DZ53, -999)</f>
        <v>-9162302.6982309632</v>
      </c>
      <c r="ED53">
        <f t="shared" si="23"/>
        <v>-29.317</v>
      </c>
      <c r="EE53">
        <f>IF(BF53&lt;&gt;-999,BF53*$ED53, -999)</f>
        <v>-2094101.970210199</v>
      </c>
      <c r="EF53">
        <f>IF(BG53&lt;&gt;-999,BG53*$ED53, -999)</f>
        <v>-1588043.2699039539</v>
      </c>
      <c r="EG53" s="24">
        <f>IF(BH53&lt;&gt;-999,BH53*$ED53, -999)</f>
        <v>-3682145.2401141529</v>
      </c>
      <c r="EH53">
        <f t="shared" si="24"/>
        <v>-38.03</v>
      </c>
      <c r="EI53">
        <f>IF(BI53&lt;&gt;-999,BI53*$EH53, -999)</f>
        <v>-3267057.4362606886</v>
      </c>
      <c r="EJ53">
        <f>IF(BJ53&lt;&gt;-999,BJ53*$EH53, -999)</f>
        <v>-2477537.6537294486</v>
      </c>
      <c r="EK53" s="24">
        <f>IF(BK53&lt;&gt;-999,BK53*$EH53, -999)</f>
        <v>-5744595.0899901381</v>
      </c>
      <c r="EL53" s="28">
        <f t="shared" si="25"/>
        <v>-31684917.349786296</v>
      </c>
      <c r="EM53" s="22">
        <f>-17.17-(0.1023*G53)+H53*(100+102.093-66.644-64.243)</f>
        <v>25.15627358139966</v>
      </c>
      <c r="EN53">
        <f>IF(AT53&lt;&gt;-999,AT53*$EM53, -999)</f>
        <v>5377885.858060644</v>
      </c>
      <c r="EO53">
        <f>IF(AU53&lt;&gt;-999,AU53*$EM53, -999)</f>
        <v>4078267.0308118621</v>
      </c>
      <c r="EP53" s="23">
        <f>IF(AV53&lt;&gt;-999,AV53*$EM53, -999)</f>
        <v>9456152.888872508</v>
      </c>
      <c r="EQ53">
        <f>-19.943-(0.1023*G53)+H53*(100+102.093-66.644-64.243)</f>
        <v>22.383273581399656</v>
      </c>
      <c r="ER53">
        <f>IF(AW53&lt;&gt;-999,AW53*$EQ53, -999)</f>
        <v>1655927.4653869963</v>
      </c>
      <c r="ES53">
        <f>IF(AX53&lt;&gt;-999,AX53*$EQ53, -999)</f>
        <v>1255754.5582644003</v>
      </c>
      <c r="ET53" s="23">
        <f>IF(AY53&lt;&gt;-999,AY53*$EQ53, -999)</f>
        <v>2911682.0236513964</v>
      </c>
      <c r="EU53">
        <f>-25.871-(0.1023*G53)+H53*(100+102.093-66.644-64.243)</f>
        <v>16.455273581399659</v>
      </c>
      <c r="EV53">
        <f>IF(AZ53&lt;&gt;-999,AZ53*$EU53, -999)</f>
        <v>1464111.6051484575</v>
      </c>
      <c r="EW53">
        <f>IF(BA53&lt;&gt;-999,BA53*$EU53, -999)</f>
        <v>1110294.746427113</v>
      </c>
      <c r="EX53" s="23">
        <f>IF(BB53&lt;&gt;-999,BB53*$EU53, -999)</f>
        <v>2574409.0908594164</v>
      </c>
      <c r="EY53">
        <f>-25.245-(0.1023*G53)+H53*(100+102.093-66.644-64.243)</f>
        <v>17.081273581399657</v>
      </c>
      <c r="EZ53">
        <f>IF(BC53&lt;&gt;-999, BC53*$EY53, -999)</f>
        <v>3525709.644617409</v>
      </c>
      <c r="FA53">
        <f>IF(BD53&lt;&gt;-999, BD53*$EY53, -999)</f>
        <v>2673688.2172989841</v>
      </c>
      <c r="FB53" s="23">
        <f>IF(BE53&lt;&gt;-999, BE53*$EY53, -999)</f>
        <v>6199397.861916393</v>
      </c>
      <c r="FC53">
        <f>-29.317-(0.1023*G53)+H53*(100+102.093-66.644-64.243)</f>
        <v>13.009273581399661</v>
      </c>
      <c r="FD53">
        <f>IF(BF53&lt;&gt;-999,BF53*$FC53, -999)</f>
        <v>929247.3799438047</v>
      </c>
      <c r="FE53">
        <f>IF(BG53&lt;&gt;-999,BG53*$FC53, -999)</f>
        <v>704686.33752706752</v>
      </c>
      <c r="FF53" s="23">
        <f>IF(BH53&lt;&gt;-999,BH53*$FC53, -999)</f>
        <v>1633933.7174708722</v>
      </c>
      <c r="FG53">
        <f>-38.03-(0.1023*G53)+H53*(100+102.093-66.644-64.243)</f>
        <v>4.2962735813996602</v>
      </c>
      <c r="FH53">
        <f>IF(BI53&lt;&gt;-999,BI53*$FG53, -999)</f>
        <v>369081.58170712861</v>
      </c>
      <c r="FI53">
        <f>IF(BJ53&lt;&gt;-999,BJ53*$FG53, -999)</f>
        <v>279889.02362978511</v>
      </c>
      <c r="FJ53" s="23">
        <f>IF(BK53&lt;&gt;-999,BK53*$FG53, -999)</f>
        <v>648970.60533691384</v>
      </c>
      <c r="FK53" s="28">
        <f t="shared" si="26"/>
        <v>23424546.188107505</v>
      </c>
      <c r="FL53" s="22">
        <f t="shared" si="28"/>
        <v>10.012280000000011</v>
      </c>
      <c r="FM53">
        <f>IF(AT53&lt;&gt;-999,AT53*$FL53, -999)</f>
        <v>2140416.3396742498</v>
      </c>
      <c r="FN53">
        <f>IF(AU53&lt;&gt;-999,AU53*$FL53, -999)</f>
        <v>1623163.752577744</v>
      </c>
      <c r="FO53" s="29">
        <f>IF(AV53&lt;&gt;-999,AV53*$FL53, -999)</f>
        <v>3763580.0922519942</v>
      </c>
      <c r="FP53">
        <f t="shared" si="29"/>
        <v>7.2392800000000115</v>
      </c>
      <c r="FQ53">
        <f>IF(AW53&lt;&gt;-999,AW53*$FP53, -999)</f>
        <v>535566.1019837826</v>
      </c>
      <c r="FR53">
        <f>IF(AX53&lt;&gt;-999,AX53*$FP53, -999)</f>
        <v>406140.72045773856</v>
      </c>
      <c r="FS53" s="29">
        <f>IF(AY53&lt;&gt;-999,AY53*$FP53, -999)</f>
        <v>941706.82244152098</v>
      </c>
      <c r="FT53">
        <f t="shared" si="30"/>
        <v>1.3112800000000142</v>
      </c>
      <c r="FU53">
        <f>IF(AZ53&lt;&gt;-999,AZ53*$FT53, -999)</f>
        <v>116671.42792260947</v>
      </c>
      <c r="FV53">
        <f>IF(BA53&lt;&gt;-999,BA53*$FT53, -999)</f>
        <v>88476.638683215584</v>
      </c>
      <c r="FW53" s="29">
        <f>IF(BB53&lt;&gt;-999,BB53*$FT53, -999)</f>
        <v>205148.28489257087</v>
      </c>
      <c r="FX53">
        <f t="shared" si="31"/>
        <v>1.9372800000000119</v>
      </c>
      <c r="FY53">
        <f>IF(BC53&lt;&gt;-999, BC53*$FX53, -999)</f>
        <v>399869.87783874455</v>
      </c>
      <c r="FZ53">
        <f>IF(BD53&lt;&gt;-999, BD53*$FX53, -999)</f>
        <v>303237.50070072815</v>
      </c>
      <c r="GA53" s="29">
        <f>IF(BE53&lt;&gt;-999, BE53*$FX53, -999)</f>
        <v>703107.3785394727</v>
      </c>
      <c r="GB53">
        <f t="shared" si="32"/>
        <v>-2.1347199999999873</v>
      </c>
      <c r="GC53">
        <f>IF(BF53&lt;&gt;-999,BF53*$GB53, -999)</f>
        <v>-152482.22389218165</v>
      </c>
      <c r="GD53">
        <f>IF(BG53&lt;&gt;-999,BG53*$GB53, -999)</f>
        <v>-115633.51397241696</v>
      </c>
      <c r="GE53" s="29">
        <f>IF(BH53&lt;&gt;-999,BH53*$GB53, -999)</f>
        <v>-268115.73786459863</v>
      </c>
      <c r="GF53">
        <f t="shared" si="33"/>
        <v>-10.847719999999988</v>
      </c>
      <c r="GG53">
        <f>IF(BI53&lt;&gt;-999,BI53*$GF53, -999)</f>
        <v>-931899.1399546084</v>
      </c>
      <c r="GH53">
        <f>IF(BJ53&lt;&gt;-999,BJ53*$GF53, -999)</f>
        <v>-706695.6286382851</v>
      </c>
      <c r="GI53" s="29">
        <f>IF(BK53&lt;&gt;-999,BK53*$GF53, -999)</f>
        <v>-1638594.7685928938</v>
      </c>
      <c r="GJ53" s="30">
        <f t="shared" si="27"/>
        <v>3706832.0716680661</v>
      </c>
    </row>
    <row r="54" spans="1:192">
      <c r="A54" s="49" t="s">
        <v>153</v>
      </c>
      <c r="B54" s="49" t="s">
        <v>192</v>
      </c>
      <c r="C54" s="49">
        <v>19</v>
      </c>
      <c r="D54" s="50">
        <v>0.89500000000000002</v>
      </c>
      <c r="E54" s="49">
        <v>52.845484479397598</v>
      </c>
      <c r="F54" s="49">
        <v>0.79152141144609001</v>
      </c>
      <c r="G54" s="49">
        <v>37.1409244333678</v>
      </c>
      <c r="H54" s="49">
        <v>0.82079230013033599</v>
      </c>
      <c r="I54" s="42">
        <v>52571.8</v>
      </c>
      <c r="J54" s="43">
        <v>3342.8</v>
      </c>
      <c r="K54" s="43">
        <f t="shared" si="0"/>
        <v>55914.600000000006</v>
      </c>
      <c r="L54" s="43">
        <v>31720.5</v>
      </c>
      <c r="M54" s="43">
        <v>2016.9</v>
      </c>
      <c r="N54" s="43">
        <f t="shared" si="1"/>
        <v>33737.4</v>
      </c>
      <c r="O54" s="43">
        <v>158030.5</v>
      </c>
      <c r="P54" s="43">
        <v>10048.4</v>
      </c>
      <c r="Q54" s="43">
        <f t="shared" si="2"/>
        <v>168078.9</v>
      </c>
      <c r="R54" s="43">
        <v>65829</v>
      </c>
      <c r="S54" s="43">
        <v>4185.7</v>
      </c>
      <c r="T54" s="43">
        <f t="shared" si="3"/>
        <v>70014.7</v>
      </c>
      <c r="U54" s="43">
        <v>39719.599999999999</v>
      </c>
      <c r="V54" s="43">
        <v>2525.6</v>
      </c>
      <c r="W54" s="43">
        <f t="shared" si="4"/>
        <v>42245.2</v>
      </c>
      <c r="X54" s="43">
        <v>197881.60000000001</v>
      </c>
      <c r="Y54" s="43">
        <v>12582.3</v>
      </c>
      <c r="Z54" s="43">
        <f t="shared" si="5"/>
        <v>210463.9</v>
      </c>
      <c r="AA54" s="22">
        <v>418826.6</v>
      </c>
      <c r="AB54">
        <v>30173.599999999999</v>
      </c>
      <c r="AC54">
        <v>449000.2</v>
      </c>
      <c r="AD54">
        <v>252709.4</v>
      </c>
      <c r="AE54">
        <v>18206</v>
      </c>
      <c r="AF54">
        <v>270915.40000000002</v>
      </c>
      <c r="AG54">
        <v>1258990.2</v>
      </c>
      <c r="AH54">
        <v>90701.8</v>
      </c>
      <c r="AI54">
        <v>1349691.9</v>
      </c>
      <c r="AJ54">
        <v>524443.69999999995</v>
      </c>
      <c r="AK54">
        <v>37782.6</v>
      </c>
      <c r="AL54">
        <v>562226.30000000005</v>
      </c>
      <c r="AM54">
        <v>316436.09999999998</v>
      </c>
      <c r="AN54">
        <v>22797.1</v>
      </c>
      <c r="AO54">
        <v>339233.2</v>
      </c>
      <c r="AP54">
        <v>1576474.5</v>
      </c>
      <c r="AQ54">
        <v>113574.39999999999</v>
      </c>
      <c r="AR54">
        <v>1690048.8</v>
      </c>
      <c r="AS54">
        <v>4661115.88</v>
      </c>
      <c r="AT54" s="22">
        <f t="shared" si="37"/>
        <v>697214.13873703498</v>
      </c>
      <c r="AU54">
        <f t="shared" si="37"/>
        <v>50229.523474859998</v>
      </c>
      <c r="AV54">
        <f t="shared" si="37"/>
        <v>747443.66221189499</v>
      </c>
      <c r="AW54">
        <f t="shared" si="37"/>
        <v>420681.41486656497</v>
      </c>
      <c r="AX54">
        <f t="shared" si="37"/>
        <v>30307.245551850003</v>
      </c>
      <c r="AY54">
        <f t="shared" si="37"/>
        <v>450988.66041841503</v>
      </c>
      <c r="AZ54">
        <f t="shared" si="37"/>
        <v>2095821.440117145</v>
      </c>
      <c r="BA54">
        <f t="shared" si="37"/>
        <v>150989.87831455501</v>
      </c>
      <c r="BB54">
        <f t="shared" si="37"/>
        <v>2246811.1519632521</v>
      </c>
      <c r="BC54">
        <f t="shared" si="37"/>
        <v>873033.28540155734</v>
      </c>
      <c r="BD54">
        <f t="shared" si="37"/>
        <v>62896.107645134995</v>
      </c>
      <c r="BE54">
        <f t="shared" si="37"/>
        <v>935929.3930466926</v>
      </c>
      <c r="BF54">
        <f t="shared" si="37"/>
        <v>526766.26299954753</v>
      </c>
      <c r="BG54">
        <f t="shared" si="37"/>
        <v>37949.978445022498</v>
      </c>
      <c r="BH54">
        <f t="shared" si="37"/>
        <v>564716.24144457001</v>
      </c>
      <c r="BI54">
        <f t="shared" si="35"/>
        <v>2624332.6253833878</v>
      </c>
      <c r="BJ54">
        <f t="shared" si="35"/>
        <v>189065.54043743998</v>
      </c>
      <c r="BK54">
        <f t="shared" si="35"/>
        <v>2813397.9993523802</v>
      </c>
      <c r="BL54">
        <f t="shared" si="35"/>
        <v>7759287.2416119622</v>
      </c>
      <c r="BM54" s="22">
        <f>-17.17-(0.1023*E54)+F54*(100-8.576-13.681)</f>
        <v>38.959156027811005</v>
      </c>
      <c r="BN54">
        <f>IF(AT54&lt;&gt;-999,AT54*$BM54, -999)</f>
        <v>27162874.415852014</v>
      </c>
      <c r="BO54">
        <f>IF(AU54&lt;&gt;-999,AU54*$BM54, -999)</f>
        <v>1956899.8422596662</v>
      </c>
      <c r="BP54" s="25">
        <f>IF(AV54&lt;&gt;-999,AV54*$BM54, -999)</f>
        <v>29119774.258111682</v>
      </c>
      <c r="BQ54">
        <f>-19.943-(0.1023*E54)+F54*(100-8.576-13.681)</f>
        <v>36.186156027811009</v>
      </c>
      <c r="BR54">
        <f>IF(AW54&lt;&gt;-999,AW54*$BQ54, -999)</f>
        <v>15222843.316361815</v>
      </c>
      <c r="BS54">
        <f>IF(AX54&lt;&gt;-999,AX54*$BQ54, -999)</f>
        <v>1096702.7163124254</v>
      </c>
      <c r="BT54" s="25">
        <f>IF(AY54&lt;&gt;-999,AY54*$BQ54, -999)</f>
        <v>16319546.032674242</v>
      </c>
      <c r="BU54">
        <f>-25.871-(0.1023*E54)+F54*(100-8.576-13.681)</f>
        <v>30.258156027811012</v>
      </c>
      <c r="BV54">
        <f>IF(AZ54&lt;&gt;-999,AZ54*$BU54, -999)</f>
        <v>63415692.141496144</v>
      </c>
      <c r="BW54">
        <f>IF(BA54&lt;&gt;-999,BA54*$BU54, -999)</f>
        <v>4568675.2966620037</v>
      </c>
      <c r="BX54" s="25">
        <f>IF(BB54&lt;&gt;-999,BB54*$BU54, -999)</f>
        <v>67984362.401129887</v>
      </c>
      <c r="BY54">
        <f>-25.245-(0.1023*E54)+F54*(100-8.576-13.681)</f>
        <v>30.884156027811009</v>
      </c>
      <c r="BZ54">
        <f>IF(BC54&lt;&gt;-999,BC54*$BY54, -999)</f>
        <v>26962896.203814156</v>
      </c>
      <c r="CA54">
        <f>IF(BD54&lt;&gt;-999,BD54*$BY54, -999)</f>
        <v>1942493.202054346</v>
      </c>
      <c r="CB54" s="25">
        <f>IF(BE54&lt;&gt;-999,BE54*$BY54, -999)</f>
        <v>28905389.405868512</v>
      </c>
      <c r="CC54">
        <f>-29.317-(0.1023*E54)+F54*(100-8.576-13.681)</f>
        <v>26.812156027811007</v>
      </c>
      <c r="CD54">
        <f>IF(BF54&lt;&gt;-999,BF54*$CC54, -999)</f>
        <v>14123739.233730797</v>
      </c>
      <c r="CE54">
        <f>IF(BG54&lt;&gt;-999,BG54*$CC54, -999)</f>
        <v>1017520.7433200077</v>
      </c>
      <c r="CF54" s="25">
        <f>IF(BH54&lt;&gt;-999,BH54*$CC54, -999)</f>
        <v>15141259.977050804</v>
      </c>
      <c r="CG54">
        <f>-38.03-(0.1023*E54)+F54*(100-8.576-13.681)</f>
        <v>18.099156027811006</v>
      </c>
      <c r="CH54">
        <f>IF(BI54&lt;&gt;-999,BI54*$CG54, -999)</f>
        <v>47498205.655688822</v>
      </c>
      <c r="CI54">
        <f>IF(BJ54&lt;&gt;-999,BJ54*$CG54, -999)</f>
        <v>3421926.7158596371</v>
      </c>
      <c r="CJ54" s="25">
        <f>IF(BK54&lt;&gt;-999,BK54*$CG54, -999)</f>
        <v>50920129.358610056</v>
      </c>
      <c r="CK54" s="26">
        <f t="shared" si="8"/>
        <v>208390461.43344519</v>
      </c>
      <c r="CL54">
        <f t="shared" si="9"/>
        <v>-41.441727802755878</v>
      </c>
      <c r="CM54">
        <f t="shared" si="10"/>
        <v>15.97301719696954</v>
      </c>
      <c r="CN54">
        <f t="shared" si="11"/>
        <v>-97.864711886543674</v>
      </c>
      <c r="CO54" s="22">
        <f t="shared" si="12"/>
        <v>-40.08</v>
      </c>
      <c r="CP54">
        <f>IF(AT54&lt;&gt;-999,AT54*$CO54, -999)</f>
        <v>-27944342.680580363</v>
      </c>
      <c r="CQ54">
        <f>IF(AU54&lt;&gt;-999,AU54*$CO54, -999)</f>
        <v>-2013199.3008723885</v>
      </c>
      <c r="CR54" s="27">
        <f>IF(AV54&lt;&gt;-999,AV54*$CO54, -999)</f>
        <v>-29957541.981452748</v>
      </c>
      <c r="CS54">
        <f t="shared" si="13"/>
        <v>-42.853000000000002</v>
      </c>
      <c r="CT54">
        <f>IF(AW54&lt;&gt;-999,AW54*$CS54, -999)</f>
        <v>-18027460.671276908</v>
      </c>
      <c r="CU54">
        <f>IF(AX54&lt;&gt;-999,AX54*$CS54, -999)</f>
        <v>-1298756.3936334283</v>
      </c>
      <c r="CV54" s="27">
        <f>IF(AY54&lt;&gt;-999,AY54*$CS54, -999)</f>
        <v>-19326217.064910341</v>
      </c>
      <c r="CW54">
        <f t="shared" si="14"/>
        <v>-48.780999999999999</v>
      </c>
      <c r="CX54">
        <f>IF(AZ54&lt;&gt;-999,AZ54*$CO54, -999)</f>
        <v>-84000523.319895163</v>
      </c>
      <c r="CY54">
        <f>IF(BA54&lt;&gt;-999,BA54*$CO54, -999)</f>
        <v>-6051674.3228473645</v>
      </c>
      <c r="CZ54" s="27">
        <f>IF(BB54&lt;&gt;-999,BB54*$CO54, -999)</f>
        <v>-90052190.970687136</v>
      </c>
      <c r="DA54">
        <f t="shared" si="15"/>
        <v>-48.155000000000001</v>
      </c>
      <c r="DB54">
        <f>IF(BC54&lt;&gt;-999,BC54*$DA54, -999)</f>
        <v>-42040917.858511992</v>
      </c>
      <c r="DC54">
        <f>IF(BD54&lt;&gt;-999,BD54*$DA54, -999)</f>
        <v>-3028762.0636514756</v>
      </c>
      <c r="DD54" s="27">
        <f>IF(BE54&lt;&gt;-999,BE54*$DA54, -999)</f>
        <v>-45069679.922163486</v>
      </c>
      <c r="DE54">
        <f t="shared" si="16"/>
        <v>-52.227000000000004</v>
      </c>
      <c r="DF54">
        <f>IF(BF54&lt;&gt;-999,BF54*$DE54, -999)</f>
        <v>-27511421.617677372</v>
      </c>
      <c r="DG54">
        <f>IF(BG54&lt;&gt;-999,BG54*$DE54, -999)</f>
        <v>-1982013.5242481902</v>
      </c>
      <c r="DH54" s="27">
        <f>IF(BH54&lt;&gt;-999,BH54*$DE54, -999)</f>
        <v>-29493435.141925558</v>
      </c>
      <c r="DI54">
        <f t="shared" si="17"/>
        <v>-60.94</v>
      </c>
      <c r="DJ54">
        <f>IF(BI54&lt;&gt;-999,BI54*$DI54, -999)</f>
        <v>-159926830.19086364</v>
      </c>
      <c r="DK54">
        <f>IF(BJ54&lt;&gt;-999,BJ54*$DI54, -999)</f>
        <v>-11521654.034257593</v>
      </c>
      <c r="DL54" s="27">
        <f>IF(BK54&lt;&gt;-999,BK54*$DI54, -999)</f>
        <v>-171448474.08053404</v>
      </c>
      <c r="DM54" s="28">
        <f t="shared" si="18"/>
        <v>-385347539.16167331</v>
      </c>
      <c r="DN54" s="22">
        <f t="shared" si="19"/>
        <v>-17.170000000000002</v>
      </c>
      <c r="DO54">
        <f>IF(AT54&lt;&gt;-999,AT54*$DN54, -999)</f>
        <v>-11971166.762114892</v>
      </c>
      <c r="DP54">
        <f>IF(AU54&lt;&gt;-999,AU54*$DN54, -999)</f>
        <v>-862440.9180633463</v>
      </c>
      <c r="DQ54" s="24">
        <f>IF(AV54&lt;&gt;-999,AV54*$DN54, -999)</f>
        <v>-12833607.680178238</v>
      </c>
      <c r="DR54">
        <f t="shared" si="20"/>
        <v>-19.943000000000001</v>
      </c>
      <c r="DS54">
        <f>IF(AW54&lt;&gt;-999,AW54*$DR54, -999)</f>
        <v>-8389649.4566839058</v>
      </c>
      <c r="DT54">
        <f>IF(AX54&lt;&gt;-999,AX54*$DR54, -999)</f>
        <v>-604417.39804054459</v>
      </c>
      <c r="DU54" s="24">
        <f>IF(AY54&lt;&gt;-999,AY54*$DR54, -999)</f>
        <v>-8994066.8547244519</v>
      </c>
      <c r="DV54">
        <f t="shared" si="21"/>
        <v>-25.870999999999999</v>
      </c>
      <c r="DW54">
        <f>IF(AZ54&lt;&gt;-999,AZ54*$DV54, -999)</f>
        <v>-54220996.477270655</v>
      </c>
      <c r="DX54">
        <f>IF(BA54&lt;&gt;-999,BA54*$DV54, -999)</f>
        <v>-3906259.1418758524</v>
      </c>
      <c r="DY54" s="24">
        <f>IF(BB54&lt;&gt;-999,BB54*$DV54, -999)</f>
        <v>-58127251.312441289</v>
      </c>
      <c r="DZ54">
        <f t="shared" si="22"/>
        <v>-25.245000000000001</v>
      </c>
      <c r="EA54">
        <f>IF(BC54&lt;&gt;-999, BC54*$DZ54, -999)</f>
        <v>-22039725.289962314</v>
      </c>
      <c r="EB54">
        <f>IF(BD54&lt;&gt;-999, BD54*$DZ54, -999)</f>
        <v>-1587812.2375014329</v>
      </c>
      <c r="EC54" s="24">
        <f>IF(BE54&lt;&gt;-999, BE54*$DZ54, -999)</f>
        <v>-23627537.527463757</v>
      </c>
      <c r="ED54">
        <f t="shared" si="23"/>
        <v>-29.317</v>
      </c>
      <c r="EE54">
        <f>IF(BF54&lt;&gt;-999,BF54*$ED54, -999)</f>
        <v>-15443206.532357736</v>
      </c>
      <c r="EF54">
        <f>IF(BG54&lt;&gt;-999,BG54*$ED54, -999)</f>
        <v>-1112579.5180727246</v>
      </c>
      <c r="EG54" s="24">
        <f>IF(BH54&lt;&gt;-999,BH54*$ED54, -999)</f>
        <v>-16555786.05043046</v>
      </c>
      <c r="EH54">
        <f t="shared" si="24"/>
        <v>-38.03</v>
      </c>
      <c r="EI54">
        <f>IF(BI54&lt;&gt;-999,BI54*$EH54, -999)</f>
        <v>-99803369.74333024</v>
      </c>
      <c r="EJ54">
        <f>IF(BJ54&lt;&gt;-999,BJ54*$EH54, -999)</f>
        <v>-7190162.5028358428</v>
      </c>
      <c r="EK54" s="24">
        <f>IF(BK54&lt;&gt;-999,BK54*$EH54, -999)</f>
        <v>-106993525.91537102</v>
      </c>
      <c r="EL54" s="28">
        <f t="shared" si="25"/>
        <v>-227131775.34060922</v>
      </c>
      <c r="EM54" s="22">
        <f>-17.17-(0.1023*G54)+H54*(100+102.093-66.644-64.243)</f>
        <v>37.475819953547187</v>
      </c>
      <c r="EN54">
        <f>IF(AT54&lt;&gt;-999,AT54*$EM54, -999)</f>
        <v>26128671.532376591</v>
      </c>
      <c r="EO54">
        <f>IF(AU54&lt;&gt;-999,AU54*$EM54, -999)</f>
        <v>1882392.5780963253</v>
      </c>
      <c r="EP54" s="23">
        <f>IF(AV54&lt;&gt;-999,AV54*$EM54, -999)</f>
        <v>28011064.110472918</v>
      </c>
      <c r="EQ54">
        <f>-19.943-(0.1023*G54)+H54*(100+102.093-66.644-64.243)</f>
        <v>34.702819953547191</v>
      </c>
      <c r="ER54">
        <f>IF(AW54&lt;&gt;-999,AW54*$EQ54, -999)</f>
        <v>14598831.397917895</v>
      </c>
      <c r="ES54">
        <f>IF(AX54&lt;&gt;-999,AX54*$EQ54, -999)</f>
        <v>1051746.8856737947</v>
      </c>
      <c r="ET54" s="23">
        <f>IF(AY54&lt;&gt;-999,AY54*$EQ54, -999)</f>
        <v>15650578.283591691</v>
      </c>
      <c r="EU54">
        <f>-25.871-(0.1023*G54)+H54*(100+102.093-66.644-64.243)</f>
        <v>28.774819953547194</v>
      </c>
      <c r="EV54">
        <f>IF(AZ54&lt;&gt;-999,AZ54*$EU54, -999)</f>
        <v>60306884.594154835</v>
      </c>
      <c r="EW54">
        <f>IF(BA54&lt;&gt;-999,BA54*$EU54, -999)</f>
        <v>4344706.5633093202</v>
      </c>
      <c r="EX54" s="23">
        <f>IF(BB54&lt;&gt;-999,BB54*$EU54, -999)</f>
        <v>64651586.367364541</v>
      </c>
      <c r="EY54">
        <f>-25.245-(0.1023*G54)+H54*(100+102.093-66.644-64.243)</f>
        <v>29.400819953547192</v>
      </c>
      <c r="EZ54">
        <f>IF(BC54&lt;&gt;-999, BC54*$EY54, -999)</f>
        <v>25667894.437544968</v>
      </c>
      <c r="FA54">
        <f>IF(BD54&lt;&gt;-999, BD54*$EY54, -999)</f>
        <v>1849197.1366535369</v>
      </c>
      <c r="FB54" s="23">
        <f>IF(BE54&lt;&gt;-999, BE54*$EY54, -999)</f>
        <v>27517091.57419851</v>
      </c>
      <c r="FC54">
        <f>-29.317-(0.1023*G54)+H54*(100+102.093-66.644-64.243)</f>
        <v>25.328819953547196</v>
      </c>
      <c r="FD54">
        <f>IF(BF54&lt;&gt;-999,BF54*$FC54, -999)</f>
        <v>13342367.833118429</v>
      </c>
      <c r="FE54">
        <f>IF(BG54&lt;&gt;-999,BG54*$FC54, -999)</f>
        <v>961228.1712749718</v>
      </c>
      <c r="FF54" s="23">
        <f>IF(BH54&lt;&gt;-999,BH54*$FC54, -999)</f>
        <v>14303596.004393401</v>
      </c>
      <c r="FG54">
        <f>-38.03-(0.1023*G54)+H54*(100+102.093-66.644-64.243)</f>
        <v>16.615819953547195</v>
      </c>
      <c r="FH54">
        <f>IF(BI54&lt;&gt;-999,BI54*$FG54, -999)</f>
        <v>43605438.401590191</v>
      </c>
      <c r="FI54">
        <f>IF(BJ54&lt;&gt;-999,BJ54*$FG54, -999)</f>
        <v>3141478.9793285993</v>
      </c>
      <c r="FJ54" s="23">
        <f>IF(BK54&lt;&gt;-999,BK54*$FG54, -999)</f>
        <v>46746914.614909038</v>
      </c>
      <c r="FK54" s="28">
        <f t="shared" si="26"/>
        <v>196880830.95493007</v>
      </c>
      <c r="FL54" s="22">
        <f t="shared" si="28"/>
        <v>10.012280000000011</v>
      </c>
      <c r="FM54">
        <f>IF(AT54&lt;&gt;-999,AT54*$FL54, -999)</f>
        <v>6980703.1769940481</v>
      </c>
      <c r="FN54">
        <f>IF(AU54&lt;&gt;-999,AU54*$FL54, -999)</f>
        <v>502912.05329687183</v>
      </c>
      <c r="FO54" s="29">
        <f>IF(AV54&lt;&gt;-999,AV54*$FL54, -999)</f>
        <v>7483615.2302909205</v>
      </c>
      <c r="FP54">
        <f t="shared" si="29"/>
        <v>7.2392800000000115</v>
      </c>
      <c r="FQ54">
        <f>IF(AW54&lt;&gt;-999,AW54*$FP54, -999)</f>
        <v>3045430.5530152312</v>
      </c>
      <c r="FR54">
        <f>IF(AX54&lt;&gt;-999,AX54*$FP54, -999)</f>
        <v>219402.63657859704</v>
      </c>
      <c r="FS54" s="29">
        <f>IF(AY54&lt;&gt;-999,AY54*$FP54, -999)</f>
        <v>3264833.1895938287</v>
      </c>
      <c r="FT54">
        <f t="shared" si="30"/>
        <v>1.3112800000000142</v>
      </c>
      <c r="FU54">
        <f>IF(AZ54&lt;&gt;-999,AZ54*$FT54, -999)</f>
        <v>2748208.7379968395</v>
      </c>
      <c r="FV54">
        <f>IF(BA54&lt;&gt;-999,BA54*$FT54, -999)</f>
        <v>197990.00763631184</v>
      </c>
      <c r="FW54" s="29">
        <f>IF(BB54&lt;&gt;-999,BB54*$FT54, -999)</f>
        <v>2946198.5273464052</v>
      </c>
      <c r="FX54">
        <f t="shared" si="31"/>
        <v>1.9372800000000119</v>
      </c>
      <c r="FY54">
        <f>IF(BC54&lt;&gt;-999, BC54*$FX54, -999)</f>
        <v>1691309.9231427393</v>
      </c>
      <c r="FZ54">
        <f>IF(BD54&lt;&gt;-999, BD54*$FX54, -999)</f>
        <v>121847.37141876787</v>
      </c>
      <c r="GA54" s="29">
        <f>IF(BE54&lt;&gt;-999, BE54*$FX54, -999)</f>
        <v>1813157.2945615076</v>
      </c>
      <c r="GB54">
        <f t="shared" si="32"/>
        <v>-2.1347199999999873</v>
      </c>
      <c r="GC54">
        <f>IF(BF54&lt;&gt;-999,BF54*$GB54, -999)</f>
        <v>-1124498.4769503875</v>
      </c>
      <c r="GD54">
        <f>IF(BG54&lt;&gt;-999,BG54*$GB54, -999)</f>
        <v>-81012.57798615795</v>
      </c>
      <c r="GE54" s="29">
        <f>IF(BH54&lt;&gt;-999,BH54*$GB54, -999)</f>
        <v>-1205511.0549365454</v>
      </c>
      <c r="GF54">
        <f t="shared" si="33"/>
        <v>-10.847719999999988</v>
      </c>
      <c r="GG54">
        <f>IF(BI54&lt;&gt;-999,BI54*$GF54, -999)</f>
        <v>-28468025.507023852</v>
      </c>
      <c r="GH54">
        <f>IF(BJ54&lt;&gt;-999,BJ54*$GF54, -999)</f>
        <v>-2050930.0443140243</v>
      </c>
      <c r="GI54" s="29">
        <f>IF(BK54&lt;&gt;-999,BK54*$GF54, -999)</f>
        <v>-30518953.74553477</v>
      </c>
      <c r="GJ54" s="30">
        <f t="shared" si="27"/>
        <v>-16216660.558678653</v>
      </c>
    </row>
    <row r="55" spans="1:192">
      <c r="A55" s="48" t="s">
        <v>142</v>
      </c>
      <c r="B55" s="48" t="s">
        <v>193</v>
      </c>
      <c r="C55" s="49">
        <v>77</v>
      </c>
      <c r="D55" s="50">
        <v>0.89400000000000002</v>
      </c>
      <c r="E55" s="49">
        <v>106.669130269994</v>
      </c>
      <c r="F55" s="49">
        <v>0.79143493817573995</v>
      </c>
      <c r="G55" s="49">
        <v>100.34674055733601</v>
      </c>
      <c r="H55" s="49">
        <v>0.81619757453211195</v>
      </c>
      <c r="I55" s="42">
        <v>37102.199999999997</v>
      </c>
      <c r="J55" s="43">
        <v>40744.800000000003</v>
      </c>
      <c r="K55" s="43">
        <f t="shared" si="0"/>
        <v>77847</v>
      </c>
      <c r="L55" s="43">
        <v>12658.3</v>
      </c>
      <c r="M55" s="43">
        <v>13901.1</v>
      </c>
      <c r="N55" s="43">
        <f t="shared" si="1"/>
        <v>26559.4</v>
      </c>
      <c r="O55" s="43">
        <v>31561.599999999999</v>
      </c>
      <c r="P55" s="43">
        <v>34660.199999999997</v>
      </c>
      <c r="Q55" s="43">
        <f t="shared" si="2"/>
        <v>66221.799999999988</v>
      </c>
      <c r="R55" s="43">
        <v>27728.6</v>
      </c>
      <c r="S55" s="43">
        <v>30450.9</v>
      </c>
      <c r="T55" s="43">
        <f t="shared" si="3"/>
        <v>58179.5</v>
      </c>
      <c r="U55" s="43">
        <v>9460.2999999999993</v>
      </c>
      <c r="V55" s="43">
        <v>10389</v>
      </c>
      <c r="W55" s="43">
        <f t="shared" si="4"/>
        <v>19849.3</v>
      </c>
      <c r="X55" s="43">
        <v>23587.8</v>
      </c>
      <c r="Y55" s="43">
        <v>25903.5</v>
      </c>
      <c r="Z55" s="43">
        <f t="shared" si="5"/>
        <v>49491.3</v>
      </c>
      <c r="AA55" s="22">
        <v>702246.9</v>
      </c>
      <c r="AB55">
        <v>552484</v>
      </c>
      <c r="AC55">
        <v>1254730.8999999999</v>
      </c>
      <c r="AD55">
        <v>239588.2</v>
      </c>
      <c r="AE55">
        <v>188493</v>
      </c>
      <c r="AF55">
        <v>428081.3</v>
      </c>
      <c r="AG55">
        <v>597377.4</v>
      </c>
      <c r="AH55">
        <v>469979.2</v>
      </c>
      <c r="AI55">
        <v>1067356.5</v>
      </c>
      <c r="AJ55">
        <v>524829.1</v>
      </c>
      <c r="AK55">
        <v>412902.8</v>
      </c>
      <c r="AL55">
        <v>937731.9</v>
      </c>
      <c r="AM55">
        <v>179057.9</v>
      </c>
      <c r="AN55">
        <v>140871.6</v>
      </c>
      <c r="AO55">
        <v>319929.5</v>
      </c>
      <c r="AP55">
        <v>446454.1</v>
      </c>
      <c r="AQ55">
        <v>351242.2</v>
      </c>
      <c r="AR55">
        <v>797696.4</v>
      </c>
      <c r="AS55">
        <v>4805526.53</v>
      </c>
      <c r="AT55" s="22">
        <f t="shared" si="37"/>
        <v>1169019.5120468775</v>
      </c>
      <c r="AU55">
        <f t="shared" si="37"/>
        <v>919711.53748589999</v>
      </c>
      <c r="AV55">
        <f t="shared" si="37"/>
        <v>2088731.0495327776</v>
      </c>
      <c r="AW55">
        <f t="shared" si="37"/>
        <v>398838.75693319499</v>
      </c>
      <c r="AX55">
        <f t="shared" si="37"/>
        <v>313781.370746175</v>
      </c>
      <c r="AY55">
        <f t="shared" si="37"/>
        <v>712620.29414781753</v>
      </c>
      <c r="AZ55">
        <f t="shared" si="37"/>
        <v>994444.88349586516</v>
      </c>
      <c r="BA55">
        <f t="shared" si="37"/>
        <v>782367.07781292009</v>
      </c>
      <c r="BB55">
        <f t="shared" si="37"/>
        <v>1776811.7948403375</v>
      </c>
      <c r="BC55">
        <f t="shared" si="37"/>
        <v>873674.85479822243</v>
      </c>
      <c r="BD55">
        <f t="shared" si="37"/>
        <v>687352.88084402995</v>
      </c>
      <c r="BE55">
        <f t="shared" si="37"/>
        <v>1561027.7356422525</v>
      </c>
      <c r="BF55">
        <f t="shared" si="37"/>
        <v>298074.90625610249</v>
      </c>
      <c r="BG55">
        <f t="shared" si="37"/>
        <v>234506.76548840999</v>
      </c>
      <c r="BH55">
        <f t="shared" si="37"/>
        <v>532581.67174451251</v>
      </c>
      <c r="BI55">
        <f t="shared" si="35"/>
        <v>743205.20907009742</v>
      </c>
      <c r="BJ55">
        <f t="shared" si="35"/>
        <v>584707.43730484508</v>
      </c>
      <c r="BK55">
        <f t="shared" si="35"/>
        <v>1327912.81284339</v>
      </c>
      <c r="BL55">
        <f t="shared" si="35"/>
        <v>7999685.4086916223</v>
      </c>
      <c r="BM55" s="22">
        <f>-17.17-(0.1023*E55)+F55*(100-8.576-13.681)</f>
        <v>33.446274371976173</v>
      </c>
      <c r="BN55">
        <f>IF(AT55&lt;&gt;-999,AT55*$BM55, -999)</f>
        <v>39099347.34611357</v>
      </c>
      <c r="BO55">
        <f>IF(AU55&lt;&gt;-999,AU55*$BM55, -999)</f>
        <v>30760924.425825462</v>
      </c>
      <c r="BP55" s="25">
        <f>IF(AV55&lt;&gt;-999,AV55*$BM55, -999)</f>
        <v>69860271.771939039</v>
      </c>
      <c r="BQ55">
        <f>-19.943-(0.1023*E55)+F55*(100-8.576-13.681)</f>
        <v>30.673274371976174</v>
      </c>
      <c r="BR55">
        <f>IF(AW55&lt;&gt;-999,AW55*$BQ55, -999)</f>
        <v>12233690.621589804</v>
      </c>
      <c r="BS55">
        <f>IF(AX55&lt;&gt;-999,AX55*$BQ55, -999)</f>
        <v>9624702.0777122043</v>
      </c>
      <c r="BT55" s="25">
        <f>IF(AY55&lt;&gt;-999,AY55*$BQ55, -999)</f>
        <v>21858397.805434372</v>
      </c>
      <c r="BU55">
        <f>-25.871-(0.1023*E55)+F55*(100-8.576-13.681)</f>
        <v>24.745274371976173</v>
      </c>
      <c r="BV55">
        <f>IF(AZ55&lt;&gt;-999,AZ55*$BU55, -999)</f>
        <v>24607811.489913061</v>
      </c>
      <c r="BW55">
        <f>IF(BA55&lt;&gt;-999,BA55*$BU55, -999)</f>
        <v>19359888.000081941</v>
      </c>
      <c r="BX55" s="25">
        <f>IF(BB55&lt;&gt;-999,BB55*$BU55, -999)</f>
        <v>43967695.370687589</v>
      </c>
      <c r="BY55">
        <f>-25.245-(0.1023*E55)+F55*(100-8.576-13.681)</f>
        <v>25.371274371976178</v>
      </c>
      <c r="BZ55">
        <f>IF(BC55&lt;&gt;-999,BC55*$BY55, -999)</f>
        <v>22166244.45298215</v>
      </c>
      <c r="CA55">
        <f>IF(BD55&lt;&gt;-999,BD55*$BY55, -999)</f>
        <v>17439018.530262131</v>
      </c>
      <c r="CB55" s="25">
        <f>IF(BE55&lt;&gt;-999,BE55*$BY55, -999)</f>
        <v>39605262.983244285</v>
      </c>
      <c r="CC55">
        <f>-29.317-(0.1023*E55)+F55*(100-8.576-13.681)</f>
        <v>21.299274371976175</v>
      </c>
      <c r="CD55">
        <f>IF(BF55&lt;&gt;-999,BF55*$CC55, -999)</f>
        <v>6348779.2117498042</v>
      </c>
      <c r="CE55">
        <f>IF(BG55&lt;&gt;-999,BG55*$CC55, -999)</f>
        <v>4994823.9402223174</v>
      </c>
      <c r="CF55" s="25">
        <f>IF(BH55&lt;&gt;-999,BH55*$CC55, -999)</f>
        <v>11343603.151972122</v>
      </c>
      <c r="CG55">
        <f>-38.03-(0.1023*E55)+F55*(100-8.576-13.681)</f>
        <v>12.586274371976174</v>
      </c>
      <c r="CH55">
        <f>IF(BI55&lt;&gt;-999,BI55*$CG55, -999)</f>
        <v>9354184.6760381609</v>
      </c>
      <c r="CI55">
        <f>IF(BJ55&lt;&gt;-999,BJ55*$CG55, -999)</f>
        <v>7359288.2332538366</v>
      </c>
      <c r="CJ55" s="25">
        <f>IF(BK55&lt;&gt;-999,BK55*$CG55, -999)</f>
        <v>16713475.004509553</v>
      </c>
      <c r="CK55" s="26">
        <f t="shared" si="8"/>
        <v>203348706.08778697</v>
      </c>
      <c r="CL55">
        <f t="shared" si="9"/>
        <v>-34.491503012646426</v>
      </c>
      <c r="CM55">
        <f t="shared" si="10"/>
        <v>22.929515201119663</v>
      </c>
      <c r="CN55">
        <f t="shared" si="11"/>
        <v>-90.920651949312585</v>
      </c>
      <c r="CO55" s="22">
        <f t="shared" si="12"/>
        <v>-40.08</v>
      </c>
      <c r="CP55">
        <f>IF(AT55&lt;&gt;-999,AT55*$CO55, -999)</f>
        <v>-46854302.042838849</v>
      </c>
      <c r="CQ55">
        <f>IF(AU55&lt;&gt;-999,AU55*$CO55, -999)</f>
        <v>-36862038.422434866</v>
      </c>
      <c r="CR55" s="27">
        <f>IF(AV55&lt;&gt;-999,AV55*$CO55, -999)</f>
        <v>-83716340.465273723</v>
      </c>
      <c r="CS55">
        <f t="shared" si="13"/>
        <v>-42.853000000000002</v>
      </c>
      <c r="CT55">
        <f>IF(AW55&lt;&gt;-999,AW55*$CS55, -999)</f>
        <v>-17091437.250858206</v>
      </c>
      <c r="CU55">
        <f>IF(AX55&lt;&gt;-999,AX55*$CS55, -999)</f>
        <v>-13446473.080585837</v>
      </c>
      <c r="CV55" s="27">
        <f>IF(AY55&lt;&gt;-999,AY55*$CS55, -999)</f>
        <v>-30537917.465116426</v>
      </c>
      <c r="CW55">
        <f t="shared" si="14"/>
        <v>-48.780999999999999</v>
      </c>
      <c r="CX55">
        <f>IF(AZ55&lt;&gt;-999,AZ55*$CO55, -999)</f>
        <v>-39857350.930514276</v>
      </c>
      <c r="CY55">
        <f>IF(BA55&lt;&gt;-999,BA55*$CO55, -999)</f>
        <v>-31357272.478741836</v>
      </c>
      <c r="CZ55" s="27">
        <f>IF(BB55&lt;&gt;-999,BB55*$CO55, -999)</f>
        <v>-71214616.737200722</v>
      </c>
      <c r="DA55">
        <f t="shared" si="15"/>
        <v>-48.155000000000001</v>
      </c>
      <c r="DB55">
        <f>IF(BC55&lt;&gt;-999,BC55*$DA55, -999)</f>
        <v>-42071812.632808402</v>
      </c>
      <c r="DC55">
        <f>IF(BD55&lt;&gt;-999,BD55*$DA55, -999)</f>
        <v>-33099477.977044262</v>
      </c>
      <c r="DD55" s="27">
        <f>IF(BE55&lt;&gt;-999,BE55*$DA55, -999)</f>
        <v>-75171290.609852672</v>
      </c>
      <c r="DE55">
        <f t="shared" si="16"/>
        <v>-52.227000000000004</v>
      </c>
      <c r="DF55">
        <f>IF(BF55&lt;&gt;-999,BF55*$DE55, -999)</f>
        <v>-15567558.129037466</v>
      </c>
      <c r="DG55">
        <f>IF(BG55&lt;&gt;-999,BG55*$DE55, -999)</f>
        <v>-12247584.84116319</v>
      </c>
      <c r="DH55" s="27">
        <f>IF(BH55&lt;&gt;-999,BH55*$DE55, -999)</f>
        <v>-27815142.970200658</v>
      </c>
      <c r="DI55">
        <f t="shared" si="17"/>
        <v>-60.94</v>
      </c>
      <c r="DJ55">
        <f>IF(BI55&lt;&gt;-999,BI55*$DI55, -999)</f>
        <v>-45290925.440731734</v>
      </c>
      <c r="DK55">
        <f>IF(BJ55&lt;&gt;-999,BJ55*$DI55, -999)</f>
        <v>-35632071.229357257</v>
      </c>
      <c r="DL55" s="27">
        <f>IF(BK55&lt;&gt;-999,BK55*$DI55, -999)</f>
        <v>-80923006.81467618</v>
      </c>
      <c r="DM55" s="28">
        <f t="shared" si="18"/>
        <v>-369378315.06232035</v>
      </c>
      <c r="DN55" s="22">
        <f t="shared" si="19"/>
        <v>-17.170000000000002</v>
      </c>
      <c r="DO55">
        <f>IF(AT55&lt;&gt;-999,AT55*$DN55, -999)</f>
        <v>-20072065.02184489</v>
      </c>
      <c r="DP55">
        <f>IF(AU55&lt;&gt;-999,AU55*$DN55, -999)</f>
        <v>-15791447.098632904</v>
      </c>
      <c r="DQ55" s="24">
        <f>IF(AV55&lt;&gt;-999,AV55*$DN55, -999)</f>
        <v>-35863512.120477796</v>
      </c>
      <c r="DR55">
        <f t="shared" si="20"/>
        <v>-19.943000000000001</v>
      </c>
      <c r="DS55">
        <f>IF(AW55&lt;&gt;-999,AW55*$DR55, -999)</f>
        <v>-7954041.3295187084</v>
      </c>
      <c r="DT55">
        <f>IF(AX55&lt;&gt;-999,AX55*$DR55, -999)</f>
        <v>-6257741.8767909687</v>
      </c>
      <c r="DU55" s="24">
        <f>IF(AY55&lt;&gt;-999,AY55*$DR55, -999)</f>
        <v>-14211786.526189927</v>
      </c>
      <c r="DV55">
        <f t="shared" si="21"/>
        <v>-25.870999999999999</v>
      </c>
      <c r="DW55">
        <f>IF(AZ55&lt;&gt;-999,AZ55*$DV55, -999)</f>
        <v>-25727283.580921527</v>
      </c>
      <c r="DX55">
        <f>IF(BA55&lt;&gt;-999,BA55*$DV55, -999)</f>
        <v>-20240618.670098055</v>
      </c>
      <c r="DY55" s="24">
        <f>IF(BB55&lt;&gt;-999,BB55*$DV55, -999)</f>
        <v>-45967897.944314368</v>
      </c>
      <c r="DZ55">
        <f t="shared" si="22"/>
        <v>-25.245000000000001</v>
      </c>
      <c r="EA55">
        <f>IF(BC55&lt;&gt;-999, BC55*$DZ55, -999)</f>
        <v>-22055921.709381126</v>
      </c>
      <c r="EB55">
        <f>IF(BD55&lt;&gt;-999, BD55*$DZ55, -999)</f>
        <v>-17352223.476907536</v>
      </c>
      <c r="EC55" s="24">
        <f>IF(BE55&lt;&gt;-999, BE55*$DZ55, -999)</f>
        <v>-39408145.186288662</v>
      </c>
      <c r="ED55">
        <f t="shared" si="23"/>
        <v>-29.317</v>
      </c>
      <c r="EE55">
        <f>IF(BF55&lt;&gt;-999,BF55*$ED55, -999)</f>
        <v>-8738662.0267101564</v>
      </c>
      <c r="EF55">
        <f>IF(BG55&lt;&gt;-999,BG55*$ED55, -999)</f>
        <v>-6875034.843823716</v>
      </c>
      <c r="EG55" s="24">
        <f>IF(BH55&lt;&gt;-999,BH55*$ED55, -999)</f>
        <v>-15613696.870533874</v>
      </c>
      <c r="EH55">
        <f t="shared" si="24"/>
        <v>-38.03</v>
      </c>
      <c r="EI55">
        <f>IF(BI55&lt;&gt;-999,BI55*$EH55, -999)</f>
        <v>-28264094.100935806</v>
      </c>
      <c r="EJ55">
        <f>IF(BJ55&lt;&gt;-999,BJ55*$EH55, -999)</f>
        <v>-22236423.84070326</v>
      </c>
      <c r="EK55" s="24">
        <f>IF(BK55&lt;&gt;-999,BK55*$EH55, -999)</f>
        <v>-50500524.272434123</v>
      </c>
      <c r="EL55" s="28">
        <f t="shared" si="25"/>
        <v>-201565562.92023873</v>
      </c>
      <c r="EM55" s="22">
        <f>-17.17-(0.1023*G55)+H55*(100+102.093-66.644-64.243)</f>
        <v>30.682692933118105</v>
      </c>
      <c r="EN55">
        <f>IF(AT55&lt;&gt;-999,AT55*$EM55, -999)</f>
        <v>35868666.720957905</v>
      </c>
      <c r="EO55">
        <f>IF(AU55&lt;&gt;-999,AU55*$EM55, -999)</f>
        <v>28219226.691725809</v>
      </c>
      <c r="EP55" s="23">
        <f>IF(AV55&lt;&gt;-999,AV55*$EM55, -999)</f>
        <v>64087893.412683718</v>
      </c>
      <c r="EQ55">
        <f>-19.943-(0.1023*G55)+H55*(100+102.093-66.644-64.243)</f>
        <v>27.909692933118105</v>
      </c>
      <c r="ER55">
        <f>IF(AW55&lt;&gt;-999,AW55*$EQ55, -999)</f>
        <v>11131467.235832002</v>
      </c>
      <c r="ES55">
        <f>IF(AX55&lt;&gt;-999,AX55*$EQ55, -999)</f>
        <v>8757541.7056586333</v>
      </c>
      <c r="ET55" s="23">
        <f>IF(AY55&lt;&gt;-999,AY55*$EQ55, -999)</f>
        <v>19889013.58757389</v>
      </c>
      <c r="EU55">
        <f>-25.871-(0.1023*G55)+H55*(100+102.093-66.644-64.243)</f>
        <v>21.981692933118104</v>
      </c>
      <c r="EV55">
        <f>IF(AZ55&lt;&gt;-999,AZ55*$EU55, -999)</f>
        <v>21859582.067916516</v>
      </c>
      <c r="EW55">
        <f>IF(BA55&lt;&gt;-999,BA55*$EU55, -999)</f>
        <v>17197752.865464527</v>
      </c>
      <c r="EX55" s="23">
        <f>IF(BB55&lt;&gt;-999,BB55*$EU55, -999)</f>
        <v>39057331.274122745</v>
      </c>
      <c r="EY55">
        <f>-25.245-(0.1023*G55)+H55*(100+102.093-66.644-64.243)</f>
        <v>22.607692933118109</v>
      </c>
      <c r="EZ55">
        <f>IF(BC55&lt;&gt;-999, BC55*$EY55, -999)</f>
        <v>19751772.840664763</v>
      </c>
      <c r="FA55">
        <f>IF(BD55&lt;&gt;-999, BD55*$EY55, -999)</f>
        <v>15539462.866815949</v>
      </c>
      <c r="FB55" s="23">
        <f>IF(BE55&lt;&gt;-999, BE55*$EY55, -999)</f>
        <v>35291235.707480714</v>
      </c>
      <c r="FC55">
        <f>-29.317-(0.1023*G55)+H55*(100+102.093-66.644-64.243)</f>
        <v>18.535692933118106</v>
      </c>
      <c r="FD55">
        <f>IF(BF55&lt;&gt;-999,BF55*$FC55, -999)</f>
        <v>5525024.9334310805</v>
      </c>
      <c r="FE55">
        <f>IF(BG55&lt;&gt;-999,BG55*$FC55, -999)</f>
        <v>4346745.3958319062</v>
      </c>
      <c r="FF55" s="23">
        <f>IF(BH55&lt;&gt;-999,BH55*$FC55, -999)</f>
        <v>9871770.3292629868</v>
      </c>
      <c r="FG55">
        <f>-38.03-(0.1023*G55)+H55*(100+102.093-66.644-64.243)</f>
        <v>9.8226929331181054</v>
      </c>
      <c r="FH55">
        <f>IF(BI55&lt;&gt;-999,BI55*$FG55, -999)</f>
        <v>7300276.5549894096</v>
      </c>
      <c r="FI55">
        <f>IF(BJ55&lt;&gt;-999,BJ55*$FG55, -999)</f>
        <v>5743401.6123558991</v>
      </c>
      <c r="FJ55" s="23">
        <f>IF(BK55&lt;&gt;-999,BK55*$FG55, -999)</f>
        <v>13043679.802513752</v>
      </c>
      <c r="FK55" s="28">
        <f t="shared" si="26"/>
        <v>181240924.11363778</v>
      </c>
      <c r="FL55" s="22">
        <f t="shared" si="28"/>
        <v>10.012280000000011</v>
      </c>
      <c r="FM55">
        <f>IF(AT55&lt;&gt;-999,AT55*$FL55, -999)</f>
        <v>11704550.680076724</v>
      </c>
      <c r="FN55">
        <f>IF(AU55&lt;&gt;-999,AU55*$FL55, -999)</f>
        <v>9208409.4325393364</v>
      </c>
      <c r="FO55" s="29">
        <f>IF(AV55&lt;&gt;-999,AV55*$FL55, -999)</f>
        <v>20912960.112616062</v>
      </c>
      <c r="FP55">
        <f t="shared" si="29"/>
        <v>7.2392800000000115</v>
      </c>
      <c r="FQ55">
        <f>IF(AW55&lt;&gt;-999,AW55*$FP55, -999)</f>
        <v>2887305.4362913445</v>
      </c>
      <c r="FR55">
        <f>IF(AX55&lt;&gt;-999,AX55*$FP55, -999)</f>
        <v>2271551.2016153731</v>
      </c>
      <c r="FS55" s="29">
        <f>IF(AY55&lt;&gt;-999,AY55*$FP55, -999)</f>
        <v>5158857.843018421</v>
      </c>
      <c r="FT55">
        <f t="shared" si="30"/>
        <v>1.3112800000000142</v>
      </c>
      <c r="FU55">
        <f>IF(AZ55&lt;&gt;-999,AZ55*$FT55, -999)</f>
        <v>1303995.6868304722</v>
      </c>
      <c r="FV55">
        <f>IF(BA55&lt;&gt;-999,BA55*$FT55, -999)</f>
        <v>1025902.301794537</v>
      </c>
      <c r="FW55" s="29">
        <f>IF(BB55&lt;&gt;-999,BB55*$FT55, -999)</f>
        <v>2329897.7703382629</v>
      </c>
      <c r="FX55">
        <f t="shared" si="31"/>
        <v>1.9372800000000119</v>
      </c>
      <c r="FY55">
        <f>IF(BC55&lt;&gt;-999, BC55*$FX55, -999)</f>
        <v>1692552.8227035108</v>
      </c>
      <c r="FZ55">
        <f>IF(BD55&lt;&gt;-999, BD55*$FX55, -999)</f>
        <v>1331594.9890015305</v>
      </c>
      <c r="GA55" s="29">
        <f>IF(BE55&lt;&gt;-999, BE55*$FX55, -999)</f>
        <v>3024147.8117050417</v>
      </c>
      <c r="GB55">
        <f t="shared" si="32"/>
        <v>-2.1347199999999873</v>
      </c>
      <c r="GC55">
        <f>IF(BF55&lt;&gt;-999,BF55*$GB55, -999)</f>
        <v>-636306.46388302336</v>
      </c>
      <c r="GD55">
        <f>IF(BG55&lt;&gt;-999,BG55*$GB55, -999)</f>
        <v>-500606.28242341557</v>
      </c>
      <c r="GE55" s="29">
        <f>IF(BH55&lt;&gt;-999,BH55*$GB55, -999)</f>
        <v>-1136912.7463064389</v>
      </c>
      <c r="GF55">
        <f t="shared" si="33"/>
        <v>-10.847719999999988</v>
      </c>
      <c r="GG55">
        <f>IF(BI55&lt;&gt;-999,BI55*$GF55, -999)</f>
        <v>-8062082.0105338683</v>
      </c>
      <c r="GH55">
        <f>IF(BJ55&lt;&gt;-999,BJ55*$GF55, -999)</f>
        <v>-6342742.5618005069</v>
      </c>
      <c r="GI55" s="29">
        <f>IF(BK55&lt;&gt;-999,BK55*$GF55, -999)</f>
        <v>-14404826.378137484</v>
      </c>
      <c r="GJ55" s="30">
        <f t="shared" si="27"/>
        <v>15884124.413233865</v>
      </c>
    </row>
    <row r="56" spans="1:192">
      <c r="A56" s="48" t="s">
        <v>194</v>
      </c>
      <c r="B56" s="48" t="s">
        <v>195</v>
      </c>
      <c r="C56" s="49">
        <v>106</v>
      </c>
      <c r="D56" s="50">
        <v>0.89400000000000002</v>
      </c>
      <c r="E56" s="49">
        <v>227.46044140165401</v>
      </c>
      <c r="F56" s="49">
        <v>0.78036058885144299</v>
      </c>
      <c r="G56" s="49">
        <v>369.01933636067099</v>
      </c>
      <c r="H56" s="49">
        <v>0.79720719405890195</v>
      </c>
      <c r="I56" s="42">
        <v>229225.1</v>
      </c>
      <c r="J56" s="43">
        <v>129052.1</v>
      </c>
      <c r="K56" s="43">
        <f t="shared" si="0"/>
        <v>358277.2</v>
      </c>
      <c r="L56" s="43">
        <v>241677.4</v>
      </c>
      <c r="M56" s="43">
        <v>136062.70000000001</v>
      </c>
      <c r="N56" s="43">
        <f t="shared" si="1"/>
        <v>377740.1</v>
      </c>
      <c r="O56" s="43">
        <v>474059.2</v>
      </c>
      <c r="P56" s="43">
        <v>266892</v>
      </c>
      <c r="Q56" s="43">
        <f t="shared" si="2"/>
        <v>740951.2</v>
      </c>
      <c r="R56" s="43">
        <v>50334.2</v>
      </c>
      <c r="S56" s="43">
        <v>28337.8</v>
      </c>
      <c r="T56" s="43">
        <f t="shared" si="3"/>
        <v>78672</v>
      </c>
      <c r="U56" s="43">
        <v>53068.6</v>
      </c>
      <c r="V56" s="43">
        <v>29877.200000000001</v>
      </c>
      <c r="W56" s="43">
        <f t="shared" si="4"/>
        <v>82945.8</v>
      </c>
      <c r="X56" s="43">
        <v>104096</v>
      </c>
      <c r="Y56" s="43">
        <v>58605.3</v>
      </c>
      <c r="Z56" s="43">
        <f t="shared" si="5"/>
        <v>162701.29999999999</v>
      </c>
      <c r="AA56" s="22">
        <v>2119465</v>
      </c>
      <c r="AB56">
        <v>667850.19999999995</v>
      </c>
      <c r="AC56">
        <v>2787315.2</v>
      </c>
      <c r="AD56">
        <v>2234601.9</v>
      </c>
      <c r="AE56">
        <v>704130.2</v>
      </c>
      <c r="AF56">
        <v>2938732.1</v>
      </c>
      <c r="AG56">
        <v>4383254</v>
      </c>
      <c r="AH56">
        <v>1381177.4</v>
      </c>
      <c r="AI56">
        <v>5764431.4000000004</v>
      </c>
      <c r="AJ56">
        <v>465401.4</v>
      </c>
      <c r="AK56">
        <v>146649.5</v>
      </c>
      <c r="AL56">
        <v>612050.80000000005</v>
      </c>
      <c r="AM56">
        <v>490683.6</v>
      </c>
      <c r="AN56">
        <v>154616</v>
      </c>
      <c r="AO56">
        <v>645299.6</v>
      </c>
      <c r="AP56">
        <v>962494</v>
      </c>
      <c r="AQ56">
        <v>303285</v>
      </c>
      <c r="AR56">
        <v>1265779</v>
      </c>
      <c r="AS56">
        <v>14013608.16</v>
      </c>
      <c r="AT56" s="22">
        <f t="shared" si="37"/>
        <v>3528240.4808058748</v>
      </c>
      <c r="AU56">
        <f t="shared" si="37"/>
        <v>1111759.859565645</v>
      </c>
      <c r="AV56">
        <f t="shared" si="37"/>
        <v>4640000.3403715203</v>
      </c>
      <c r="AW56">
        <f t="shared" si="37"/>
        <v>3719907.0907355021</v>
      </c>
      <c r="AX56">
        <f t="shared" si="37"/>
        <v>1172154.612318645</v>
      </c>
      <c r="AY56">
        <f t="shared" si="37"/>
        <v>4892061.7030541478</v>
      </c>
      <c r="AZ56">
        <f t="shared" si="37"/>
        <v>7296734.8837816501</v>
      </c>
      <c r="BA56">
        <f t="shared" si="37"/>
        <v>2299224.5750008649</v>
      </c>
      <c r="BB56">
        <f t="shared" si="37"/>
        <v>9595959.4587825164</v>
      </c>
      <c r="BC56">
        <f t="shared" si="37"/>
        <v>774746.48522326502</v>
      </c>
      <c r="BD56">
        <f t="shared" si="37"/>
        <v>244125.14591651253</v>
      </c>
      <c r="BE56">
        <f t="shared" si="37"/>
        <v>1018871.4646713302</v>
      </c>
      <c r="BF56">
        <f t="shared" si="37"/>
        <v>816833.37105711002</v>
      </c>
      <c r="BG56">
        <f t="shared" si="37"/>
        <v>257386.85478659999</v>
      </c>
      <c r="BH56">
        <f t="shared" si="37"/>
        <v>1074220.2258437099</v>
      </c>
      <c r="BI56">
        <f t="shared" si="35"/>
        <v>1602248.8190806501</v>
      </c>
      <c r="BJ56">
        <f t="shared" si="35"/>
        <v>504873.83100037498</v>
      </c>
      <c r="BK56">
        <f t="shared" si="35"/>
        <v>2107122.650081025</v>
      </c>
      <c r="BL56">
        <f t="shared" si="35"/>
        <v>23328235.942685317</v>
      </c>
      <c r="BM56" s="22">
        <f>-17.17-(0.1023*E56)+F56*(100-8.576-13.681)</f>
        <v>20.228370103688533</v>
      </c>
      <c r="BN56">
        <f>IF(AT56&lt;&gt;-999,AT56*$BM56, -999)</f>
        <v>71370554.260557219</v>
      </c>
      <c r="BO56">
        <f>IF(AU56&lt;&gt;-999,AU56*$BM56, -999)</f>
        <v>22489089.905718654</v>
      </c>
      <c r="BP56" s="25">
        <f>IF(AV56&lt;&gt;-999,AV56*$BM56, -999)</f>
        <v>93859644.166275874</v>
      </c>
      <c r="BQ56">
        <f>-19.943-(0.1023*E56)+F56*(100-8.576-13.681)</f>
        <v>17.455370103688537</v>
      </c>
      <c r="BR56">
        <f>IF(AW56&lt;&gt;-999,AW56*$BQ56, -999)</f>
        <v>64932355.020123482</v>
      </c>
      <c r="BS56">
        <f>IF(AX56&lt;&gt;-999,AX56*$BQ56, -999)</f>
        <v>20460392.576767504</v>
      </c>
      <c r="BT56" s="25">
        <f>IF(AY56&lt;&gt;-999,AY56*$BQ56, -999)</f>
        <v>85392747.596891001</v>
      </c>
      <c r="BU56">
        <f>-25.871-(0.1023*E56)+F56*(100-8.576-13.681)</f>
        <v>11.52737010368854</v>
      </c>
      <c r="BV56">
        <f>IF(AZ56&lt;&gt;-999,AZ56*$BU56, -999)</f>
        <v>84112163.553845868</v>
      </c>
      <c r="BW56">
        <f>IF(BA56&lt;&gt;-999,BA56*$BU56, -999)</f>
        <v>26504012.627530959</v>
      </c>
      <c r="BX56" s="25">
        <f>IF(BB56&lt;&gt;-999,BB56*$BU56, -999)</f>
        <v>110616176.18137684</v>
      </c>
      <c r="BY56">
        <f>-25.245-(0.1023*E56)+F56*(100-8.576-13.681)</f>
        <v>12.15337010368853</v>
      </c>
      <c r="BZ56">
        <f>IF(BC56&lt;&gt;-999,BC56*$BY56, -999)</f>
        <v>9415780.7714501973</v>
      </c>
      <c r="CA56">
        <f>IF(BD56&lt;&gt;-999,BD56*$BY56, -999)</f>
        <v>2966943.2499403437</v>
      </c>
      <c r="CB56" s="25">
        <f>IF(BE56&lt;&gt;-999,BE56*$BY56, -999)</f>
        <v>12382721.998237889</v>
      </c>
      <c r="CC56">
        <f>-29.317-(0.1023*E56)+F56*(100-8.576-13.681)</f>
        <v>8.0813701036885348</v>
      </c>
      <c r="CD56">
        <f>IF(BF56&lt;&gt;-999,BF56*$CC56, -999)</f>
        <v>6601132.7845560526</v>
      </c>
      <c r="CE56">
        <f>IF(BG56&lt;&gt;-999,BG56*$CC56, -999)</f>
        <v>2080038.4333548513</v>
      </c>
      <c r="CF56" s="25">
        <f>IF(BH56&lt;&gt;-999,BH56*$CC56, -999)</f>
        <v>8681171.2179109026</v>
      </c>
      <c r="CG56">
        <f>-38.03-(0.1023*E56)+F56*(100-8.576-13.681)</f>
        <v>-0.63162989631146615</v>
      </c>
      <c r="CH56">
        <f>IF(BI56&lt;&gt;-999,BI56*$CG56, -999)</f>
        <v>-1012028.2554610801</v>
      </c>
      <c r="CI56">
        <f>IF(BJ56&lt;&gt;-999,BJ56*$CG56, -999)</f>
        <v>-318893.40552513953</v>
      </c>
      <c r="CJ56" s="25">
        <f>IF(BK56&lt;&gt;-999,BK56*$CG56, -999)</f>
        <v>-1330921.6609862195</v>
      </c>
      <c r="CK56" s="26">
        <f t="shared" si="8"/>
        <v>309601539.49970627</v>
      </c>
      <c r="CL56">
        <f t="shared" si="9"/>
        <v>-19.461914703941353</v>
      </c>
      <c r="CM56">
        <f t="shared" si="10"/>
        <v>38.773983737428239</v>
      </c>
      <c r="CN56">
        <f t="shared" si="11"/>
        <v>-76.691867930733409</v>
      </c>
      <c r="CO56" s="22">
        <f t="shared" si="12"/>
        <v>-40.08</v>
      </c>
      <c r="CP56">
        <f>IF(AT56&lt;&gt;-999,AT56*$CO56, -999)</f>
        <v>-141411878.47069946</v>
      </c>
      <c r="CQ56">
        <f>IF(AU56&lt;&gt;-999,AU56*$CO56, -999)</f>
        <v>-44559335.171391048</v>
      </c>
      <c r="CR56" s="27">
        <f>IF(AV56&lt;&gt;-999,AV56*$CO56, -999)</f>
        <v>-185971213.64209053</v>
      </c>
      <c r="CS56">
        <f t="shared" si="13"/>
        <v>-42.853000000000002</v>
      </c>
      <c r="CT56">
        <f>IF(AW56&lt;&gt;-999,AW56*$CS56, -999)</f>
        <v>-159409178.55928847</v>
      </c>
      <c r="CU56">
        <f>IF(AX56&lt;&gt;-999,AX56*$CS56, -999)</f>
        <v>-50230341.601690896</v>
      </c>
      <c r="CV56" s="27">
        <f>IF(AY56&lt;&gt;-999,AY56*$CS56, -999)</f>
        <v>-209639520.16097939</v>
      </c>
      <c r="CW56">
        <f t="shared" si="14"/>
        <v>-48.780999999999999</v>
      </c>
      <c r="CX56">
        <f>IF(AZ56&lt;&gt;-999,AZ56*$CO56, -999)</f>
        <v>-292453134.14196855</v>
      </c>
      <c r="CY56">
        <f>IF(BA56&lt;&gt;-999,BA56*$CO56, -999)</f>
        <v>-92152920.966034666</v>
      </c>
      <c r="CZ56" s="27">
        <f>IF(BB56&lt;&gt;-999,BB56*$CO56, -999)</f>
        <v>-384606055.10800326</v>
      </c>
      <c r="DA56">
        <f t="shared" si="15"/>
        <v>-48.155000000000001</v>
      </c>
      <c r="DB56">
        <f>IF(BC56&lt;&gt;-999,BC56*$DA56, -999)</f>
        <v>-37307916.995926328</v>
      </c>
      <c r="DC56">
        <f>IF(BD56&lt;&gt;-999,BD56*$DA56, -999)</f>
        <v>-11755846.401609661</v>
      </c>
      <c r="DD56" s="27">
        <f>IF(BE56&lt;&gt;-999,BE56*$DA56, -999)</f>
        <v>-49063755.381247908</v>
      </c>
      <c r="DE56">
        <f t="shared" si="16"/>
        <v>-52.227000000000004</v>
      </c>
      <c r="DF56">
        <f>IF(BF56&lt;&gt;-999,BF56*$DE56, -999)</f>
        <v>-42660756.470199689</v>
      </c>
      <c r="DG56">
        <f>IF(BG56&lt;&gt;-999,BG56*$DE56, -999)</f>
        <v>-13442543.264939759</v>
      </c>
      <c r="DH56" s="27">
        <f>IF(BH56&lt;&gt;-999,BH56*$DE56, -999)</f>
        <v>-56103299.735139444</v>
      </c>
      <c r="DI56">
        <f t="shared" si="17"/>
        <v>-60.94</v>
      </c>
      <c r="DJ56">
        <f>IF(BI56&lt;&gt;-999,BI56*$DI56, -999)</f>
        <v>-97641043.03477481</v>
      </c>
      <c r="DK56">
        <f>IF(BJ56&lt;&gt;-999,BJ56*$DI56, -999)</f>
        <v>-30767011.261162851</v>
      </c>
      <c r="DL56" s="27">
        <f>IF(BK56&lt;&gt;-999,BK56*$DI56, -999)</f>
        <v>-128408054.29593766</v>
      </c>
      <c r="DM56" s="28">
        <f t="shared" si="18"/>
        <v>-1013791898.3233982</v>
      </c>
      <c r="DN56" s="22">
        <f t="shared" si="19"/>
        <v>-17.170000000000002</v>
      </c>
      <c r="DO56">
        <f>IF(AT56&lt;&gt;-999,AT56*$DN56, -999)</f>
        <v>-60579889.055436879</v>
      </c>
      <c r="DP56">
        <f>IF(AU56&lt;&gt;-999,AU56*$DN56, -999)</f>
        <v>-19088916.788742125</v>
      </c>
      <c r="DQ56" s="24">
        <f>IF(AV56&lt;&gt;-999,AV56*$DN56, -999)</f>
        <v>-79668805.844179004</v>
      </c>
      <c r="DR56">
        <f t="shared" si="20"/>
        <v>-19.943000000000001</v>
      </c>
      <c r="DS56">
        <f>IF(AW56&lt;&gt;-999,AW56*$DR56, -999)</f>
        <v>-74186107.110538125</v>
      </c>
      <c r="DT56">
        <f>IF(AX56&lt;&gt;-999,AX56*$DR56, -999)</f>
        <v>-23376279.433470737</v>
      </c>
      <c r="DU56" s="24">
        <f>IF(AY56&lt;&gt;-999,AY56*$DR56, -999)</f>
        <v>-97562386.544008881</v>
      </c>
      <c r="DV56">
        <f t="shared" si="21"/>
        <v>-25.870999999999999</v>
      </c>
      <c r="DW56">
        <f>IF(AZ56&lt;&gt;-999,AZ56*$DV56, -999)</f>
        <v>-188773828.17831507</v>
      </c>
      <c r="DX56">
        <f>IF(BA56&lt;&gt;-999,BA56*$DV56, -999)</f>
        <v>-59483238.979847372</v>
      </c>
      <c r="DY56" s="24">
        <f>IF(BB56&lt;&gt;-999,BB56*$DV56, -999)</f>
        <v>-248257067.15816247</v>
      </c>
      <c r="DZ56">
        <f t="shared" si="22"/>
        <v>-25.245000000000001</v>
      </c>
      <c r="EA56">
        <f>IF(BC56&lt;&gt;-999, BC56*$DZ56, -999)</f>
        <v>-19558475.019461326</v>
      </c>
      <c r="EB56">
        <f>IF(BD56&lt;&gt;-999, BD56*$DZ56, -999)</f>
        <v>-6162939.3086623587</v>
      </c>
      <c r="EC56" s="24">
        <f>IF(BE56&lt;&gt;-999, BE56*$DZ56, -999)</f>
        <v>-25721410.12562773</v>
      </c>
      <c r="ED56">
        <f t="shared" si="23"/>
        <v>-29.317</v>
      </c>
      <c r="EE56">
        <f>IF(BF56&lt;&gt;-999,BF56*$ED56, -999)</f>
        <v>-23947103.939281296</v>
      </c>
      <c r="EF56">
        <f>IF(BG56&lt;&gt;-999,BG56*$ED56, -999)</f>
        <v>-7545810.4217787515</v>
      </c>
      <c r="EG56" s="24">
        <f>IF(BH56&lt;&gt;-999,BH56*$ED56, -999)</f>
        <v>-31492914.361060042</v>
      </c>
      <c r="EH56">
        <f t="shared" si="24"/>
        <v>-38.03</v>
      </c>
      <c r="EI56">
        <f>IF(BI56&lt;&gt;-999,BI56*$EH56, -999)</f>
        <v>-60933522.589637123</v>
      </c>
      <c r="EJ56">
        <f>IF(BJ56&lt;&gt;-999,BJ56*$EH56, -999)</f>
        <v>-19200351.79294426</v>
      </c>
      <c r="EK56" s="24">
        <f>IF(BK56&lt;&gt;-999,BK56*$EH56, -999)</f>
        <v>-80133874.382581383</v>
      </c>
      <c r="EL56" s="28">
        <f t="shared" si="25"/>
        <v>-562836458.41561949</v>
      </c>
      <c r="EM56" s="22">
        <f>-17.17-(0.1023*G56)+H56*(100+102.093-66.644-64.243)</f>
        <v>1.8452573504615373</v>
      </c>
      <c r="EN56">
        <f>IF(AT56&lt;&gt;-999,AT56*$EM56, -999)</f>
        <v>6510511.6814029887</v>
      </c>
      <c r="EO56">
        <f>IF(AU56&lt;&gt;-999,AU56*$EM56, -999)</f>
        <v>2051483.0528115928</v>
      </c>
      <c r="EP56" s="23">
        <f>IF(AV56&lt;&gt;-999,AV56*$EM56, -999)</f>
        <v>8561994.7342145834</v>
      </c>
      <c r="EQ56">
        <f>-19.943-(0.1023*G56)+H56*(100+102.093-66.644-64.243)</f>
        <v>-0.92774264953846597</v>
      </c>
      <c r="ER56">
        <f>IF(AW56&lt;&gt;-999,AW56*$EQ56, -999)</f>
        <v>-3451116.4603958814</v>
      </c>
      <c r="ES56">
        <f>IF(AX56&lt;&gt;-999,AX56*$EQ56, -999)</f>
        <v>-1087457.825701233</v>
      </c>
      <c r="ET56" s="23">
        <f>IF(AY56&lt;&gt;-999,AY56*$EQ56, -999)</f>
        <v>-4538574.2860971149</v>
      </c>
      <c r="EU56">
        <f>-25.871-(0.1023*G56)+H56*(100+102.093-66.644-64.243)</f>
        <v>-6.8557426495384632</v>
      </c>
      <c r="EV56">
        <f>IF(AZ56&lt;&gt;-999,AZ56*$EU56, -999)</f>
        <v>-50024536.545116939</v>
      </c>
      <c r="EW56">
        <f>IF(BA56&lt;&gt;-999,BA56*$EU56, -999)</f>
        <v>-15762891.979700377</v>
      </c>
      <c r="EX56" s="23">
        <f>IF(BB56&lt;&gt;-999,BB56*$EU56, -999)</f>
        <v>-65787428.524817325</v>
      </c>
      <c r="EY56">
        <f>-25.245-(0.1023*G56)+H56*(100+102.093-66.644-64.243)</f>
        <v>-6.2297426495384585</v>
      </c>
      <c r="EZ56">
        <f>IF(BC56&lt;&gt;-999, BC56*$EY56, -999)</f>
        <v>-4826471.2215753915</v>
      </c>
      <c r="FA56">
        <f>IF(BD56&lt;&gt;-999, BD56*$EY56, -999)</f>
        <v>-1520836.8333408975</v>
      </c>
      <c r="FB56" s="23">
        <f>IF(BE56&lt;&gt;-999, BE56*$EY56, -999)</f>
        <v>-6347307.0178607022</v>
      </c>
      <c r="FC56">
        <f>-29.317-(0.1023*G56)+H56*(100+102.093-66.644-64.243)</f>
        <v>-10.301742649538461</v>
      </c>
      <c r="FD56">
        <f>IF(BF56&lt;&gt;-999,BF56*$FC56, -999)</f>
        <v>-8414807.1761853062</v>
      </c>
      <c r="FE56">
        <f>IF(BG56&lt;&gt;-999,BG56*$FC56, -999)</f>
        <v>-2651533.1393856797</v>
      </c>
      <c r="FF56" s="23">
        <f>IF(BH56&lt;&gt;-999,BH56*$FC56, -999)</f>
        <v>-11066340.315570984</v>
      </c>
      <c r="FG56">
        <f>-38.03-(0.1023*G56)+H56*(100+102.093-66.644-64.243)</f>
        <v>-19.014742649538469</v>
      </c>
      <c r="FH56">
        <f>IF(BI56&lt;&gt;-999,BI56*$FG56, -999)</f>
        <v>-30466348.955345485</v>
      </c>
      <c r="FI56">
        <f>IF(BJ56&lt;&gt;-999,BJ56*$FG56, -999)</f>
        <v>-9600045.9669587072</v>
      </c>
      <c r="FJ56" s="23">
        <f>IF(BK56&lt;&gt;-999,BK56*$FG56, -999)</f>
        <v>-40066394.922304191</v>
      </c>
      <c r="FK56" s="28">
        <f t="shared" si="26"/>
        <v>-119244050.33243573</v>
      </c>
      <c r="FL56" s="22">
        <f t="shared" si="28"/>
        <v>10.012280000000011</v>
      </c>
      <c r="FM56">
        <f>IF(AT56&lt;&gt;-999,AT56*$FL56, -999)</f>
        <v>35325731.601163082</v>
      </c>
      <c r="FN56">
        <f>IF(AU56&lt;&gt;-999,AU56*$FL56, -999)</f>
        <v>11131251.006731929</v>
      </c>
      <c r="FO56" s="29">
        <f>IF(AV56&lt;&gt;-999,AV56*$FL56, -999)</f>
        <v>46456982.607895017</v>
      </c>
      <c r="FP56">
        <f t="shared" si="29"/>
        <v>7.2392800000000115</v>
      </c>
      <c r="FQ56">
        <f>IF(AW56&lt;&gt;-999,AW56*$FP56, -999)</f>
        <v>26929449.003819749</v>
      </c>
      <c r="FR56">
        <f>IF(AX56&lt;&gt;-999,AX56*$FP56, -999)</f>
        <v>8485555.4418661334</v>
      </c>
      <c r="FS56" s="29">
        <f>IF(AY56&lt;&gt;-999,AY56*$FP56, -999)</f>
        <v>35415004.445685886</v>
      </c>
      <c r="FT56">
        <f t="shared" si="30"/>
        <v>1.3112800000000142</v>
      </c>
      <c r="FU56">
        <f>IF(AZ56&lt;&gt;-999,AZ56*$FT56, -999)</f>
        <v>9568062.5184053052</v>
      </c>
      <c r="FV56">
        <f>IF(BA56&lt;&gt;-999,BA56*$FT56, -999)</f>
        <v>3014927.2007071669</v>
      </c>
      <c r="FW56" s="29">
        <f>IF(BB56&lt;&gt;-999,BB56*$FT56, -999)</f>
        <v>12582989.719112474</v>
      </c>
      <c r="FX56">
        <f t="shared" si="31"/>
        <v>1.9372800000000119</v>
      </c>
      <c r="FY56">
        <f>IF(BC56&lt;&gt;-999, BC56*$FX56, -999)</f>
        <v>1500900.8708933361</v>
      </c>
      <c r="FZ56">
        <f>IF(BD56&lt;&gt;-999, BD56*$FX56, -999)</f>
        <v>472938.76268114429</v>
      </c>
      <c r="GA56" s="29">
        <f>IF(BE56&lt;&gt;-999, BE56*$FX56, -999)</f>
        <v>1973839.3110784867</v>
      </c>
      <c r="GB56">
        <f t="shared" si="32"/>
        <v>-2.1347199999999873</v>
      </c>
      <c r="GC56">
        <f>IF(BF56&lt;&gt;-999,BF56*$GB56, -999)</f>
        <v>-1743710.5338630236</v>
      </c>
      <c r="GD56">
        <f>IF(BG56&lt;&gt;-999,BG56*$GB56, -999)</f>
        <v>-549448.86665004748</v>
      </c>
      <c r="GE56" s="29">
        <f>IF(BH56&lt;&gt;-999,BH56*$GB56, -999)</f>
        <v>-2293159.4005130706</v>
      </c>
      <c r="GF56">
        <f t="shared" si="33"/>
        <v>-10.847719999999988</v>
      </c>
      <c r="GG56">
        <f>IF(BI56&lt;&gt;-999,BI56*$GF56, -999)</f>
        <v>-17380746.559717532</v>
      </c>
      <c r="GH56">
        <f>IF(BJ56&lt;&gt;-999,BJ56*$GF56, -999)</f>
        <v>-5476729.9540193817</v>
      </c>
      <c r="GI56" s="29">
        <f>IF(BK56&lt;&gt;-999,BK56*$GF56, -999)</f>
        <v>-22857476.513736911</v>
      </c>
      <c r="GJ56" s="30">
        <f t="shared" si="27"/>
        <v>71278180.169521898</v>
      </c>
    </row>
    <row r="57" spans="1:192">
      <c r="A57" s="48" t="s">
        <v>160</v>
      </c>
      <c r="B57" s="48" t="s">
        <v>196</v>
      </c>
      <c r="C57" s="49">
        <v>131</v>
      </c>
      <c r="D57" s="50">
        <v>0.89200000000000002</v>
      </c>
      <c r="E57" s="49">
        <v>89.142590523307902</v>
      </c>
      <c r="F57" s="49">
        <v>0.78968869534568198</v>
      </c>
      <c r="G57" s="49">
        <v>99.693187486817294</v>
      </c>
      <c r="H57" s="49">
        <v>0.81636896062132702</v>
      </c>
      <c r="I57" s="42">
        <v>22490.799999999999</v>
      </c>
      <c r="J57" s="43">
        <v>7458.2</v>
      </c>
      <c r="K57" s="43">
        <f t="shared" si="0"/>
        <v>29949</v>
      </c>
      <c r="L57" s="43">
        <v>21666.6</v>
      </c>
      <c r="M57" s="43">
        <v>7184.9</v>
      </c>
      <c r="N57" s="43">
        <f t="shared" si="1"/>
        <v>28851.5</v>
      </c>
      <c r="O57" s="43">
        <v>27651.5</v>
      </c>
      <c r="P57" s="43">
        <v>9169.6</v>
      </c>
      <c r="Q57" s="43">
        <f t="shared" si="2"/>
        <v>36821.1</v>
      </c>
      <c r="R57" s="43">
        <v>14350.9</v>
      </c>
      <c r="S57" s="43">
        <v>4758.8999999999996</v>
      </c>
      <c r="T57" s="43">
        <f t="shared" si="3"/>
        <v>19109.8</v>
      </c>
      <c r="U57" s="43">
        <v>13824.9</v>
      </c>
      <c r="V57" s="43">
        <v>4584.5</v>
      </c>
      <c r="W57" s="43">
        <f t="shared" si="4"/>
        <v>18409.400000000001</v>
      </c>
      <c r="X57" s="43">
        <v>17643.7</v>
      </c>
      <c r="Y57" s="43">
        <v>5850.9</v>
      </c>
      <c r="Z57" s="43">
        <f t="shared" si="5"/>
        <v>23494.6</v>
      </c>
      <c r="AA57" s="22">
        <v>932944.2</v>
      </c>
      <c r="AB57">
        <v>161954.79999999999</v>
      </c>
      <c r="AC57">
        <v>1094899</v>
      </c>
      <c r="AD57">
        <v>898755</v>
      </c>
      <c r="AE57">
        <v>156019.79999999999</v>
      </c>
      <c r="AF57">
        <v>1054774.7</v>
      </c>
      <c r="AG57">
        <v>1147014.1000000001</v>
      </c>
      <c r="AH57">
        <v>199116.4</v>
      </c>
      <c r="AI57">
        <v>1346130.5</v>
      </c>
      <c r="AJ57">
        <v>595288.69999999995</v>
      </c>
      <c r="AK57">
        <v>103339.4</v>
      </c>
      <c r="AL57">
        <v>698628</v>
      </c>
      <c r="AM57">
        <v>573473.4</v>
      </c>
      <c r="AN57">
        <v>99552.3</v>
      </c>
      <c r="AO57">
        <v>673025.7</v>
      </c>
      <c r="AP57">
        <v>731881.4</v>
      </c>
      <c r="AQ57">
        <v>127051.3</v>
      </c>
      <c r="AR57">
        <v>858932.6</v>
      </c>
      <c r="AS57">
        <v>5726390.6699999999</v>
      </c>
      <c r="AT57" s="22">
        <f t="shared" si="37"/>
        <v>1553057.725781295</v>
      </c>
      <c r="AU57">
        <f t="shared" si="37"/>
        <v>269603.64121172996</v>
      </c>
      <c r="AV57">
        <f t="shared" si="37"/>
        <v>1822661.3669930252</v>
      </c>
      <c r="AW57">
        <f t="shared" si="37"/>
        <v>1496143.495328625</v>
      </c>
      <c r="AX57">
        <f t="shared" si="37"/>
        <v>259723.73885260499</v>
      </c>
      <c r="AY57">
        <f t="shared" si="37"/>
        <v>1755867.0677127824</v>
      </c>
      <c r="AZ57">
        <f t="shared" si="37"/>
        <v>1909416.5648760977</v>
      </c>
      <c r="BA57">
        <f t="shared" si="37"/>
        <v>331465.97979789</v>
      </c>
      <c r="BB57">
        <f t="shared" si="37"/>
        <v>2240882.5446739872</v>
      </c>
      <c r="BC57">
        <f t="shared" si="37"/>
        <v>990967.85703293234</v>
      </c>
      <c r="BD57">
        <f t="shared" si="37"/>
        <v>172027.49483581501</v>
      </c>
      <c r="BE57">
        <f t="shared" si="37"/>
        <v>1162995.1854003</v>
      </c>
      <c r="BF57">
        <f t="shared" si="37"/>
        <v>954652.26580546505</v>
      </c>
      <c r="BG57">
        <f t="shared" si="37"/>
        <v>165723.1682605425</v>
      </c>
      <c r="BH57">
        <f t="shared" si="37"/>
        <v>1120375.4340660074</v>
      </c>
      <c r="BI57">
        <f t="shared" si="35"/>
        <v>1218351.604121265</v>
      </c>
      <c r="BJ57">
        <f t="shared" si="35"/>
        <v>211500.32663856749</v>
      </c>
      <c r="BK57">
        <f t="shared" si="35"/>
        <v>1429851.764291385</v>
      </c>
      <c r="BL57">
        <f t="shared" si="35"/>
        <v>9532633.6461338475</v>
      </c>
      <c r="BM57" s="22">
        <f>-17.17-(0.1023*E57)+F57*(100-8.576-13.681)</f>
        <v>35.103481231724963</v>
      </c>
      <c r="BN57">
        <f>IF(AT57&lt;&gt;-999,AT57*$BM57, -999)</f>
        <v>54517732.728749141</v>
      </c>
      <c r="BO57">
        <f>IF(AU57&lt;&gt;-999,AU57*$BM57, -999)</f>
        <v>9464026.3592806738</v>
      </c>
      <c r="BP57" s="25">
        <f>IF(AV57&lt;&gt;-999,AV57*$BM57, -999)</f>
        <v>63981759.088029824</v>
      </c>
      <c r="BQ57">
        <f>-19.943-(0.1023*E57)+F57*(100-8.576-13.681)</f>
        <v>32.330481231724967</v>
      </c>
      <c r="BR57">
        <f>IF(AW57&lt;&gt;-999,AW57*$BQ57, -999)</f>
        <v>48371039.195689499</v>
      </c>
      <c r="BS57">
        <f>IF(AX57&lt;&gt;-999,AX57*$BQ57, -999)</f>
        <v>8396993.4644075818</v>
      </c>
      <c r="BT57" s="25">
        <f>IF(AY57&lt;&gt;-999,AY57*$BQ57, -999)</f>
        <v>56768027.278092064</v>
      </c>
      <c r="BU57">
        <f>-25.871-(0.1023*E57)+F57*(100-8.576-13.681)</f>
        <v>26.40248123172497</v>
      </c>
      <c r="BV57">
        <f>IF(AZ57&lt;&gt;-999,AZ57*$BU57, -999)</f>
        <v>50413335.017685935</v>
      </c>
      <c r="BW57">
        <f>IF(BA57&lt;&gt;-999,BA57*$BU57, -999)</f>
        <v>8751524.3105691187</v>
      </c>
      <c r="BX57" s="25">
        <f>IF(BB57&lt;&gt;-999,BB57*$BU57, -999)</f>
        <v>59164859.328255035</v>
      </c>
      <c r="BY57">
        <f>-25.245-(0.1023*E57)+F57*(100-8.576-13.681)</f>
        <v>27.028481231724967</v>
      </c>
      <c r="BZ57">
        <f>IF(BC57&lt;&gt;-999,BC57*$BY57, -999)</f>
        <v>26784356.125057321</v>
      </c>
      <c r="CA57">
        <f>IF(BD57&lt;&gt;-999,BD57*$BY57, -999)</f>
        <v>4649641.9155104896</v>
      </c>
      <c r="CB57" s="25">
        <f>IF(BE57&lt;&gt;-999,BE57*$BY57, -999)</f>
        <v>31433993.541178506</v>
      </c>
      <c r="CC57">
        <f>-29.317-(0.1023*E57)+F57*(100-8.576-13.681)</f>
        <v>22.956481231724965</v>
      </c>
      <c r="CD57">
        <f>IF(BF57&lt;&gt;-999,BF57*$CC57, -999)</f>
        <v>21915456.822786871</v>
      </c>
      <c r="CE57">
        <f>IF(BG57&lt;&gt;-999,BG57*$CC57, -999)</f>
        <v>3804420.8018351421</v>
      </c>
      <c r="CF57" s="25">
        <f>IF(BH57&lt;&gt;-999,BH57*$CC57, -999)</f>
        <v>25719877.62462201</v>
      </c>
      <c r="CG57">
        <f>-38.03-(0.1023*E57)+F57*(100-8.576-13.681)</f>
        <v>14.243481231724964</v>
      </c>
      <c r="CH57">
        <f>IF(BI57&lt;&gt;-999,BI57*$CG57, -999)</f>
        <v>17353568.20694324</v>
      </c>
      <c r="CI57">
        <f>IF(BJ57&lt;&gt;-999,BJ57*$CG57, -999)</f>
        <v>3012500.9329801355</v>
      </c>
      <c r="CJ57" s="25">
        <f>IF(BK57&lt;&gt;-999,BK57*$CG57, -999)</f>
        <v>20366066.768833168</v>
      </c>
      <c r="CK57" s="26">
        <f t="shared" si="8"/>
        <v>257434583.62901059</v>
      </c>
      <c r="CL57">
        <f t="shared" si="9"/>
        <v>-36.887461943982153</v>
      </c>
      <c r="CM57">
        <f t="shared" si="10"/>
        <v>20.660531674068434</v>
      </c>
      <c r="CN57">
        <f t="shared" si="11"/>
        <v>-93.441392959102402</v>
      </c>
      <c r="CO57" s="22">
        <f t="shared" si="12"/>
        <v>-40.08</v>
      </c>
      <c r="CP57">
        <f>IF(AT57&lt;&gt;-999,AT57*$CO57, -999)</f>
        <v>-62246553.649314299</v>
      </c>
      <c r="CQ57">
        <f>IF(AU57&lt;&gt;-999,AU57*$CO57, -999)</f>
        <v>-10805713.939766137</v>
      </c>
      <c r="CR57" s="27">
        <f>IF(AV57&lt;&gt;-999,AV57*$CO57, -999)</f>
        <v>-73052267.589080453</v>
      </c>
      <c r="CS57">
        <f t="shared" si="13"/>
        <v>-42.853000000000002</v>
      </c>
      <c r="CT57">
        <f>IF(AW57&lt;&gt;-999,AW57*$CS57, -999)</f>
        <v>-64114237.205317564</v>
      </c>
      <c r="CU57">
        <f>IF(AX57&lt;&gt;-999,AX57*$CS57, -999)</f>
        <v>-11129941.381050682</v>
      </c>
      <c r="CV57" s="27">
        <f>IF(AY57&lt;&gt;-999,AY57*$CS57, -999)</f>
        <v>-75244171.452695861</v>
      </c>
      <c r="CW57">
        <f t="shared" si="14"/>
        <v>-48.780999999999999</v>
      </c>
      <c r="CX57">
        <f>IF(AZ57&lt;&gt;-999,AZ57*$CO57, -999)</f>
        <v>-76529415.920233995</v>
      </c>
      <c r="CY57">
        <f>IF(BA57&lt;&gt;-999,BA57*$CO57, -999)</f>
        <v>-13285156.47029943</v>
      </c>
      <c r="CZ57" s="27">
        <f>IF(BB57&lt;&gt;-999,BB57*$CO57, -999)</f>
        <v>-89814572.390533403</v>
      </c>
      <c r="DA57">
        <f t="shared" si="15"/>
        <v>-48.155000000000001</v>
      </c>
      <c r="DB57">
        <f>IF(BC57&lt;&gt;-999,BC57*$DA57, -999)</f>
        <v>-47720057.155420855</v>
      </c>
      <c r="DC57">
        <f>IF(BD57&lt;&gt;-999,BD57*$DA57, -999)</f>
        <v>-8283984.0138186719</v>
      </c>
      <c r="DD57" s="27">
        <f>IF(BE57&lt;&gt;-999,BE57*$DA57, -999)</f>
        <v>-56004033.152951449</v>
      </c>
      <c r="DE57">
        <f t="shared" si="16"/>
        <v>-52.227000000000004</v>
      </c>
      <c r="DF57">
        <f>IF(BF57&lt;&gt;-999,BF57*$DE57, -999)</f>
        <v>-49858623.886222027</v>
      </c>
      <c r="DG57">
        <f>IF(BG57&lt;&gt;-999,BG57*$DE57, -999)</f>
        <v>-8655223.9087433536</v>
      </c>
      <c r="DH57" s="27">
        <f>IF(BH57&lt;&gt;-999,BH57*$DE57, -999)</f>
        <v>-58513847.794965371</v>
      </c>
      <c r="DI57">
        <f t="shared" si="17"/>
        <v>-60.94</v>
      </c>
      <c r="DJ57">
        <f>IF(BI57&lt;&gt;-999,BI57*$DI57, -999)</f>
        <v>-74246346.755149886</v>
      </c>
      <c r="DK57">
        <f>IF(BJ57&lt;&gt;-999,BJ57*$DI57, -999)</f>
        <v>-12888829.905354302</v>
      </c>
      <c r="DL57" s="27">
        <f>IF(BK57&lt;&gt;-999,BK57*$DI57, -999)</f>
        <v>-87135166.515917003</v>
      </c>
      <c r="DM57" s="28">
        <f t="shared" si="18"/>
        <v>-439764058.8961435</v>
      </c>
      <c r="DN57" s="22">
        <f t="shared" si="19"/>
        <v>-17.170000000000002</v>
      </c>
      <c r="DO57">
        <f>IF(AT57&lt;&gt;-999,AT57*$DN57, -999)</f>
        <v>-26666001.151664838</v>
      </c>
      <c r="DP57">
        <f>IF(AU57&lt;&gt;-999,AU57*$DN57, -999)</f>
        <v>-4629094.5196054038</v>
      </c>
      <c r="DQ57" s="24">
        <f>IF(AV57&lt;&gt;-999,AV57*$DN57, -999)</f>
        <v>-31295095.671270244</v>
      </c>
      <c r="DR57">
        <f t="shared" si="20"/>
        <v>-19.943000000000001</v>
      </c>
      <c r="DS57">
        <f>IF(AW57&lt;&gt;-999,AW57*$DR57, -999)</f>
        <v>-29837589.727338769</v>
      </c>
      <c r="DT57">
        <f>IF(AX57&lt;&gt;-999,AX57*$DR57, -999)</f>
        <v>-5179670.5239375019</v>
      </c>
      <c r="DU57" s="24">
        <f>IF(AY57&lt;&gt;-999,AY57*$DR57, -999)</f>
        <v>-35017256.931396022</v>
      </c>
      <c r="DV57">
        <f t="shared" si="21"/>
        <v>-25.870999999999999</v>
      </c>
      <c r="DW57">
        <f>IF(AZ57&lt;&gt;-999,AZ57*$DV57, -999)</f>
        <v>-49398515.949909523</v>
      </c>
      <c r="DX57">
        <f>IF(BA57&lt;&gt;-999,BA57*$DV57, -999)</f>
        <v>-8575356.363351211</v>
      </c>
      <c r="DY57" s="24">
        <f>IF(BB57&lt;&gt;-999,BB57*$DV57, -999)</f>
        <v>-57973872.313260719</v>
      </c>
      <c r="DZ57">
        <f t="shared" si="22"/>
        <v>-25.245000000000001</v>
      </c>
      <c r="EA57">
        <f>IF(BC57&lt;&gt;-999, BC57*$DZ57, -999)</f>
        <v>-25016983.550796378</v>
      </c>
      <c r="EB57">
        <f>IF(BD57&lt;&gt;-999, BD57*$DZ57, -999)</f>
        <v>-4342834.1071301503</v>
      </c>
      <c r="EC57" s="24">
        <f>IF(BE57&lt;&gt;-999, BE57*$DZ57, -999)</f>
        <v>-29359813.455430575</v>
      </c>
      <c r="ED57">
        <f t="shared" si="23"/>
        <v>-29.317</v>
      </c>
      <c r="EE57">
        <f>IF(BF57&lt;&gt;-999,BF57*$ED57, -999)</f>
        <v>-27987540.476618819</v>
      </c>
      <c r="EF57">
        <f>IF(BG57&lt;&gt;-999,BG57*$ED57, -999)</f>
        <v>-4858506.1238943245</v>
      </c>
      <c r="EG57" s="24">
        <f>IF(BH57&lt;&gt;-999,BH57*$ED57, -999)</f>
        <v>-32846046.600513138</v>
      </c>
      <c r="EH57">
        <f t="shared" si="24"/>
        <v>-38.03</v>
      </c>
      <c r="EI57">
        <f>IF(BI57&lt;&gt;-999,BI57*$EH57, -999)</f>
        <v>-46333911.504731707</v>
      </c>
      <c r="EJ57">
        <f>IF(BJ57&lt;&gt;-999,BJ57*$EH57, -999)</f>
        <v>-8043357.4220647216</v>
      </c>
      <c r="EK57" s="24">
        <f>IF(BK57&lt;&gt;-999,BK57*$EH57, -999)</f>
        <v>-54377262.596001372</v>
      </c>
      <c r="EL57" s="28">
        <f t="shared" si="25"/>
        <v>-240869347.56787205</v>
      </c>
      <c r="EM57" s="22">
        <f>-17.17-(0.1023*G57)+H57*(100+102.093-66.644-64.243)</f>
        <v>30.761755130100813</v>
      </c>
      <c r="EN57">
        <f>IF(AT57&lt;&gt;-999,AT57*$EM57, -999)</f>
        <v>47774781.463395454</v>
      </c>
      <c r="EO57">
        <f>IF(AU57&lt;&gt;-999,AU57*$EM57, -999)</f>
        <v>8293481.1931387931</v>
      </c>
      <c r="EP57" s="23">
        <f>IF(AV57&lt;&gt;-999,AV57*$EM57, -999)</f>
        <v>56068262.656534255</v>
      </c>
      <c r="EQ57">
        <f>-19.943-(0.1023*G57)+H57*(100+102.093-66.644-64.243)</f>
        <v>27.988755130100813</v>
      </c>
      <c r="ER57">
        <f>IF(AW57&lt;&gt;-999,AW57*$EQ57, -999)</f>
        <v>41875193.93024601</v>
      </c>
      <c r="ES57">
        <f>IF(AX57&lt;&gt;-999,AX57*$EQ57, -999)</f>
        <v>7269344.1282198122</v>
      </c>
      <c r="ET57" s="23">
        <f>IF(AY57&lt;&gt;-999,AY57*$EQ57, -999)</f>
        <v>49144533.399221212</v>
      </c>
      <c r="EU57">
        <f>-25.871-(0.1023*G57)+H57*(100+102.093-66.644-64.243)</f>
        <v>22.060755130100816</v>
      </c>
      <c r="EV57">
        <f>IF(AZ57&lt;&gt;-999,AZ57*$EU57, -999)</f>
        <v>42123171.279089853</v>
      </c>
      <c r="EW57">
        <f>IF(BA57&lt;&gt;-999,BA57*$EU57, -999)</f>
        <v>7312389.8142801952</v>
      </c>
      <c r="EX57" s="23">
        <f>IF(BB57&lt;&gt;-999,BB57*$EU57, -999)</f>
        <v>49435561.093370035</v>
      </c>
      <c r="EY57">
        <f>-25.245-(0.1023*G57)+H57*(100+102.093-66.644-64.243)</f>
        <v>22.686755130100813</v>
      </c>
      <c r="EZ57">
        <f>IF(BC57&lt;&gt;-999, BC57*$EY57, -999)</f>
        <v>22481845.114306886</v>
      </c>
      <c r="FA57">
        <f>IF(BD57&lt;&gt;-999, BD57*$EY57, -999)</f>
        <v>3902745.6509848177</v>
      </c>
      <c r="FB57" s="23">
        <f>IF(BE57&lt;&gt;-999, BE57*$EY57, -999)</f>
        <v>26384586.988662802</v>
      </c>
      <c r="FC57">
        <f>-29.317-(0.1023*G57)+H57*(100+102.093-66.644-64.243)</f>
        <v>18.614755130100811</v>
      </c>
      <c r="FD57">
        <f>IF(BF57&lt;&gt;-999,BF57*$FC57, -999)</f>
        <v>17770618.162364643</v>
      </c>
      <c r="FE57">
        <f>IF(BG57&lt;&gt;-999,BG57*$FC57, -999)</f>
        <v>3084896.1965544932</v>
      </c>
      <c r="FF57" s="23">
        <f>IF(BH57&lt;&gt;-999,BH57*$FC57, -999)</f>
        <v>20855514.358919133</v>
      </c>
      <c r="FG57">
        <f>-38.03-(0.1023*G57)+H57*(100+102.093-66.644-64.243)</f>
        <v>9.9017551301008169</v>
      </c>
      <c r="FH57">
        <f>IF(BI57&lt;&gt;-999,BI57*$FG57, -999)</f>
        <v>12063819.246374296</v>
      </c>
      <c r="FI57">
        <f>IF(BJ57&lt;&gt;-999,BJ57*$FG57, -999)</f>
        <v>2094224.4443114342</v>
      </c>
      <c r="FJ57" s="23">
        <f>IF(BK57&lt;&gt;-999,BK57*$FG57, -999)</f>
        <v>14158042.042355925</v>
      </c>
      <c r="FK57" s="28">
        <f t="shared" si="26"/>
        <v>216046500.53906339</v>
      </c>
      <c r="FL57" s="22">
        <f t="shared" si="28"/>
        <v>10.012280000000011</v>
      </c>
      <c r="FM57">
        <f>IF(AT57&lt;&gt;-999,AT57*$FL57, -999)</f>
        <v>15549648.806685561</v>
      </c>
      <c r="FN57">
        <f>IF(AU57&lt;&gt;-999,AU57*$FL57, -999)</f>
        <v>2699347.1448313827</v>
      </c>
      <c r="FO57" s="29">
        <f>IF(AV57&lt;&gt;-999,AV57*$FL57, -999)</f>
        <v>18248995.951516945</v>
      </c>
      <c r="FP57">
        <f t="shared" si="29"/>
        <v>7.2392800000000115</v>
      </c>
      <c r="FQ57">
        <f>IF(AW57&lt;&gt;-999,AW57*$FP57, -999)</f>
        <v>10831001.682862625</v>
      </c>
      <c r="FR57">
        <f>IF(AX57&lt;&gt;-999,AX57*$FP57, -999)</f>
        <v>1880212.8682008893</v>
      </c>
      <c r="FS57" s="29">
        <f>IF(AY57&lt;&gt;-999,AY57*$FP57, -999)</f>
        <v>12711213.345951812</v>
      </c>
      <c r="FT57">
        <f t="shared" si="30"/>
        <v>1.3112800000000142</v>
      </c>
      <c r="FU57">
        <f>IF(AZ57&lt;&gt;-999,AZ57*$FT57, -999)</f>
        <v>2503779.7531907568</v>
      </c>
      <c r="FV57">
        <f>IF(BA57&lt;&gt;-999,BA57*$FT57, -999)</f>
        <v>434644.7099893819</v>
      </c>
      <c r="FW57" s="29">
        <f>IF(BB57&lt;&gt;-999,BB57*$FT57, -999)</f>
        <v>2938424.4631801378</v>
      </c>
      <c r="FX57">
        <f t="shared" si="31"/>
        <v>1.9372800000000119</v>
      </c>
      <c r="FY57">
        <f>IF(BC57&lt;&gt;-999, BC57*$FX57, -999)</f>
        <v>1919782.2100727709</v>
      </c>
      <c r="FZ57">
        <f>IF(BD57&lt;&gt;-999, BD57*$FX57, -999)</f>
        <v>333265.42519552977</v>
      </c>
      <c r="GA57" s="29">
        <f>IF(BE57&lt;&gt;-999, BE57*$FX57, -999)</f>
        <v>2253047.3127723071</v>
      </c>
      <c r="GB57">
        <f t="shared" si="32"/>
        <v>-2.1347199999999873</v>
      </c>
      <c r="GC57">
        <f>IF(BF57&lt;&gt;-999,BF57*$GB57, -999)</f>
        <v>-2037915.2848602303</v>
      </c>
      <c r="GD57">
        <f>IF(BG57&lt;&gt;-999,BG57*$GB57, -999)</f>
        <v>-353772.56174914318</v>
      </c>
      <c r="GE57" s="29">
        <f>IF(BH57&lt;&gt;-999,BH57*$GB57, -999)</f>
        <v>-2391687.8466093731</v>
      </c>
      <c r="GF57">
        <f t="shared" si="33"/>
        <v>-10.847719999999988</v>
      </c>
      <c r="GG57">
        <f>IF(BI57&lt;&gt;-999,BI57*$GF57, -999)</f>
        <v>-13216337.063058315</v>
      </c>
      <c r="GH57">
        <f>IF(BJ57&lt;&gt;-999,BJ57*$GF57, -999)</f>
        <v>-2294296.3232837189</v>
      </c>
      <c r="GI57" s="29">
        <f>IF(BK57&lt;&gt;-999,BK57*$GF57, -999)</f>
        <v>-15510631.580538925</v>
      </c>
      <c r="GJ57" s="30">
        <f t="shared" si="27"/>
        <v>18249361.646272901</v>
      </c>
    </row>
    <row r="58" spans="1:192">
      <c r="A58" s="48" t="s">
        <v>138</v>
      </c>
      <c r="B58" s="48" t="s">
        <v>197</v>
      </c>
      <c r="C58" s="49">
        <v>147</v>
      </c>
      <c r="D58" s="50">
        <v>0.88800000000000001</v>
      </c>
      <c r="E58" s="49">
        <v>150.085361694261</v>
      </c>
      <c r="F58" s="49">
        <v>0.74401213156593804</v>
      </c>
      <c r="G58" s="49">
        <v>39.337926124192002</v>
      </c>
      <c r="H58" s="49">
        <v>0.82063541326244505</v>
      </c>
      <c r="I58" s="42">
        <v>376448.9</v>
      </c>
      <c r="J58" s="43">
        <v>176949.5</v>
      </c>
      <c r="K58" s="43">
        <f t="shared" si="0"/>
        <v>553398.4</v>
      </c>
      <c r="L58" s="43">
        <v>190514.8</v>
      </c>
      <c r="M58" s="43">
        <v>89551.3</v>
      </c>
      <c r="N58" s="43">
        <f t="shared" si="1"/>
        <v>280066.09999999998</v>
      </c>
      <c r="O58" s="43">
        <v>272798.2</v>
      </c>
      <c r="P58" s="43">
        <v>128228.6</v>
      </c>
      <c r="Q58" s="43">
        <f t="shared" si="2"/>
        <v>401026.80000000005</v>
      </c>
      <c r="R58" s="43">
        <v>271726.40000000002</v>
      </c>
      <c r="S58" s="43">
        <v>127724.8</v>
      </c>
      <c r="T58" s="43">
        <f t="shared" si="3"/>
        <v>399451.2</v>
      </c>
      <c r="U58" s="43">
        <v>137516.4</v>
      </c>
      <c r="V58" s="43">
        <v>64639.5</v>
      </c>
      <c r="W58" s="43">
        <f t="shared" si="4"/>
        <v>202155.9</v>
      </c>
      <c r="X58" s="43">
        <v>196909.8</v>
      </c>
      <c r="Y58" s="43">
        <v>92557.3</v>
      </c>
      <c r="Z58" s="43">
        <f t="shared" si="5"/>
        <v>289467.09999999998</v>
      </c>
      <c r="AA58" s="22">
        <v>10568563.5</v>
      </c>
      <c r="AB58">
        <v>2849647.1</v>
      </c>
      <c r="AC58">
        <v>13418210.6</v>
      </c>
      <c r="AD58">
        <v>5348581.2</v>
      </c>
      <c r="AE58">
        <v>1442160.9</v>
      </c>
      <c r="AF58">
        <v>6790742.0999999996</v>
      </c>
      <c r="AG58">
        <v>7658636.7999999998</v>
      </c>
      <c r="AH58">
        <v>2065031.1</v>
      </c>
      <c r="AI58">
        <v>9723667.9000000004</v>
      </c>
      <c r="AJ58">
        <v>7628546.2999999998</v>
      </c>
      <c r="AK58">
        <v>2056917.7</v>
      </c>
      <c r="AL58">
        <v>9685464</v>
      </c>
      <c r="AM58">
        <v>3860685.5</v>
      </c>
      <c r="AN58">
        <v>1040973.2</v>
      </c>
      <c r="AO58">
        <v>4901658.7</v>
      </c>
      <c r="AP58">
        <v>5528118</v>
      </c>
      <c r="AQ58">
        <v>1490570.2</v>
      </c>
      <c r="AR58">
        <v>7018688.2000000002</v>
      </c>
      <c r="AS58">
        <v>51538431.520000003</v>
      </c>
      <c r="AT58" s="22">
        <f t="shared" si="37"/>
        <v>17593323.581501663</v>
      </c>
      <c r="AU58">
        <f t="shared" si="37"/>
        <v>4743763.2865987727</v>
      </c>
      <c r="AV58">
        <f t="shared" si="37"/>
        <v>22337086.868100435</v>
      </c>
      <c r="AW58">
        <f t="shared" si="37"/>
        <v>8903700.0869168714</v>
      </c>
      <c r="AX58">
        <f t="shared" si="37"/>
        <v>2400742.8606820274</v>
      </c>
      <c r="AY58">
        <f t="shared" si="37"/>
        <v>11304442.947598897</v>
      </c>
      <c r="AZ58">
        <f t="shared" si="37"/>
        <v>12749213.78062368</v>
      </c>
      <c r="BA58">
        <f t="shared" si="37"/>
        <v>3437625.2125621727</v>
      </c>
      <c r="BB58">
        <f t="shared" si="37"/>
        <v>16186838.993185855</v>
      </c>
      <c r="BC58">
        <f t="shared" si="37"/>
        <v>12699122.592428694</v>
      </c>
      <c r="BD58">
        <f t="shared" si="37"/>
        <v>3424118.9615427074</v>
      </c>
      <c r="BE58">
        <f t="shared" si="37"/>
        <v>16123241.553971402</v>
      </c>
      <c r="BF58">
        <f t="shared" si="37"/>
        <v>6426823.214707613</v>
      </c>
      <c r="BG58">
        <f t="shared" si="37"/>
        <v>1732891.9249310701</v>
      </c>
      <c r="BH58">
        <f t="shared" si="37"/>
        <v>8159715.1396386838</v>
      </c>
      <c r="BI58">
        <f t="shared" si="35"/>
        <v>9202572.2105680499</v>
      </c>
      <c r="BJ58">
        <f t="shared" si="35"/>
        <v>2481329.0708376449</v>
      </c>
      <c r="BK58">
        <f t="shared" si="35"/>
        <v>11683901.281405697</v>
      </c>
      <c r="BL58">
        <f t="shared" si="35"/>
        <v>85795226.817194656</v>
      </c>
      <c r="BM58" s="22">
        <f>-17.17-(0.1023*E58)+F58*(100-8.576-13.681)</f>
        <v>25.318002643007823</v>
      </c>
      <c r="BN58">
        <f>IF(AT58&lt;&gt;-999,AT58*$BM58, -999)</f>
        <v>445427812.93575096</v>
      </c>
      <c r="BO58">
        <f>IF(AU58&lt;&gt;-999,AU58*$BM58, -999)</f>
        <v>120102611.42791121</v>
      </c>
      <c r="BP58" s="25">
        <f>IF(AV58&lt;&gt;-999,AV58*$BM58, -999)</f>
        <v>565530424.36366212</v>
      </c>
      <c r="BQ58">
        <f>-19.943-(0.1023*E58)+F58*(100-8.576-13.681)</f>
        <v>22.545002643007827</v>
      </c>
      <c r="BR58">
        <f>IF(AW58&lt;&gt;-999,AW58*$BQ58, -999)</f>
        <v>200733941.99208987</v>
      </c>
      <c r="BS58">
        <f>IF(AX58&lt;&gt;-999,AX58*$BQ58, -999)</f>
        <v>54124754.139258482</v>
      </c>
      <c r="BT58" s="25">
        <f>IF(AY58&lt;&gt;-999,AY58*$BQ58, -999)</f>
        <v>254858696.13134831</v>
      </c>
      <c r="BU58">
        <f>-25.871-(0.1023*E58)+F58*(100-8.576-13.681)</f>
        <v>16.617002643007829</v>
      </c>
      <c r="BV58">
        <f>IF(AZ58&lt;&gt;-999,AZ58*$BU58, -999)</f>
        <v>211853719.08889553</v>
      </c>
      <c r="BW58">
        <f>IF(BA58&lt;&gt;-999,BA58*$BU58, -999)</f>
        <v>57123027.242815971</v>
      </c>
      <c r="BX58" s="25">
        <f>IF(BB58&lt;&gt;-999,BB58*$BU58, -999)</f>
        <v>268976746.33171153</v>
      </c>
      <c r="BY58">
        <f>-25.245-(0.1023*E58)+F58*(100-8.576-13.681)</f>
        <v>17.243002643007827</v>
      </c>
      <c r="BZ58">
        <f>IF(BC58&lt;&gt;-999,BC58*$BY58, -999)</f>
        <v>218971004.42512837</v>
      </c>
      <c r="CA58">
        <f>IF(BD58&lt;&gt;-999,BD58*$BY58, -999)</f>
        <v>59042092.303854123</v>
      </c>
      <c r="CB58" s="25">
        <f>IF(BE58&lt;&gt;-999,BE58*$BY58, -999)</f>
        <v>278013096.72898251</v>
      </c>
      <c r="CC58">
        <f>-29.317-(0.1023*E58)+F58*(100-8.576-13.681)</f>
        <v>13.171002643007824</v>
      </c>
      <c r="CD58">
        <f>IF(BF58&lt;&gt;-999,BF58*$CC58, -999)</f>
        <v>84647705.547058016</v>
      </c>
      <c r="CE58">
        <f>IF(BG58&lt;&gt;-999,BG58*$CC58, -999)</f>
        <v>22823924.123314042</v>
      </c>
      <c r="CF58" s="25">
        <f>IF(BH58&lt;&gt;-999,BH58*$CC58, -999)</f>
        <v>107471629.67037207</v>
      </c>
      <c r="CG58">
        <f>-38.03-(0.1023*E58)+F58*(100-8.576-13.681)</f>
        <v>4.4580026430078235</v>
      </c>
      <c r="CH58">
        <f>IF(BI58&lt;&gt;-999,BI58*$CG58, -999)</f>
        <v>41025091.237182714</v>
      </c>
      <c r="CI58">
        <f>IF(BJ58&lt;&gt;-999,BJ58*$CG58, -999)</f>
        <v>11061771.555966368</v>
      </c>
      <c r="CJ58" s="25">
        <f>IF(BK58&lt;&gt;-999,BK58*$CG58, -999)</f>
        <v>52086862.793149091</v>
      </c>
      <c r="CK58" s="26">
        <f t="shared" si="8"/>
        <v>1526937456.0192254</v>
      </c>
      <c r="CL58">
        <f t="shared" si="9"/>
        <v>-32.138977943929987</v>
      </c>
      <c r="CM58">
        <f t="shared" si="10"/>
        <v>28.942015324756305</v>
      </c>
      <c r="CN58">
        <f t="shared" si="11"/>
        <v>-92.164880889898299</v>
      </c>
      <c r="CO58" s="22">
        <f t="shared" si="12"/>
        <v>-40.08</v>
      </c>
      <c r="CP58">
        <f>IF(AT58&lt;&gt;-999,AT58*$CO58, -999)</f>
        <v>-705140409.14658666</v>
      </c>
      <c r="CQ58">
        <f>IF(AU58&lt;&gt;-999,AU58*$CO58, -999)</f>
        <v>-190130032.5268788</v>
      </c>
      <c r="CR58" s="27">
        <f>IF(AV58&lt;&gt;-999,AV58*$CO58, -999)</f>
        <v>-895270441.67346537</v>
      </c>
      <c r="CS58">
        <f t="shared" si="13"/>
        <v>-42.853000000000002</v>
      </c>
      <c r="CT58">
        <f>IF(AW58&lt;&gt;-999,AW58*$CS58, -999)</f>
        <v>-381550259.82464868</v>
      </c>
      <c r="CU58">
        <f>IF(AX58&lt;&gt;-999,AX58*$CS58, -999)</f>
        <v>-102879033.80880693</v>
      </c>
      <c r="CV58" s="27">
        <f>IF(AY58&lt;&gt;-999,AY58*$CS58, -999)</f>
        <v>-484429293.63345557</v>
      </c>
      <c r="CW58">
        <f t="shared" si="14"/>
        <v>-48.780999999999999</v>
      </c>
      <c r="CX58">
        <f>IF(AZ58&lt;&gt;-999,AZ58*$CO58, -999)</f>
        <v>-510988488.32739705</v>
      </c>
      <c r="CY58">
        <f>IF(BA58&lt;&gt;-999,BA58*$CO58, -999)</f>
        <v>-137780018.51949188</v>
      </c>
      <c r="CZ58" s="27">
        <f>IF(BB58&lt;&gt;-999,BB58*$CO58, -999)</f>
        <v>-648768506.84688902</v>
      </c>
      <c r="DA58">
        <f t="shared" si="15"/>
        <v>-48.155000000000001</v>
      </c>
      <c r="DB58">
        <f>IF(BC58&lt;&gt;-999,BC58*$DA58, -999)</f>
        <v>-611526248.43840373</v>
      </c>
      <c r="DC58">
        <f>IF(BD58&lt;&gt;-999,BD58*$DA58, -999)</f>
        <v>-164888448.59308907</v>
      </c>
      <c r="DD58" s="27">
        <f>IF(BE58&lt;&gt;-999,BE58*$DA58, -999)</f>
        <v>-776414697.03149295</v>
      </c>
      <c r="DE58">
        <f t="shared" si="16"/>
        <v>-52.227000000000004</v>
      </c>
      <c r="DF58">
        <f>IF(BF58&lt;&gt;-999,BF58*$DE58, -999)</f>
        <v>-335653696.03453451</v>
      </c>
      <c r="DG58">
        <f>IF(BG58&lt;&gt;-999,BG58*$DE58, -999)</f>
        <v>-90503746.563374996</v>
      </c>
      <c r="DH58" s="27">
        <f>IF(BH58&lt;&gt;-999,BH58*$DE58, -999)</f>
        <v>-426157442.59790957</v>
      </c>
      <c r="DI58">
        <f t="shared" si="17"/>
        <v>-60.94</v>
      </c>
      <c r="DJ58">
        <f>IF(BI58&lt;&gt;-999,BI58*$DI58, -999)</f>
        <v>-560804750.51201689</v>
      </c>
      <c r="DK58">
        <f>IF(BJ58&lt;&gt;-999,BJ58*$DI58, -999)</f>
        <v>-151212193.57684606</v>
      </c>
      <c r="DL58" s="27">
        <f>IF(BK58&lt;&gt;-999,BK58*$DI58, -999)</f>
        <v>-712016944.08886313</v>
      </c>
      <c r="DM58" s="28">
        <f t="shared" si="18"/>
        <v>-3943057325.8720751</v>
      </c>
      <c r="DN58" s="22">
        <f t="shared" si="19"/>
        <v>-17.170000000000002</v>
      </c>
      <c r="DO58">
        <f>IF(AT58&lt;&gt;-999,AT58*$DN58, -999)</f>
        <v>-302077365.89438355</v>
      </c>
      <c r="DP58">
        <f>IF(AU58&lt;&gt;-999,AU58*$DN58, -999)</f>
        <v>-81450415.630900934</v>
      </c>
      <c r="DQ58" s="24">
        <f>IF(AV58&lt;&gt;-999,AV58*$DN58, -999)</f>
        <v>-383527781.52528453</v>
      </c>
      <c r="DR58">
        <f t="shared" si="20"/>
        <v>-19.943000000000001</v>
      </c>
      <c r="DS58">
        <f>IF(AW58&lt;&gt;-999,AW58*$DR58, -999)</f>
        <v>-177566490.83338317</v>
      </c>
      <c r="DT58">
        <f>IF(AX58&lt;&gt;-999,AX58*$DR58, -999)</f>
        <v>-47878014.870581679</v>
      </c>
      <c r="DU58" s="24">
        <f>IF(AY58&lt;&gt;-999,AY58*$DR58, -999)</f>
        <v>-225444505.70396483</v>
      </c>
      <c r="DV58">
        <f t="shared" si="21"/>
        <v>-25.870999999999999</v>
      </c>
      <c r="DW58">
        <f>IF(AZ58&lt;&gt;-999,AZ58*$DV58, -999)</f>
        <v>-329834909.71851522</v>
      </c>
      <c r="DX58">
        <f>IF(BA58&lt;&gt;-999,BA58*$DV58, -999)</f>
        <v>-88934801.874195963</v>
      </c>
      <c r="DY58" s="24">
        <f>IF(BB58&lt;&gt;-999,BB58*$DV58, -999)</f>
        <v>-418769711.59271127</v>
      </c>
      <c r="DZ58">
        <f t="shared" si="22"/>
        <v>-25.245000000000001</v>
      </c>
      <c r="EA58">
        <f>IF(BC58&lt;&gt;-999, BC58*$DZ58, -999)</f>
        <v>-320589349.84586239</v>
      </c>
      <c r="EB58">
        <f>IF(BD58&lt;&gt;-999, BD58*$DZ58, -999)</f>
        <v>-86441883.184145659</v>
      </c>
      <c r="EC58" s="24">
        <f>IF(BE58&lt;&gt;-999, BE58*$DZ58, -999)</f>
        <v>-407031233.03000808</v>
      </c>
      <c r="ED58">
        <f t="shared" si="23"/>
        <v>-29.317</v>
      </c>
      <c r="EE58">
        <f>IF(BF58&lt;&gt;-999,BF58*$ED58, -999)</f>
        <v>-188415176.18558308</v>
      </c>
      <c r="EF58">
        <f>IF(BG58&lt;&gt;-999,BG58*$ED58, -999)</f>
        <v>-50803192.563204184</v>
      </c>
      <c r="EG58" s="24">
        <f>IF(BH58&lt;&gt;-999,BH58*$ED58, -999)</f>
        <v>-239218368.74878728</v>
      </c>
      <c r="EH58">
        <f t="shared" si="24"/>
        <v>-38.03</v>
      </c>
      <c r="EI58">
        <f>IF(BI58&lt;&gt;-999,BI58*$EH58, -999)</f>
        <v>-349973821.16790295</v>
      </c>
      <c r="EJ58">
        <f>IF(BJ58&lt;&gt;-999,BJ58*$EH58, -999)</f>
        <v>-94364944.563955635</v>
      </c>
      <c r="EK58" s="24">
        <f>IF(BK58&lt;&gt;-999,BK58*$EH58, -999)</f>
        <v>-444338765.73185867</v>
      </c>
      <c r="EL58" s="28">
        <f t="shared" si="25"/>
        <v>-2118330366.3326149</v>
      </c>
      <c r="EM58" s="22">
        <f>-17.17-(0.1023*G58)+H58*(100+102.093-66.644-64.243)</f>
        <v>37.239895394260834</v>
      </c>
      <c r="EN58">
        <f>IF(AT58&lt;&gt;-999,AT58*$EM58, -999)</f>
        <v>655173529.81250429</v>
      </c>
      <c r="EO58">
        <f>IF(AU58&lt;&gt;-999,AU58*$EM58, -999)</f>
        <v>176657248.56807327</v>
      </c>
      <c r="EP58" s="23">
        <f>IF(AV58&lt;&gt;-999,AV58*$EM58, -999)</f>
        <v>831830778.38057756</v>
      </c>
      <c r="EQ58">
        <f>-19.943-(0.1023*G58)+H58*(100+102.093-66.644-64.243)</f>
        <v>34.466895394260831</v>
      </c>
      <c r="ER58">
        <f>IF(AW58&lt;&gt;-999,AW58*$EQ58, -999)</f>
        <v>306882899.51763487</v>
      </c>
      <c r="ES58">
        <f>IF(AX58&lt;&gt;-999,AX58*$EQ58, -999)</f>
        <v>82746153.047645941</v>
      </c>
      <c r="ET58" s="23">
        <f>IF(AY58&lt;&gt;-999,AY58*$EQ58, -999)</f>
        <v>389629052.56528074</v>
      </c>
      <c r="EU58">
        <f>-25.871-(0.1023*G58)+H58*(100+102.093-66.644-64.243)</f>
        <v>28.538895394260837</v>
      </c>
      <c r="EV58">
        <f>IF(AZ58&lt;&gt;-999,AZ58*$EU58, -999)</f>
        <v>363848478.44428796</v>
      </c>
      <c r="EW58">
        <f>IF(BA58&lt;&gt;-999,BA58*$EU58, -999)</f>
        <v>98106026.345985517</v>
      </c>
      <c r="EX58" s="23">
        <f>IF(BB58&lt;&gt;-999,BB58*$EU58, -999)</f>
        <v>461954504.79027355</v>
      </c>
      <c r="EY58">
        <f>-25.245-(0.1023*G58)+H58*(100+102.093-66.644-64.243)</f>
        <v>29.164895394260835</v>
      </c>
      <c r="EZ58">
        <f>IF(BC58&lt;&gt;-999, BC58*$EY58, -999)</f>
        <v>370368582.00707734</v>
      </c>
      <c r="FA58">
        <f>IF(BD58&lt;&gt;-999, BD58*$EY58, -999)</f>
        <v>99864071.330898106</v>
      </c>
      <c r="FB58" s="23">
        <f>IF(BE58&lt;&gt;-999, BE58*$EY58, -999)</f>
        <v>470232653.33797544</v>
      </c>
      <c r="FC58">
        <f>-29.317-(0.1023*G58)+H58*(100+102.093-66.644-64.243)</f>
        <v>25.092895394260836</v>
      </c>
      <c r="FD58">
        <f>IF(BF58&lt;&gt;-999,BF58*$FC58, -999)</f>
        <v>161267602.64406529</v>
      </c>
      <c r="FE58">
        <f>IF(BG58&lt;&gt;-999,BG58*$FC58, -999)</f>
        <v>43483275.80185464</v>
      </c>
      <c r="FF58" s="23">
        <f>IF(BH58&lt;&gt;-999,BH58*$FC58, -999)</f>
        <v>204750878.44591993</v>
      </c>
      <c r="FG58">
        <f>-38.03-(0.1023*G58)+H58*(100+102.093-66.644-64.243)</f>
        <v>16.379895394260835</v>
      </c>
      <c r="FH58">
        <f>IF(BI58&lt;&gt;-999,BI58*$FG58, -999)</f>
        <v>150737170.16723636</v>
      </c>
      <c r="FI58">
        <f>IF(BJ58&lt;&gt;-999,BJ58*$FG58, -999)</f>
        <v>40643910.619059056</v>
      </c>
      <c r="FJ58" s="23">
        <f>IF(BK58&lt;&gt;-999,BK58*$FG58, -999)</f>
        <v>191381080.78629544</v>
      </c>
      <c r="FK58" s="28">
        <f t="shared" si="26"/>
        <v>2549778948.3063226</v>
      </c>
      <c r="FL58" s="22">
        <f t="shared" si="28"/>
        <v>10.012280000000011</v>
      </c>
      <c r="FM58">
        <f>IF(AT58&lt;&gt;-999,AT58*$FL58, -999)</f>
        <v>176149281.82859766</v>
      </c>
      <c r="FN58">
        <f>IF(AU58&lt;&gt;-999,AU58*$FL58, -999)</f>
        <v>47495886.279147215</v>
      </c>
      <c r="FO58" s="29">
        <f>IF(AV58&lt;&gt;-999,AV58*$FL58, -999)</f>
        <v>223645168.10774487</v>
      </c>
      <c r="FP58">
        <f t="shared" si="29"/>
        <v>7.2392800000000115</v>
      </c>
      <c r="FQ58">
        <f>IF(AW58&lt;&gt;-999,AW58*$FP58, -999)</f>
        <v>64456377.965215668</v>
      </c>
      <c r="FR58">
        <f>IF(AX58&lt;&gt;-999,AX58*$FP58, -999)</f>
        <v>17379649.776478216</v>
      </c>
      <c r="FS58" s="29">
        <f>IF(AY58&lt;&gt;-999,AY58*$FP58, -999)</f>
        <v>81836027.741693869</v>
      </c>
      <c r="FT58">
        <f t="shared" si="30"/>
        <v>1.3112800000000142</v>
      </c>
      <c r="FU58">
        <f>IF(AZ58&lt;&gt;-999,AZ58*$FT58, -999)</f>
        <v>16717789.046256401</v>
      </c>
      <c r="FV58">
        <f>IF(BA58&lt;&gt;-999,BA58*$FT58, -999)</f>
        <v>4507689.1887285747</v>
      </c>
      <c r="FW58" s="29">
        <f>IF(BB58&lt;&gt;-999,BB58*$FT58, -999)</f>
        <v>21225478.234984979</v>
      </c>
      <c r="FX58">
        <f t="shared" si="31"/>
        <v>1.9372800000000119</v>
      </c>
      <c r="FY58">
        <f>IF(BC58&lt;&gt;-999, BC58*$FX58, -999)</f>
        <v>24601756.215860412</v>
      </c>
      <c r="FZ58">
        <f>IF(BD58&lt;&gt;-999, BD58*$FX58, -999)</f>
        <v>6633477.1818174971</v>
      </c>
      <c r="GA58" s="29">
        <f>IF(BE58&lt;&gt;-999, BE58*$FX58, -999)</f>
        <v>31235233.39767791</v>
      </c>
      <c r="GB58">
        <f t="shared" si="32"/>
        <v>-2.1347199999999873</v>
      </c>
      <c r="GC58">
        <f>IF(BF58&lt;&gt;-999,BF58*$GB58, -999)</f>
        <v>-13719468.052900555</v>
      </c>
      <c r="GD58">
        <f>IF(BG58&lt;&gt;-999,BG58*$GB58, -999)</f>
        <v>-3699239.0499888319</v>
      </c>
      <c r="GE58" s="29">
        <f>IF(BH58&lt;&gt;-999,BH58*$GB58, -999)</f>
        <v>-17418707.102889389</v>
      </c>
      <c r="GF58">
        <f t="shared" si="33"/>
        <v>-10.847719999999988</v>
      </c>
      <c r="GG58">
        <f>IF(BI58&lt;&gt;-999,BI58*$GF58, -999)</f>
        <v>-99826926.620023131</v>
      </c>
      <c r="GH58">
        <f>IF(BJ58&lt;&gt;-999,BJ58*$GF58, -999)</f>
        <v>-26916762.988306906</v>
      </c>
      <c r="GI58" s="29">
        <f>IF(BK58&lt;&gt;-999,BK58*$GF58, -999)</f>
        <v>-126743689.60833007</v>
      </c>
      <c r="GJ58" s="30">
        <f t="shared" si="27"/>
        <v>213779510.77088219</v>
      </c>
    </row>
    <row r="59" spans="1:192">
      <c r="A59" s="48" t="s">
        <v>151</v>
      </c>
      <c r="B59" s="48" t="s">
        <v>198</v>
      </c>
      <c r="C59" s="49">
        <v>103</v>
      </c>
      <c r="D59" s="50">
        <v>0.88200000000000001</v>
      </c>
      <c r="E59" s="49">
        <v>93.669758914210107</v>
      </c>
      <c r="F59" s="49">
        <v>0.79205570636573996</v>
      </c>
      <c r="G59" s="49">
        <v>332.34215094207502</v>
      </c>
      <c r="H59" s="49">
        <v>0.79988961746766796</v>
      </c>
      <c r="I59" s="42">
        <v>13556.6</v>
      </c>
      <c r="J59" s="43">
        <v>-999</v>
      </c>
      <c r="K59" s="43">
        <f t="shared" si="0"/>
        <v>13556.6</v>
      </c>
      <c r="L59" s="43">
        <v>10718.8</v>
      </c>
      <c r="M59" s="43">
        <v>-999</v>
      </c>
      <c r="N59" s="43">
        <f t="shared" si="1"/>
        <v>10718.8</v>
      </c>
      <c r="O59" s="43">
        <v>14256.3</v>
      </c>
      <c r="P59" s="43">
        <v>-999</v>
      </c>
      <c r="Q59" s="43">
        <f t="shared" si="2"/>
        <v>14256.3</v>
      </c>
      <c r="R59" s="43">
        <v>3918.1</v>
      </c>
      <c r="S59" s="43">
        <v>-999</v>
      </c>
      <c r="T59" s="43">
        <f t="shared" si="3"/>
        <v>3918.1</v>
      </c>
      <c r="U59" s="43">
        <v>3097.9</v>
      </c>
      <c r="V59" s="43">
        <v>-999</v>
      </c>
      <c r="W59" s="43">
        <f t="shared" si="4"/>
        <v>3097.9</v>
      </c>
      <c r="X59" s="43">
        <v>4120.3</v>
      </c>
      <c r="Y59" s="43">
        <v>-999</v>
      </c>
      <c r="Z59" s="43">
        <f t="shared" si="5"/>
        <v>4120.3</v>
      </c>
      <c r="AA59" s="22">
        <v>77370.3</v>
      </c>
      <c r="AB59">
        <v>-999</v>
      </c>
      <c r="AC59">
        <v>77370.3</v>
      </c>
      <c r="AD59">
        <v>61174.1</v>
      </c>
      <c r="AE59">
        <v>-999</v>
      </c>
      <c r="AF59">
        <v>61174.1</v>
      </c>
      <c r="AG59">
        <v>81363.399999999994</v>
      </c>
      <c r="AH59">
        <v>-999</v>
      </c>
      <c r="AI59">
        <v>81363.399999999994</v>
      </c>
      <c r="AJ59">
        <v>22361.3</v>
      </c>
      <c r="AK59">
        <v>-999</v>
      </c>
      <c r="AL59">
        <v>22361.3</v>
      </c>
      <c r="AM59">
        <v>17680.3</v>
      </c>
      <c r="AN59">
        <v>-999</v>
      </c>
      <c r="AO59">
        <v>17680.3</v>
      </c>
      <c r="AP59">
        <v>23515.4</v>
      </c>
      <c r="AQ59">
        <v>-999</v>
      </c>
      <c r="AR59">
        <v>23515.4</v>
      </c>
      <c r="AS59">
        <v>283464.87</v>
      </c>
      <c r="AT59" s="22">
        <f t="shared" si="37"/>
        <v>128797.1372360925</v>
      </c>
      <c r="AU59">
        <f t="shared" si="37"/>
        <v>-999</v>
      </c>
      <c r="AV59">
        <f t="shared" si="37"/>
        <v>128797.1372360925</v>
      </c>
      <c r="AW59">
        <f t="shared" si="37"/>
        <v>101835.5745420975</v>
      </c>
      <c r="AX59">
        <f t="shared" si="37"/>
        <v>-999</v>
      </c>
      <c r="AY59">
        <f t="shared" si="37"/>
        <v>101835.5745420975</v>
      </c>
      <c r="AZ59">
        <f t="shared" si="37"/>
        <v>135444.38881321499</v>
      </c>
      <c r="BA59">
        <f t="shared" si="37"/>
        <v>-999</v>
      </c>
      <c r="BB59">
        <f t="shared" si="37"/>
        <v>135444.38881321499</v>
      </c>
      <c r="BC59">
        <f t="shared" si="37"/>
        <v>37224.508950817493</v>
      </c>
      <c r="BD59">
        <f t="shared" si="37"/>
        <v>-999</v>
      </c>
      <c r="BE59">
        <f t="shared" si="37"/>
        <v>37224.508950817493</v>
      </c>
      <c r="BF59">
        <f t="shared" si="37"/>
        <v>29432.120923342496</v>
      </c>
      <c r="BG59">
        <f t="shared" si="37"/>
        <v>-999</v>
      </c>
      <c r="BH59">
        <f t="shared" si="37"/>
        <v>29432.120923342496</v>
      </c>
      <c r="BI59">
        <f t="shared" si="35"/>
        <v>39145.721303415005</v>
      </c>
      <c r="BJ59">
        <f t="shared" si="35"/>
        <v>-999</v>
      </c>
      <c r="BK59">
        <f t="shared" si="35"/>
        <v>39145.721303415005</v>
      </c>
      <c r="BL59">
        <f t="shared" si="35"/>
        <v>471879.56829689321</v>
      </c>
      <c r="BM59" s="22">
        <f>-17.17-(0.1023*E59)+F59*(100-8.576-13.681)</f>
        <v>34.824370443068034</v>
      </c>
      <c r="BN59">
        <f>IF(AT59&lt;&gt;-999,AT59*$BM59, -999)</f>
        <v>4485279.2191163572</v>
      </c>
      <c r="BO59">
        <f>IF(AU59&lt;&gt;-999,AU59*$BM59, -999)</f>
        <v>-999</v>
      </c>
      <c r="BP59" s="25">
        <f>IF(AV59&lt;&gt;-999,AV59*$BM59, -999)</f>
        <v>4485279.2191163572</v>
      </c>
      <c r="BQ59">
        <f>-19.943-(0.1023*E59)+F59*(100-8.576-13.681)</f>
        <v>32.051370443068031</v>
      </c>
      <c r="BR59">
        <f>IF(AW59&lt;&gt;-999,AW59*$BQ59, -999)</f>
        <v>3263969.723931435</v>
      </c>
      <c r="BS59">
        <f>IF(AX59&lt;&gt;-999,AX59*$BQ59, -999)</f>
        <v>-999</v>
      </c>
      <c r="BT59" s="25">
        <f>IF(AY59&lt;&gt;-999,AY59*$BQ59, -999)</f>
        <v>3263969.723931435</v>
      </c>
      <c r="BU59">
        <f>-25.871-(0.1023*E59)+F59*(100-8.576-13.681)</f>
        <v>26.123370443068033</v>
      </c>
      <c r="BV59">
        <f>IF(AZ59&lt;&gt;-999,AZ59*$BU59, -999)</f>
        <v>3538263.9434025548</v>
      </c>
      <c r="BW59">
        <f>IF(BA59&lt;&gt;-999,BA59*$BU59, -999)</f>
        <v>-999</v>
      </c>
      <c r="BX59" s="25">
        <f>IF(BB59&lt;&gt;-999,BB59*$BU59, -999)</f>
        <v>3538263.9434025548</v>
      </c>
      <c r="BY59">
        <f>-25.245-(0.1023*E59)+F59*(100-8.576-13.681)</f>
        <v>26.749370443068031</v>
      </c>
      <c r="BZ59">
        <f>IF(BC59&lt;&gt;-999,BC59*$BY59, -999)</f>
        <v>995732.17948671884</v>
      </c>
      <c r="CA59">
        <f>IF(BD59&lt;&gt;-999,BD59*$BY59, -999)</f>
        <v>-999</v>
      </c>
      <c r="CB59" s="25">
        <f>IF(BE59&lt;&gt;-999,BE59*$BY59, -999)</f>
        <v>995732.17948671884</v>
      </c>
      <c r="CC59">
        <f>-29.317-(0.1023*E59)+F59*(100-8.576-13.681)</f>
        <v>22.677370443068035</v>
      </c>
      <c r="CD59">
        <f>IF(BF59&lt;&gt;-999,BF59*$CC59, -999)</f>
        <v>667443.10910381144</v>
      </c>
      <c r="CE59">
        <f>IF(BG59&lt;&gt;-999,BG59*$CC59, -999)</f>
        <v>-999</v>
      </c>
      <c r="CF59" s="25">
        <f>IF(BH59&lt;&gt;-999,BH59*$CC59, -999)</f>
        <v>667443.10910381144</v>
      </c>
      <c r="CG59">
        <f>-38.03-(0.1023*E59)+F59*(100-8.576-13.681)</f>
        <v>13.964370443068034</v>
      </c>
      <c r="CH59">
        <f>IF(BI59&lt;&gt;-999,BI59*$CG59, -999)</f>
        <v>546645.35354198713</v>
      </c>
      <c r="CI59">
        <f>IF(BJ59&lt;&gt;-999,BJ59*$CG59, -999)</f>
        <v>-999</v>
      </c>
      <c r="CJ59" s="25">
        <f>IF(BK59&lt;&gt;-999,BK59*$CG59, -999)</f>
        <v>546645.35354198713</v>
      </c>
      <c r="CK59" s="26">
        <f t="shared" si="8"/>
        <v>13497333.528582864</v>
      </c>
      <c r="CL59">
        <f t="shared" si="9"/>
        <v>-36.125994139711828</v>
      </c>
      <c r="CM59">
        <f t="shared" si="10"/>
        <v>21.250020747573512</v>
      </c>
      <c r="CN59">
        <f t="shared" si="11"/>
        <v>-92.51091712059339</v>
      </c>
      <c r="CO59" s="22">
        <f t="shared" si="12"/>
        <v>-40.08</v>
      </c>
      <c r="CP59">
        <f>IF(AT59&lt;&gt;-999,AT59*$CO59, -999)</f>
        <v>-5162189.2604225874</v>
      </c>
      <c r="CQ59">
        <f>IF(AU59&lt;&gt;-999,AU59*$CO59, -999)</f>
        <v>-999</v>
      </c>
      <c r="CR59" s="27">
        <f>IF(AV59&lt;&gt;-999,AV59*$CO59, -999)</f>
        <v>-5162189.2604225874</v>
      </c>
      <c r="CS59">
        <f t="shared" si="13"/>
        <v>-42.853000000000002</v>
      </c>
      <c r="CT59">
        <f>IF(AW59&lt;&gt;-999,AW59*$CS59, -999)</f>
        <v>-4363959.8758525047</v>
      </c>
      <c r="CU59">
        <f>IF(AX59&lt;&gt;-999,AX59*$CS59, -999)</f>
        <v>-999</v>
      </c>
      <c r="CV59" s="27">
        <f>IF(AY59&lt;&gt;-999,AY59*$CS59, -999)</f>
        <v>-4363959.8758525047</v>
      </c>
      <c r="CW59">
        <f t="shared" si="14"/>
        <v>-48.780999999999999</v>
      </c>
      <c r="CX59">
        <f>IF(AZ59&lt;&gt;-999,AZ59*$CO59, -999)</f>
        <v>-5428611.1036336562</v>
      </c>
      <c r="CY59">
        <f>IF(BA59&lt;&gt;-999,BA59*$CO59, -999)</f>
        <v>-999</v>
      </c>
      <c r="CZ59" s="27">
        <f>IF(BB59&lt;&gt;-999,BB59*$CO59, -999)</f>
        <v>-5428611.1036336562</v>
      </c>
      <c r="DA59">
        <f t="shared" si="15"/>
        <v>-48.155000000000001</v>
      </c>
      <c r="DB59">
        <f>IF(BC59&lt;&gt;-999,BC59*$DA59, -999)</f>
        <v>-1792546.2285266165</v>
      </c>
      <c r="DC59">
        <f>IF(BD59&lt;&gt;-999,BD59*$DA59, -999)</f>
        <v>-999</v>
      </c>
      <c r="DD59" s="27">
        <f>IF(BE59&lt;&gt;-999,BE59*$DA59, -999)</f>
        <v>-1792546.2285266165</v>
      </c>
      <c r="DE59">
        <f t="shared" si="16"/>
        <v>-52.227000000000004</v>
      </c>
      <c r="DF59">
        <f>IF(BF59&lt;&gt;-999,BF59*$DE59, -999)</f>
        <v>-1537151.3794634086</v>
      </c>
      <c r="DG59">
        <f>IF(BG59&lt;&gt;-999,BG59*$DE59, -999)</f>
        <v>-999</v>
      </c>
      <c r="DH59" s="27">
        <f>IF(BH59&lt;&gt;-999,BH59*$DE59, -999)</f>
        <v>-1537151.3794634086</v>
      </c>
      <c r="DI59">
        <f t="shared" si="17"/>
        <v>-60.94</v>
      </c>
      <c r="DJ59">
        <f>IF(BI59&lt;&gt;-999,BI59*$DI59, -999)</f>
        <v>-2385540.2562301103</v>
      </c>
      <c r="DK59">
        <f>IF(BJ59&lt;&gt;-999,BJ59*$DI59, -999)</f>
        <v>-999</v>
      </c>
      <c r="DL59" s="27">
        <f>IF(BK59&lt;&gt;-999,BK59*$DI59, -999)</f>
        <v>-2385540.2562301103</v>
      </c>
      <c r="DM59" s="28">
        <f t="shared" si="18"/>
        <v>-20669998.104128882</v>
      </c>
      <c r="DN59" s="22">
        <f t="shared" si="19"/>
        <v>-17.170000000000002</v>
      </c>
      <c r="DO59">
        <f>IF(AT59&lt;&gt;-999,AT59*$DN59, -999)</f>
        <v>-2211446.8463437087</v>
      </c>
      <c r="DP59">
        <f>IF(AU59&lt;&gt;-999,AU59*$DN59, -999)</f>
        <v>-999</v>
      </c>
      <c r="DQ59" s="24">
        <f>IF(AV59&lt;&gt;-999,AV59*$DN59, -999)</f>
        <v>-2211446.8463437087</v>
      </c>
      <c r="DR59">
        <f t="shared" si="20"/>
        <v>-19.943000000000001</v>
      </c>
      <c r="DS59">
        <f>IF(AW59&lt;&gt;-999,AW59*$DR59, -999)</f>
        <v>-2030906.8630930507</v>
      </c>
      <c r="DT59">
        <f>IF(AX59&lt;&gt;-999,AX59*$DR59, -999)</f>
        <v>-999</v>
      </c>
      <c r="DU59" s="24">
        <f>IF(AY59&lt;&gt;-999,AY59*$DR59, -999)</f>
        <v>-2030906.8630930507</v>
      </c>
      <c r="DV59">
        <f t="shared" si="21"/>
        <v>-25.870999999999999</v>
      </c>
      <c r="DW59">
        <f>IF(AZ59&lt;&gt;-999,AZ59*$DV59, -999)</f>
        <v>-3504081.7829866847</v>
      </c>
      <c r="DX59">
        <f>IF(BA59&lt;&gt;-999,BA59*$DV59, -999)</f>
        <v>-999</v>
      </c>
      <c r="DY59" s="24">
        <f>IF(BB59&lt;&gt;-999,BB59*$DV59, -999)</f>
        <v>-3504081.7829866847</v>
      </c>
      <c r="DZ59">
        <f t="shared" si="22"/>
        <v>-25.245000000000001</v>
      </c>
      <c r="EA59">
        <f>IF(BC59&lt;&gt;-999, BC59*$DZ59, -999)</f>
        <v>-939732.7284633877</v>
      </c>
      <c r="EB59">
        <f>IF(BD59&lt;&gt;-999, BD59*$DZ59, -999)</f>
        <v>-999</v>
      </c>
      <c r="EC59" s="24">
        <f>IF(BE59&lt;&gt;-999, BE59*$DZ59, -999)</f>
        <v>-939732.7284633877</v>
      </c>
      <c r="ED59">
        <f t="shared" si="23"/>
        <v>-29.317</v>
      </c>
      <c r="EE59">
        <f>IF(BF59&lt;&gt;-999,BF59*$ED59, -999)</f>
        <v>-862861.48910963198</v>
      </c>
      <c r="EF59">
        <f>IF(BG59&lt;&gt;-999,BG59*$ED59, -999)</f>
        <v>-999</v>
      </c>
      <c r="EG59" s="24">
        <f>IF(BH59&lt;&gt;-999,BH59*$ED59, -999)</f>
        <v>-862861.48910963198</v>
      </c>
      <c r="EH59">
        <f t="shared" si="24"/>
        <v>-38.03</v>
      </c>
      <c r="EI59">
        <f>IF(BI59&lt;&gt;-999,BI59*$EH59, -999)</f>
        <v>-1488711.7811688727</v>
      </c>
      <c r="EJ59">
        <f>IF(BJ59&lt;&gt;-999,BJ59*$EH59, -999)</f>
        <v>-999</v>
      </c>
      <c r="EK59" s="24">
        <f>IF(BK59&lt;&gt;-999,BK59*$EH59, -999)</f>
        <v>-1488711.7811688727</v>
      </c>
      <c r="EL59" s="28">
        <f t="shared" si="25"/>
        <v>-11037741.491165336</v>
      </c>
      <c r="EM59" s="22">
        <f>-17.17-(0.1023*G59)+H59*(100+102.093-66.644-64.243)</f>
        <v>5.7883380600285008</v>
      </c>
      <c r="EN59">
        <f>IF(AT59&lt;&gt;-999,AT59*$EM59, -999)</f>
        <v>745521.37148638826</v>
      </c>
      <c r="EO59">
        <f>IF(AU59&lt;&gt;-999,AU59*$EM59, -999)</f>
        <v>-999</v>
      </c>
      <c r="EP59" s="23">
        <f>IF(AV59&lt;&gt;-999,AV59*$EM59, -999)</f>
        <v>745521.37148638826</v>
      </c>
      <c r="EQ59">
        <f>-19.943-(0.1023*G59)+H59*(100+102.093-66.644-64.243)</f>
        <v>3.0153380600284976</v>
      </c>
      <c r="ER59">
        <f>IF(AW59&lt;&gt;-999,AW59*$EQ59, -999)</f>
        <v>307068.68378165574</v>
      </c>
      <c r="ES59">
        <f>IF(AX59&lt;&gt;-999,AX59*$EQ59, -999)</f>
        <v>-999</v>
      </c>
      <c r="ET59" s="23">
        <f>IF(AY59&lt;&gt;-999,AY59*$EQ59, -999)</f>
        <v>307068.68378165574</v>
      </c>
      <c r="EU59">
        <f>-25.871-(0.1023*G59)+H59*(100+102.093-66.644-64.243)</f>
        <v>-2.9126619399714997</v>
      </c>
      <c r="EV59">
        <f>IF(AZ59&lt;&gt;-999,AZ59*$EU59, -999)</f>
        <v>-394503.71627895284</v>
      </c>
      <c r="EW59">
        <f>IF(BA59&lt;&gt;-999,BA59*$EU59, -999)</f>
        <v>-999</v>
      </c>
      <c r="EX59" s="23">
        <f>IF(BB59&lt;&gt;-999,BB59*$EU59, -999)</f>
        <v>-394503.71627895284</v>
      </c>
      <c r="EY59">
        <f>-25.245-(0.1023*G59)+H59*(100+102.093-66.644-64.243)</f>
        <v>-2.2866619399714949</v>
      </c>
      <c r="EZ59">
        <f>IF(BC59&lt;&gt;-999, BC59*$EY59, -999)</f>
        <v>-85119.867851962612</v>
      </c>
      <c r="FA59">
        <f>IF(BD59&lt;&gt;-999, BD59*$EY59, -999)</f>
        <v>-999</v>
      </c>
      <c r="FB59" s="23">
        <f>IF(BE59&lt;&gt;-999, BE59*$EY59, -999)</f>
        <v>-85119.867851962612</v>
      </c>
      <c r="FC59">
        <f>-29.317-(0.1023*G59)+H59*(100+102.093-66.644-64.243)</f>
        <v>-6.3586619399714976</v>
      </c>
      <c r="FD59">
        <f>IF(BF59&lt;&gt;-999,BF59*$FC59, -999)</f>
        <v>-187148.9071278967</v>
      </c>
      <c r="FE59">
        <f>IF(BG59&lt;&gt;-999,BG59*$FC59, -999)</f>
        <v>-999</v>
      </c>
      <c r="FF59" s="23">
        <f>IF(BH59&lt;&gt;-999,BH59*$FC59, -999)</f>
        <v>-187148.9071278967</v>
      </c>
      <c r="FG59">
        <f>-38.03-(0.1023*G59)+H59*(100+102.093-66.644-64.243)</f>
        <v>-15.071661939971506</v>
      </c>
      <c r="FH59">
        <f>IF(BI59&lt;&gt;-999,BI59*$FG59, -999)</f>
        <v>-589991.07788141165</v>
      </c>
      <c r="FI59">
        <f>IF(BJ59&lt;&gt;-999,BJ59*$FG59, -999)</f>
        <v>-999</v>
      </c>
      <c r="FJ59" s="23">
        <f>IF(BK59&lt;&gt;-999,BK59*$FG59, -999)</f>
        <v>-589991.07788141165</v>
      </c>
      <c r="FK59" s="28">
        <f t="shared" si="26"/>
        <v>-204173.51387217955</v>
      </c>
      <c r="FL59" s="22">
        <f t="shared" si="28"/>
        <v>10.012280000000011</v>
      </c>
      <c r="FM59">
        <f>IF(AT59&lt;&gt;-999,AT59*$FL59, -999)</f>
        <v>1289553.0012061857</v>
      </c>
      <c r="FN59">
        <f>IF(AU59&lt;&gt;-999,AU59*$FL59, -999)</f>
        <v>-999</v>
      </c>
      <c r="FO59" s="29">
        <f>IF(AV59&lt;&gt;-999,AV59*$FL59, -999)</f>
        <v>1289553.0012061857</v>
      </c>
      <c r="FP59">
        <f t="shared" si="29"/>
        <v>7.2392800000000115</v>
      </c>
      <c r="FQ59">
        <f>IF(AW59&lt;&gt;-999,AW59*$FP59, -999)</f>
        <v>737216.23807111674</v>
      </c>
      <c r="FR59">
        <f>IF(AX59&lt;&gt;-999,AX59*$FP59, -999)</f>
        <v>-999</v>
      </c>
      <c r="FS59" s="29">
        <f>IF(AY59&lt;&gt;-999,AY59*$FP59, -999)</f>
        <v>737216.23807111674</v>
      </c>
      <c r="FT59">
        <f t="shared" si="30"/>
        <v>1.3112800000000142</v>
      </c>
      <c r="FU59">
        <f>IF(AZ59&lt;&gt;-999,AZ59*$FT59, -999)</f>
        <v>177605.51816299447</v>
      </c>
      <c r="FV59">
        <f>IF(BA59&lt;&gt;-999,BA59*$FT59, -999)</f>
        <v>-999</v>
      </c>
      <c r="FW59" s="29">
        <f>IF(BB59&lt;&gt;-999,BB59*$FT59, -999)</f>
        <v>177605.51816299447</v>
      </c>
      <c r="FX59">
        <f t="shared" si="31"/>
        <v>1.9372800000000119</v>
      </c>
      <c r="FY59">
        <f>IF(BC59&lt;&gt;-999, BC59*$FX59, -999)</f>
        <v>72114.296700240156</v>
      </c>
      <c r="FZ59">
        <f>IF(BD59&lt;&gt;-999, BD59*$FX59, -999)</f>
        <v>-999</v>
      </c>
      <c r="GA59" s="29">
        <f>IF(BE59&lt;&gt;-999, BE59*$FX59, -999)</f>
        <v>72114.296700240156</v>
      </c>
      <c r="GB59">
        <f t="shared" si="32"/>
        <v>-2.1347199999999873</v>
      </c>
      <c r="GC59">
        <f>IF(BF59&lt;&gt;-999,BF59*$GB59, -999)</f>
        <v>-62829.337177477319</v>
      </c>
      <c r="GD59">
        <f>IF(BG59&lt;&gt;-999,BG59*$GB59, -999)</f>
        <v>-999</v>
      </c>
      <c r="GE59" s="29">
        <f>IF(BH59&lt;&gt;-999,BH59*$GB59, -999)</f>
        <v>-62829.337177477319</v>
      </c>
      <c r="GF59">
        <f t="shared" si="33"/>
        <v>-10.847719999999988</v>
      </c>
      <c r="GG59">
        <f>IF(BI59&lt;&gt;-999,BI59*$GF59, -999)</f>
        <v>-424641.82389748056</v>
      </c>
      <c r="GH59">
        <f>IF(BJ59&lt;&gt;-999,BJ59*$GF59, -999)</f>
        <v>-999</v>
      </c>
      <c r="GI59" s="29">
        <f>IF(BK59&lt;&gt;-999,BK59*$GF59, -999)</f>
        <v>-424641.82389748056</v>
      </c>
      <c r="GJ59" s="30">
        <f t="shared" si="27"/>
        <v>1789017.8930655792</v>
      </c>
    </row>
    <row r="60" spans="1:192">
      <c r="A60" s="48" t="s">
        <v>138</v>
      </c>
      <c r="B60" s="48" t="s">
        <v>199</v>
      </c>
      <c r="C60" s="49">
        <v>112</v>
      </c>
      <c r="D60" s="50">
        <v>0.88100000000000001</v>
      </c>
      <c r="E60" s="49">
        <v>190.104845345077</v>
      </c>
      <c r="F60" s="49">
        <v>0.76716473386459105</v>
      </c>
      <c r="G60" s="49">
        <v>79.360779755559605</v>
      </c>
      <c r="H60" s="49">
        <v>0.81780413428056797</v>
      </c>
      <c r="I60" s="42">
        <v>5826.2</v>
      </c>
      <c r="J60" s="43">
        <v>-999</v>
      </c>
      <c r="K60" s="43">
        <f t="shared" si="0"/>
        <v>5826.2</v>
      </c>
      <c r="L60" s="43">
        <v>4347.3</v>
      </c>
      <c r="M60" s="43">
        <v>-999</v>
      </c>
      <c r="N60" s="43">
        <f t="shared" si="1"/>
        <v>4347.3</v>
      </c>
      <c r="O60" s="43">
        <v>14737.7</v>
      </c>
      <c r="P60" s="43">
        <v>-999</v>
      </c>
      <c r="Q60" s="43">
        <f t="shared" si="2"/>
        <v>14737.7</v>
      </c>
      <c r="R60" s="43">
        <v>11683.9</v>
      </c>
      <c r="S60" s="43">
        <v>-999</v>
      </c>
      <c r="T60" s="43">
        <f t="shared" si="3"/>
        <v>11683.9</v>
      </c>
      <c r="U60" s="43">
        <v>8718</v>
      </c>
      <c r="V60" s="43">
        <v>-999</v>
      </c>
      <c r="W60" s="43">
        <f t="shared" si="4"/>
        <v>8718</v>
      </c>
      <c r="X60" s="43">
        <v>29554.9</v>
      </c>
      <c r="Y60" s="43">
        <v>-999</v>
      </c>
      <c r="Z60" s="43">
        <f t="shared" si="5"/>
        <v>29554.9</v>
      </c>
      <c r="AA60" s="22">
        <v>149043.1</v>
      </c>
      <c r="AB60">
        <v>-999</v>
      </c>
      <c r="AC60">
        <v>149043.1</v>
      </c>
      <c r="AD60">
        <v>111209.9</v>
      </c>
      <c r="AE60">
        <v>-999</v>
      </c>
      <c r="AF60">
        <v>111209.9</v>
      </c>
      <c r="AG60">
        <v>377012.1</v>
      </c>
      <c r="AH60">
        <v>-999</v>
      </c>
      <c r="AI60">
        <v>377012.1</v>
      </c>
      <c r="AJ60">
        <v>298890.90000000002</v>
      </c>
      <c r="AK60">
        <v>-999</v>
      </c>
      <c r="AL60">
        <v>298890.90000000002</v>
      </c>
      <c r="AM60">
        <v>223020.3</v>
      </c>
      <c r="AN60">
        <v>-999</v>
      </c>
      <c r="AO60">
        <v>223020.3</v>
      </c>
      <c r="AP60">
        <v>756059.6</v>
      </c>
      <c r="AQ60">
        <v>-999</v>
      </c>
      <c r="AR60">
        <v>756059.6</v>
      </c>
      <c r="AS60">
        <v>1915236.03</v>
      </c>
      <c r="AT60" s="22">
        <f t="shared" si="37"/>
        <v>248109.73467587252</v>
      </c>
      <c r="AU60">
        <f t="shared" si="37"/>
        <v>-999</v>
      </c>
      <c r="AV60">
        <f t="shared" si="37"/>
        <v>248109.73467587252</v>
      </c>
      <c r="AW60">
        <f t="shared" si="37"/>
        <v>185129.3939963025</v>
      </c>
      <c r="AX60">
        <f t="shared" si="37"/>
        <v>-999</v>
      </c>
      <c r="AY60">
        <f t="shared" si="37"/>
        <v>185129.3939963025</v>
      </c>
      <c r="AZ60">
        <f t="shared" si="37"/>
        <v>627606.18975714745</v>
      </c>
      <c r="BA60">
        <f t="shared" si="37"/>
        <v>-999</v>
      </c>
      <c r="BB60">
        <f t="shared" si="37"/>
        <v>627606.18975714745</v>
      </c>
      <c r="BC60">
        <f t="shared" si="37"/>
        <v>497559.04094877758</v>
      </c>
      <c r="BD60">
        <f t="shared" si="37"/>
        <v>-999</v>
      </c>
      <c r="BE60">
        <f t="shared" si="37"/>
        <v>497559.04094877758</v>
      </c>
      <c r="BF60">
        <f t="shared" si="37"/>
        <v>371258.43101984245</v>
      </c>
      <c r="BG60">
        <f t="shared" si="37"/>
        <v>-999</v>
      </c>
      <c r="BH60">
        <f t="shared" si="37"/>
        <v>371258.43101984245</v>
      </c>
      <c r="BI60">
        <f t="shared" si="35"/>
        <v>1258600.6782947099</v>
      </c>
      <c r="BJ60">
        <f t="shared" si="35"/>
        <v>-999</v>
      </c>
      <c r="BK60">
        <f t="shared" si="35"/>
        <v>1258600.6782947099</v>
      </c>
      <c r="BL60">
        <f t="shared" si="35"/>
        <v>3188263.6851016344</v>
      </c>
      <c r="BM60" s="22">
        <f>-17.17-(0.1023*E60)+F60*(100-8.576-13.681)</f>
        <v>23.023962226033532</v>
      </c>
      <c r="BN60">
        <f>IF(AT60&lt;&gt;-999,AT60*$BM60, -999)</f>
        <v>5712469.1590884905</v>
      </c>
      <c r="BO60">
        <f>IF(AU60&lt;&gt;-999,AU60*$BM60, -999)</f>
        <v>-999</v>
      </c>
      <c r="BP60" s="25">
        <f>IF(AV60&lt;&gt;-999,AV60*$BM60, -999)</f>
        <v>5712469.1590884905</v>
      </c>
      <c r="BQ60">
        <f>-19.943-(0.1023*E60)+F60*(100-8.576-13.681)</f>
        <v>20.250962226033536</v>
      </c>
      <c r="BR60">
        <f>IF(AW60&lt;&gt;-999,AW60*$BQ60, -999)</f>
        <v>3749048.3647476016</v>
      </c>
      <c r="BS60">
        <f>IF(AX60&lt;&gt;-999,AX60*$BQ60, -999)</f>
        <v>-999</v>
      </c>
      <c r="BT60" s="25">
        <f>IF(AY60&lt;&gt;-999,AY60*$BQ60, -999)</f>
        <v>3749048.3647476016</v>
      </c>
      <c r="BU60">
        <f>-25.871-(0.1023*E60)+F60*(100-8.576-13.681)</f>
        <v>14.322962226033539</v>
      </c>
      <c r="BV60">
        <f>IF(AZ60&lt;&gt;-999,AZ60*$BU60, -999)</f>
        <v>8989179.7487164605</v>
      </c>
      <c r="BW60">
        <f>IF(BA60&lt;&gt;-999,BA60*$BU60, -999)</f>
        <v>-999</v>
      </c>
      <c r="BX60" s="25">
        <f>IF(BB60&lt;&gt;-999,BB60*$BU60, -999)</f>
        <v>8989179.7487164605</v>
      </c>
      <c r="BY60">
        <f>-25.245-(0.1023*E60)+F60*(100-8.576-13.681)</f>
        <v>14.94896222603353</v>
      </c>
      <c r="BZ60">
        <f>IF(BC60&lt;&gt;-999,BC60*$BY60, -999)</f>
        <v>7437991.3083647462</v>
      </c>
      <c r="CA60">
        <f>IF(BD60&lt;&gt;-999,BD60*$BY60, -999)</f>
        <v>-999</v>
      </c>
      <c r="CB60" s="25">
        <f>IF(BE60&lt;&gt;-999,BE60*$BY60, -999)</f>
        <v>7437991.3083647462</v>
      </c>
      <c r="CC60">
        <f>-29.317-(0.1023*E60)+F60*(100-8.576-13.681)</f>
        <v>10.876962226033534</v>
      </c>
      <c r="CD60">
        <f>IF(BF60&lt;&gt;-999,BF60*$CC60, -999)</f>
        <v>4038163.9302993026</v>
      </c>
      <c r="CE60">
        <f>IF(BG60&lt;&gt;-999,BG60*$CC60, -999)</f>
        <v>-999</v>
      </c>
      <c r="CF60" s="25">
        <f>IF(BH60&lt;&gt;-999,BH60*$CC60, -999)</f>
        <v>4038163.9302993026</v>
      </c>
      <c r="CG60">
        <f>-38.03-(0.1023*E60)+F60*(100-8.576-13.681)</f>
        <v>2.1639622260335329</v>
      </c>
      <c r="CH60">
        <f>IF(BI60&lt;&gt;-999,BI60*$CG60, -999)</f>
        <v>2723564.325489935</v>
      </c>
      <c r="CI60">
        <f>IF(BJ60&lt;&gt;-999,BJ60*$CG60, -999)</f>
        <v>-999</v>
      </c>
      <c r="CJ60" s="25">
        <f>IF(BK60&lt;&gt;-999,BK60*$CG60, -999)</f>
        <v>2723564.325489935</v>
      </c>
      <c r="CK60" s="26">
        <f t="shared" si="8"/>
        <v>32650416.83670653</v>
      </c>
      <c r="CL60">
        <f t="shared" si="9"/>
        <v>-25.16081356130406</v>
      </c>
      <c r="CM60">
        <f t="shared" si="10"/>
        <v>34.07678951655236</v>
      </c>
      <c r="CN60">
        <f t="shared" si="11"/>
        <v>-83.375168351865554</v>
      </c>
      <c r="CO60" s="22">
        <f t="shared" si="12"/>
        <v>-40.08</v>
      </c>
      <c r="CP60">
        <f>IF(AT60&lt;&gt;-999,AT60*$CO60, -999)</f>
        <v>-9944238.1658089701</v>
      </c>
      <c r="CQ60">
        <f>IF(AU60&lt;&gt;-999,AU60*$CO60, -999)</f>
        <v>-999</v>
      </c>
      <c r="CR60" s="27">
        <f>IF(AV60&lt;&gt;-999,AV60*$CO60, -999)</f>
        <v>-9944238.1658089701</v>
      </c>
      <c r="CS60">
        <f t="shared" si="13"/>
        <v>-42.853000000000002</v>
      </c>
      <c r="CT60">
        <f>IF(AW60&lt;&gt;-999,AW60*$CS60, -999)</f>
        <v>-7933349.9209235515</v>
      </c>
      <c r="CU60">
        <f>IF(AX60&lt;&gt;-999,AX60*$CS60, -999)</f>
        <v>-999</v>
      </c>
      <c r="CV60" s="27">
        <f>IF(AY60&lt;&gt;-999,AY60*$CS60, -999)</f>
        <v>-7933349.9209235515</v>
      </c>
      <c r="CW60">
        <f t="shared" si="14"/>
        <v>-48.780999999999999</v>
      </c>
      <c r="CX60">
        <f>IF(AZ60&lt;&gt;-999,AZ60*$CO60, -999)</f>
        <v>-25154456.085466471</v>
      </c>
      <c r="CY60">
        <f>IF(BA60&lt;&gt;-999,BA60*$CO60, -999)</f>
        <v>-999</v>
      </c>
      <c r="CZ60" s="27">
        <f>IF(BB60&lt;&gt;-999,BB60*$CO60, -999)</f>
        <v>-25154456.085466471</v>
      </c>
      <c r="DA60">
        <f t="shared" si="15"/>
        <v>-48.155000000000001</v>
      </c>
      <c r="DB60">
        <f>IF(BC60&lt;&gt;-999,BC60*$DA60, -999)</f>
        <v>-23959955.616888385</v>
      </c>
      <c r="DC60">
        <f>IF(BD60&lt;&gt;-999,BD60*$DA60, -999)</f>
        <v>-999</v>
      </c>
      <c r="DD60" s="27">
        <f>IF(BE60&lt;&gt;-999,BE60*$DA60, -999)</f>
        <v>-23959955.616888385</v>
      </c>
      <c r="DE60">
        <f t="shared" si="16"/>
        <v>-52.227000000000004</v>
      </c>
      <c r="DF60">
        <f>IF(BF60&lt;&gt;-999,BF60*$DE60, -999)</f>
        <v>-19389714.076873314</v>
      </c>
      <c r="DG60">
        <f>IF(BG60&lt;&gt;-999,BG60*$DE60, -999)</f>
        <v>-999</v>
      </c>
      <c r="DH60" s="27">
        <f>IF(BH60&lt;&gt;-999,BH60*$DE60, -999)</f>
        <v>-19389714.076873314</v>
      </c>
      <c r="DI60">
        <f t="shared" si="17"/>
        <v>-60.94</v>
      </c>
      <c r="DJ60">
        <f>IF(BI60&lt;&gt;-999,BI60*$DI60, -999)</f>
        <v>-76699125.335279614</v>
      </c>
      <c r="DK60">
        <f>IF(BJ60&lt;&gt;-999,BJ60*$DI60, -999)</f>
        <v>-999</v>
      </c>
      <c r="DL60" s="27">
        <f>IF(BK60&lt;&gt;-999,BK60*$DI60, -999)</f>
        <v>-76699125.335279614</v>
      </c>
      <c r="DM60" s="28">
        <f t="shared" si="18"/>
        <v>-163080839.2012403</v>
      </c>
      <c r="DN60" s="22">
        <f t="shared" si="19"/>
        <v>-17.170000000000002</v>
      </c>
      <c r="DO60">
        <f>IF(AT60&lt;&gt;-999,AT60*$DN60, -999)</f>
        <v>-4260044.1443847315</v>
      </c>
      <c r="DP60">
        <f>IF(AU60&lt;&gt;-999,AU60*$DN60, -999)</f>
        <v>-999</v>
      </c>
      <c r="DQ60" s="24">
        <f>IF(AV60&lt;&gt;-999,AV60*$DN60, -999)</f>
        <v>-4260044.1443847315</v>
      </c>
      <c r="DR60">
        <f t="shared" si="20"/>
        <v>-19.943000000000001</v>
      </c>
      <c r="DS60">
        <f>IF(AW60&lt;&gt;-999,AW60*$DR60, -999)</f>
        <v>-3692035.5044682613</v>
      </c>
      <c r="DT60">
        <f>IF(AX60&lt;&gt;-999,AX60*$DR60, -999)</f>
        <v>-999</v>
      </c>
      <c r="DU60" s="24">
        <f>IF(AY60&lt;&gt;-999,AY60*$DR60, -999)</f>
        <v>-3692035.5044682613</v>
      </c>
      <c r="DV60">
        <f t="shared" si="21"/>
        <v>-25.870999999999999</v>
      </c>
      <c r="DW60">
        <f>IF(AZ60&lt;&gt;-999,AZ60*$DV60, -999)</f>
        <v>-16236799.735207161</v>
      </c>
      <c r="DX60">
        <f>IF(BA60&lt;&gt;-999,BA60*$DV60, -999)</f>
        <v>-999</v>
      </c>
      <c r="DY60" s="24">
        <f>IF(BB60&lt;&gt;-999,BB60*$DV60, -999)</f>
        <v>-16236799.735207161</v>
      </c>
      <c r="DZ60">
        <f t="shared" si="22"/>
        <v>-25.245000000000001</v>
      </c>
      <c r="EA60">
        <f>IF(BC60&lt;&gt;-999, BC60*$DZ60, -999)</f>
        <v>-12560877.98875189</v>
      </c>
      <c r="EB60">
        <f>IF(BD60&lt;&gt;-999, BD60*$DZ60, -999)</f>
        <v>-999</v>
      </c>
      <c r="EC60" s="24">
        <f>IF(BE60&lt;&gt;-999, BE60*$DZ60, -999)</f>
        <v>-12560877.98875189</v>
      </c>
      <c r="ED60">
        <f t="shared" si="23"/>
        <v>-29.317</v>
      </c>
      <c r="EE60">
        <f>IF(BF60&lt;&gt;-999,BF60*$ED60, -999)</f>
        <v>-10884183.422208721</v>
      </c>
      <c r="EF60">
        <f>IF(BG60&lt;&gt;-999,BG60*$ED60, -999)</f>
        <v>-999</v>
      </c>
      <c r="EG60" s="24">
        <f>IF(BH60&lt;&gt;-999,BH60*$ED60, -999)</f>
        <v>-10884183.422208721</v>
      </c>
      <c r="EH60">
        <f t="shared" si="24"/>
        <v>-38.03</v>
      </c>
      <c r="EI60">
        <f>IF(BI60&lt;&gt;-999,BI60*$EH60, -999)</f>
        <v>-47864583.795547821</v>
      </c>
      <c r="EJ60">
        <f>IF(BJ60&lt;&gt;-999,BJ60*$EH60, -999)</f>
        <v>-999</v>
      </c>
      <c r="EK60" s="24">
        <f>IF(BK60&lt;&gt;-999,BK60*$EH60, -999)</f>
        <v>-47864583.795547821</v>
      </c>
      <c r="EL60" s="28">
        <f t="shared" si="25"/>
        <v>-95498524.590568572</v>
      </c>
      <c r="EM60" s="22">
        <f>-17.17-(0.1023*G60)+H60*(100+102.093-66.644-64.243)</f>
        <v>32.943953416588386</v>
      </c>
      <c r="EN60">
        <f>IF(AT60&lt;&gt;-999,AT60*$EM60, -999)</f>
        <v>8173715.5413640486</v>
      </c>
      <c r="EO60">
        <f>IF(AU60&lt;&gt;-999,AU60*$EM60, -999)</f>
        <v>-999</v>
      </c>
      <c r="EP60" s="23">
        <f>IF(AV60&lt;&gt;-999,AV60*$EM60, -999)</f>
        <v>8173715.5413640486</v>
      </c>
      <c r="EQ60">
        <f>-19.943-(0.1023*G60)+H60*(100+102.093-66.644-64.243)</f>
        <v>30.170953416588386</v>
      </c>
      <c r="ER60">
        <f>IF(AW60&lt;&gt;-999,AW60*$EQ60, -999)</f>
        <v>5585530.3223036807</v>
      </c>
      <c r="ES60">
        <f>IF(AX60&lt;&gt;-999,AX60*$EQ60, -999)</f>
        <v>-999</v>
      </c>
      <c r="ET60" s="23">
        <f>IF(AY60&lt;&gt;-999,AY60*$EQ60, -999)</f>
        <v>5585530.3223036807</v>
      </c>
      <c r="EU60">
        <f>-25.871-(0.1023*G60)+H60*(100+102.093-66.644-64.243)</f>
        <v>24.242953416588385</v>
      </c>
      <c r="EV60">
        <f>IF(AZ60&lt;&gt;-999,AZ60*$EU60, -999)</f>
        <v>15215027.622245057</v>
      </c>
      <c r="EW60">
        <f>IF(BA60&lt;&gt;-999,BA60*$EU60, -999)</f>
        <v>-999</v>
      </c>
      <c r="EX60" s="23">
        <f>IF(BB60&lt;&gt;-999,BB60*$EU60, -999)</f>
        <v>15215027.622245057</v>
      </c>
      <c r="EY60">
        <f>-25.245-(0.1023*G60)+H60*(100+102.093-66.644-64.243)</f>
        <v>24.86895341658839</v>
      </c>
      <c r="EZ60">
        <f>IF(BC60&lt;&gt;-999, BC60*$EY60, -999)</f>
        <v>12373772.611357545</v>
      </c>
      <c r="FA60">
        <f>IF(BD60&lt;&gt;-999, BD60*$EY60, -999)</f>
        <v>-999</v>
      </c>
      <c r="FB60" s="23">
        <f>IF(BE60&lt;&gt;-999, BE60*$EY60, -999)</f>
        <v>12373772.611357545</v>
      </c>
      <c r="FC60">
        <f>-29.317-(0.1023*G60)+H60*(100+102.093-66.644-64.243)</f>
        <v>20.796953416588387</v>
      </c>
      <c r="FD60">
        <f>IF(BF60&lt;&gt;-999,BF60*$FC60, -999)</f>
        <v>7721044.2954353569</v>
      </c>
      <c r="FE60">
        <f>IF(BG60&lt;&gt;-999,BG60*$FC60, -999)</f>
        <v>-999</v>
      </c>
      <c r="FF60" s="23">
        <f>IF(BH60&lt;&gt;-999,BH60*$FC60, -999)</f>
        <v>7721044.2954353569</v>
      </c>
      <c r="FG60">
        <f>-38.03-(0.1023*G60)+H60*(100+102.093-66.644-64.243)</f>
        <v>12.083953416588386</v>
      </c>
      <c r="FH60">
        <f>IF(BI60&lt;&gt;-999,BI60*$FG60, -999)</f>
        <v>15208871.96659982</v>
      </c>
      <c r="FI60">
        <f>IF(BJ60&lt;&gt;-999,BJ60*$FG60, -999)</f>
        <v>-999</v>
      </c>
      <c r="FJ60" s="23">
        <f>IF(BK60&lt;&gt;-999,BK60*$FG60, -999)</f>
        <v>15208871.96659982</v>
      </c>
      <c r="FK60" s="28">
        <f t="shared" si="26"/>
        <v>64277962.359305508</v>
      </c>
      <c r="FL60" s="22">
        <f t="shared" si="28"/>
        <v>10.012280000000011</v>
      </c>
      <c r="FM60">
        <f>IF(AT60&lt;&gt;-999,AT60*$FL60, -999)</f>
        <v>2484144.1343005477</v>
      </c>
      <c r="FN60">
        <f>IF(AU60&lt;&gt;-999,AU60*$FL60, -999)</f>
        <v>-999</v>
      </c>
      <c r="FO60" s="29">
        <f>IF(AV60&lt;&gt;-999,AV60*$FL60, -999)</f>
        <v>2484144.1343005477</v>
      </c>
      <c r="FP60">
        <f t="shared" si="29"/>
        <v>7.2392800000000115</v>
      </c>
      <c r="FQ60">
        <f>IF(AW60&lt;&gt;-999,AW60*$FP60, -999)</f>
        <v>1340203.5193695549</v>
      </c>
      <c r="FR60">
        <f>IF(AX60&lt;&gt;-999,AX60*$FP60, -999)</f>
        <v>-999</v>
      </c>
      <c r="FS60" s="29">
        <f>IF(AY60&lt;&gt;-999,AY60*$FP60, -999)</f>
        <v>1340203.5193695549</v>
      </c>
      <c r="FT60">
        <f t="shared" si="30"/>
        <v>1.3112800000000142</v>
      </c>
      <c r="FU60">
        <f>IF(AZ60&lt;&gt;-999,AZ60*$FT60, -999)</f>
        <v>822967.44450476125</v>
      </c>
      <c r="FV60">
        <f>IF(BA60&lt;&gt;-999,BA60*$FT60, -999)</f>
        <v>-999</v>
      </c>
      <c r="FW60" s="29">
        <f>IF(BB60&lt;&gt;-999,BB60*$FT60, -999)</f>
        <v>822967.44450476125</v>
      </c>
      <c r="FX60">
        <f t="shared" si="31"/>
        <v>1.9372800000000119</v>
      </c>
      <c r="FY60">
        <f>IF(BC60&lt;&gt;-999, BC60*$FX60, -999)</f>
        <v>963911.17884925369</v>
      </c>
      <c r="FZ60">
        <f>IF(BD60&lt;&gt;-999, BD60*$FX60, -999)</f>
        <v>-999</v>
      </c>
      <c r="GA60" s="29">
        <f>IF(BE60&lt;&gt;-999, BE60*$FX60, -999)</f>
        <v>963911.17884925369</v>
      </c>
      <c r="GB60">
        <f t="shared" si="32"/>
        <v>-2.1347199999999873</v>
      </c>
      <c r="GC60">
        <f>IF(BF60&lt;&gt;-999,BF60*$GB60, -999)</f>
        <v>-792532.79786667333</v>
      </c>
      <c r="GD60">
        <f>IF(BG60&lt;&gt;-999,BG60*$GB60, -999)</f>
        <v>-999</v>
      </c>
      <c r="GE60" s="29">
        <f>IF(BH60&lt;&gt;-999,BH60*$GB60, -999)</f>
        <v>-792532.79786667333</v>
      </c>
      <c r="GF60">
        <f t="shared" si="33"/>
        <v>-10.847719999999988</v>
      </c>
      <c r="GG60">
        <f>IF(BI60&lt;&gt;-999,BI60*$GF60, -999)</f>
        <v>-13652947.749951076</v>
      </c>
      <c r="GH60">
        <f>IF(BJ60&lt;&gt;-999,BJ60*$GF60, -999)</f>
        <v>-999</v>
      </c>
      <c r="GI60" s="29">
        <f>IF(BK60&lt;&gt;-999,BK60*$GF60, -999)</f>
        <v>-13652947.749951076</v>
      </c>
      <c r="GJ60" s="30">
        <f t="shared" si="27"/>
        <v>-8834254.2707936317</v>
      </c>
    </row>
    <row r="61" spans="1:192">
      <c r="A61" s="48" t="s">
        <v>194</v>
      </c>
      <c r="B61" s="48" t="s">
        <v>200</v>
      </c>
      <c r="C61" s="49">
        <v>123</v>
      </c>
      <c r="D61" s="50">
        <v>0.88100000000000001</v>
      </c>
      <c r="E61" s="49">
        <v>152.111685320254</v>
      </c>
      <c r="F61" s="49">
        <v>0.77169482714303395</v>
      </c>
      <c r="G61" s="49">
        <v>234.85127900896799</v>
      </c>
      <c r="H61" s="49">
        <v>0.80667158649283599</v>
      </c>
      <c r="I61" s="42">
        <v>125229.9</v>
      </c>
      <c r="J61" s="43">
        <v>229821.1</v>
      </c>
      <c r="K61" s="43">
        <f t="shared" si="0"/>
        <v>355051</v>
      </c>
      <c r="L61" s="43">
        <v>55706.400000000001</v>
      </c>
      <c r="M61" s="43">
        <v>102232.1</v>
      </c>
      <c r="N61" s="43">
        <f t="shared" si="1"/>
        <v>157938.5</v>
      </c>
      <c r="O61" s="43">
        <v>105711.3</v>
      </c>
      <c r="P61" s="43">
        <v>194000.7</v>
      </c>
      <c r="Q61" s="43">
        <f t="shared" si="2"/>
        <v>299712</v>
      </c>
      <c r="R61" s="43">
        <v>74883.199999999997</v>
      </c>
      <c r="S61" s="43">
        <v>137425.20000000001</v>
      </c>
      <c r="T61" s="43">
        <f t="shared" si="3"/>
        <v>212308.40000000002</v>
      </c>
      <c r="U61" s="43">
        <v>33310.5</v>
      </c>
      <c r="V61" s="43">
        <v>61131.3</v>
      </c>
      <c r="W61" s="43">
        <f t="shared" si="4"/>
        <v>94441.8</v>
      </c>
      <c r="X61" s="43">
        <v>63211.7</v>
      </c>
      <c r="Y61" s="43">
        <v>116005.8</v>
      </c>
      <c r="Z61" s="43">
        <f t="shared" si="5"/>
        <v>179217.5</v>
      </c>
      <c r="AA61" s="22">
        <v>3497831.8</v>
      </c>
      <c r="AB61">
        <v>4494432.9000000004</v>
      </c>
      <c r="AC61">
        <v>7992264.7000000002</v>
      </c>
      <c r="AD61">
        <v>1555952.3</v>
      </c>
      <c r="AE61">
        <v>1999273.8</v>
      </c>
      <c r="AF61">
        <v>3555226.1</v>
      </c>
      <c r="AG61">
        <v>2952652.4</v>
      </c>
      <c r="AH61">
        <v>3793921.2</v>
      </c>
      <c r="AI61">
        <v>6746573.5</v>
      </c>
      <c r="AJ61">
        <v>2091583.6</v>
      </c>
      <c r="AK61">
        <v>2687516.9</v>
      </c>
      <c r="AL61">
        <v>4779100.5</v>
      </c>
      <c r="AM61">
        <v>930406.2</v>
      </c>
      <c r="AN61">
        <v>1195497.2</v>
      </c>
      <c r="AO61">
        <v>2125903.4</v>
      </c>
      <c r="AP61">
        <v>1765585</v>
      </c>
      <c r="AQ61">
        <v>2268634.9</v>
      </c>
      <c r="AR61">
        <v>4034219.8</v>
      </c>
      <c r="AS61">
        <v>29233288.010000002</v>
      </c>
      <c r="AT61" s="22">
        <f t="shared" si="37"/>
        <v>5822786.2936213044</v>
      </c>
      <c r="AU61">
        <f t="shared" si="37"/>
        <v>7481812.6725592278</v>
      </c>
      <c r="AV61">
        <f t="shared" si="37"/>
        <v>13304598.966180533</v>
      </c>
      <c r="AW61">
        <f t="shared" si="37"/>
        <v>2590169.6376505424</v>
      </c>
      <c r="AX61">
        <f t="shared" si="37"/>
        <v>3328160.0561342551</v>
      </c>
      <c r="AY61">
        <f t="shared" si="37"/>
        <v>5918329.6937847976</v>
      </c>
      <c r="AZ61">
        <f t="shared" si="37"/>
        <v>4915234.6103514899</v>
      </c>
      <c r="BA61">
        <f t="shared" si="37"/>
        <v>6315681.72101337</v>
      </c>
      <c r="BB61">
        <f t="shared" si="37"/>
        <v>11230916.164896414</v>
      </c>
      <c r="BC61">
        <f t="shared" si="37"/>
        <v>3481826.7470846102</v>
      </c>
      <c r="BD61">
        <f t="shared" si="37"/>
        <v>4473867.659730128</v>
      </c>
      <c r="BE61">
        <f t="shared" si="37"/>
        <v>7955694.4068147382</v>
      </c>
      <c r="BF61">
        <f t="shared" si="37"/>
        <v>1548832.7565837449</v>
      </c>
      <c r="BG61">
        <f t="shared" si="37"/>
        <v>1990125.6287459699</v>
      </c>
      <c r="BH61">
        <f t="shared" si="37"/>
        <v>3538958.3853297145</v>
      </c>
      <c r="BI61">
        <f t="shared" si="35"/>
        <v>2939141.938792875</v>
      </c>
      <c r="BJ61">
        <f t="shared" si="35"/>
        <v>3776561.2974731773</v>
      </c>
      <c r="BK61">
        <f t="shared" si="35"/>
        <v>6715703.0697976053</v>
      </c>
      <c r="BL61">
        <f t="shared" si="35"/>
        <v>48664200.70345065</v>
      </c>
      <c r="BM61" s="22">
        <f>-17.17-(0.1023*E61)+F61*(100-8.576-13.681)</f>
        <v>27.262845538318913</v>
      </c>
      <c r="BN61">
        <f>IF(AT61&lt;&gt;-999,AT61*$BM61, -999)</f>
        <v>158745723.32563812</v>
      </c>
      <c r="BO61">
        <f>IF(AU61&lt;&gt;-999,AU61*$BM61, -999)</f>
        <v>203975503.23861924</v>
      </c>
      <c r="BP61" s="25">
        <f>IF(AV61&lt;&gt;-999,AV61*$BM61, -999)</f>
        <v>362721226.56425738</v>
      </c>
      <c r="BQ61">
        <f>-19.943-(0.1023*E61)+F61*(100-8.576-13.681)</f>
        <v>24.48984553831891</v>
      </c>
      <c r="BR61">
        <f>IF(AW61&lt;&gt;-999,AW61*$BQ61, -999)</f>
        <v>63432854.344105244</v>
      </c>
      <c r="BS61">
        <f>IF(AX61&lt;&gt;-999,AX61*$BQ61, -999)</f>
        <v>81506125.701530695</v>
      </c>
      <c r="BT61" s="25">
        <f>IF(AY61&lt;&gt;-999,AY61*$BQ61, -999)</f>
        <v>144938980.04563594</v>
      </c>
      <c r="BU61">
        <f>-25.871-(0.1023*E61)+F61*(100-8.576-13.681)</f>
        <v>18.561845538318913</v>
      </c>
      <c r="BV61">
        <f>IF(AZ61&lt;&gt;-999,AZ61*$BU61, -999)</f>
        <v>91235825.621943504</v>
      </c>
      <c r="BW61">
        <f>IF(BA61&lt;&gt;-999,BA61*$BU61, -999)</f>
        <v>117230708.57463433</v>
      </c>
      <c r="BX61" s="25">
        <f>IF(BB61&lt;&gt;-999,BB61*$BU61, -999)</f>
        <v>208466531.10661626</v>
      </c>
      <c r="BY61">
        <f>-25.245-(0.1023*E61)+F61*(100-8.576-13.681)</f>
        <v>19.187845538318911</v>
      </c>
      <c r="BZ61">
        <f>IF(BC61&lt;&gt;-999,BC61*$BY61, -999)</f>
        <v>66808753.814246885</v>
      </c>
      <c r="CA61">
        <f>IF(BD61&lt;&gt;-999,BD61*$BY61, -999)</f>
        <v>85843881.613782004</v>
      </c>
      <c r="CB61" s="25">
        <f>IF(BE61&lt;&gt;-999,BE61*$BY61, -999)</f>
        <v>152652635.42802888</v>
      </c>
      <c r="CC61">
        <f>-29.317-(0.1023*E61)+F61*(100-8.576-13.681)</f>
        <v>15.115845538318915</v>
      </c>
      <c r="CD61">
        <f>IF(BF61&lt;&gt;-999,BF61*$CC61, -999)</f>
        <v>23411916.713208586</v>
      </c>
      <c r="CE61">
        <f>IF(BG61&lt;&gt;-999,BG61*$CC61, -999)</f>
        <v>30082431.605973892</v>
      </c>
      <c r="CF61" s="25">
        <f>IF(BH61&lt;&gt;-999,BH61*$CC61, -999)</f>
        <v>53494348.319182478</v>
      </c>
      <c r="CG61">
        <f>-38.03-(0.1023*E61)+F61*(100-8.576-13.681)</f>
        <v>6.402845538318914</v>
      </c>
      <c r="CH61">
        <f>IF(BI61&lt;&gt;-999,BI61*$CG61, -999)</f>
        <v>18818871.849285964</v>
      </c>
      <c r="CI61">
        <f>IF(BJ61&lt;&gt;-999,BJ61*$CG61, -999)</f>
        <v>24180738.653714024</v>
      </c>
      <c r="CJ61" s="25">
        <f>IF(BK61&lt;&gt;-999,BK61*$CG61, -999)</f>
        <v>42999609.437128231</v>
      </c>
      <c r="CK61" s="26">
        <f t="shared" si="8"/>
        <v>965273330.9008491</v>
      </c>
      <c r="CL61">
        <f t="shared" si="9"/>
        <v>-29.919032772959198</v>
      </c>
      <c r="CM61">
        <f t="shared" si="10"/>
        <v>28.970826795293107</v>
      </c>
      <c r="CN61">
        <f t="shared" si="11"/>
        <v>-87.791650845753722</v>
      </c>
      <c r="CO61" s="22">
        <f t="shared" si="12"/>
        <v>-40.08</v>
      </c>
      <c r="CP61">
        <f>IF(AT61&lt;&gt;-999,AT61*$CO61, -999)</f>
        <v>-233377274.64834186</v>
      </c>
      <c r="CQ61">
        <f>IF(AU61&lt;&gt;-999,AU61*$CO61, -999)</f>
        <v>-299871051.91617382</v>
      </c>
      <c r="CR61" s="27">
        <f>IF(AV61&lt;&gt;-999,AV61*$CO61, -999)</f>
        <v>-533248326.56451577</v>
      </c>
      <c r="CS61">
        <f t="shared" si="13"/>
        <v>-42.853000000000002</v>
      </c>
      <c r="CT61">
        <f>IF(AW61&lt;&gt;-999,AW61*$CS61, -999)</f>
        <v>-110996539.4822387</v>
      </c>
      <c r="CU61">
        <f>IF(AX61&lt;&gt;-999,AX61*$CS61, -999)</f>
        <v>-142621642.88552123</v>
      </c>
      <c r="CV61" s="27">
        <f>IF(AY61&lt;&gt;-999,AY61*$CS61, -999)</f>
        <v>-253618182.36775994</v>
      </c>
      <c r="CW61">
        <f t="shared" si="14"/>
        <v>-48.780999999999999</v>
      </c>
      <c r="CX61">
        <f>IF(AZ61&lt;&gt;-999,AZ61*$CO61, -999)</f>
        <v>-197002603.1828877</v>
      </c>
      <c r="CY61">
        <f>IF(BA61&lt;&gt;-999,BA61*$CO61, -999)</f>
        <v>-253132523.37821585</v>
      </c>
      <c r="CZ61" s="27">
        <f>IF(BB61&lt;&gt;-999,BB61*$CO61, -999)</f>
        <v>-450135119.88904822</v>
      </c>
      <c r="DA61">
        <f t="shared" si="15"/>
        <v>-48.155000000000001</v>
      </c>
      <c r="DB61">
        <f>IF(BC61&lt;&gt;-999,BC61*$DA61, -999)</f>
        <v>-167667367.0058594</v>
      </c>
      <c r="DC61">
        <f>IF(BD61&lt;&gt;-999,BD61*$DA61, -999)</f>
        <v>-215439097.15430433</v>
      </c>
      <c r="DD61" s="27">
        <f>IF(BE61&lt;&gt;-999,BE61*$DA61, -999)</f>
        <v>-383106464.1601637</v>
      </c>
      <c r="DE61">
        <f t="shared" si="16"/>
        <v>-52.227000000000004</v>
      </c>
      <c r="DF61">
        <f>IF(BF61&lt;&gt;-999,BF61*$DE61, -999)</f>
        <v>-80890888.378099248</v>
      </c>
      <c r="DG61">
        <f>IF(BG61&lt;&gt;-999,BG61*$DE61, -999)</f>
        <v>-103938291.21251577</v>
      </c>
      <c r="DH61" s="27">
        <f>IF(BH61&lt;&gt;-999,BH61*$DE61, -999)</f>
        <v>-184829179.590615</v>
      </c>
      <c r="DI61">
        <f t="shared" si="17"/>
        <v>-60.94</v>
      </c>
      <c r="DJ61">
        <f>IF(BI61&lt;&gt;-999,BI61*$DI61, -999)</f>
        <v>-179111309.75003779</v>
      </c>
      <c r="DK61">
        <f>IF(BJ61&lt;&gt;-999,BJ61*$DI61, -999)</f>
        <v>-230143645.4680154</v>
      </c>
      <c r="DL61" s="27">
        <f>IF(BK61&lt;&gt;-999,BK61*$DI61, -999)</f>
        <v>-409254945.07346606</v>
      </c>
      <c r="DM61" s="28">
        <f t="shared" si="18"/>
        <v>-2214192217.6455688</v>
      </c>
      <c r="DN61" s="22">
        <f t="shared" si="19"/>
        <v>-17.170000000000002</v>
      </c>
      <c r="DO61">
        <f>IF(AT61&lt;&gt;-999,AT61*$DN61, -999)</f>
        <v>-99977240.661477804</v>
      </c>
      <c r="DP61">
        <f>IF(AU61&lt;&gt;-999,AU61*$DN61, -999)</f>
        <v>-128462723.58784196</v>
      </c>
      <c r="DQ61" s="24">
        <f>IF(AV61&lt;&gt;-999,AV61*$DN61, -999)</f>
        <v>-228439964.24931979</v>
      </c>
      <c r="DR61">
        <f t="shared" si="20"/>
        <v>-19.943000000000001</v>
      </c>
      <c r="DS61">
        <f>IF(AW61&lt;&gt;-999,AW61*$DR61, -999)</f>
        <v>-51655753.083664775</v>
      </c>
      <c r="DT61">
        <f>IF(AX61&lt;&gt;-999,AX61*$DR61, -999)</f>
        <v>-66373495.999485455</v>
      </c>
      <c r="DU61" s="24">
        <f>IF(AY61&lt;&gt;-999,AY61*$DR61, -999)</f>
        <v>-118029249.08315022</v>
      </c>
      <c r="DV61">
        <f t="shared" si="21"/>
        <v>-25.870999999999999</v>
      </c>
      <c r="DW61">
        <f>IF(AZ61&lt;&gt;-999,AZ61*$DV61, -999)</f>
        <v>-127162034.60440339</v>
      </c>
      <c r="DX61">
        <f>IF(BA61&lt;&gt;-999,BA61*$DV61, -999)</f>
        <v>-163393001.80433688</v>
      </c>
      <c r="DY61" s="24">
        <f>IF(BB61&lt;&gt;-999,BB61*$DV61, -999)</f>
        <v>-290555032.10203511</v>
      </c>
      <c r="DZ61">
        <f t="shared" si="22"/>
        <v>-25.245000000000001</v>
      </c>
      <c r="EA61">
        <f>IF(BC61&lt;&gt;-999, BC61*$DZ61, -999)</f>
        <v>-87898716.230150983</v>
      </c>
      <c r="EB61">
        <f>IF(BD61&lt;&gt;-999, BD61*$DZ61, -999)</f>
        <v>-112942789.06988709</v>
      </c>
      <c r="EC61" s="24">
        <f>IF(BE61&lt;&gt;-999, BE61*$DZ61, -999)</f>
        <v>-200841505.30003807</v>
      </c>
      <c r="ED61">
        <f t="shared" si="23"/>
        <v>-29.317</v>
      </c>
      <c r="EE61">
        <f>IF(BF61&lt;&gt;-999,BF61*$ED61, -999)</f>
        <v>-45407129.924765646</v>
      </c>
      <c r="EF61">
        <f>IF(BG61&lt;&gt;-999,BG61*$ED61, -999)</f>
        <v>-58344513.057945602</v>
      </c>
      <c r="EG61" s="24">
        <f>IF(BH61&lt;&gt;-999,BH61*$ED61, -999)</f>
        <v>-103751642.98271124</v>
      </c>
      <c r="EH61">
        <f t="shared" si="24"/>
        <v>-38.03</v>
      </c>
      <c r="EI61">
        <f>IF(BI61&lt;&gt;-999,BI61*$EH61, -999)</f>
        <v>-111775567.93229304</v>
      </c>
      <c r="EJ61">
        <f>IF(BJ61&lt;&gt;-999,BJ61*$EH61, -999)</f>
        <v>-143622626.14290494</v>
      </c>
      <c r="EK61" s="24">
        <f>IF(BK61&lt;&gt;-999,BK61*$EH61, -999)</f>
        <v>-255398187.74440295</v>
      </c>
      <c r="EL61" s="28">
        <f t="shared" si="25"/>
        <v>-1197015581.4616573</v>
      </c>
      <c r="EM61" s="22">
        <f>-17.17-(0.1023*G61)+H61*(100+102.093-66.644-64.243)</f>
        <v>16.244571145191472</v>
      </c>
      <c r="EN61">
        <f>IF(AT61&lt;&gt;-999,AT61*$EM61, -999)</f>
        <v>94588666.209977046</v>
      </c>
      <c r="EO61">
        <f>IF(AU61&lt;&gt;-999,AU61*$EM61, -999)</f>
        <v>121538838.25438352</v>
      </c>
      <c r="EP61" s="23">
        <f>IF(AV61&lt;&gt;-999,AV61*$EM61, -999)</f>
        <v>216127504.46436056</v>
      </c>
      <c r="EQ61">
        <f>-19.943-(0.1023*G61)+H61*(100+102.093-66.644-64.243)</f>
        <v>13.471571145191469</v>
      </c>
      <c r="ER61">
        <f>IF(AW61&lt;&gt;-999,AW61*$EQ61, -999)</f>
        <v>34893654.551724091</v>
      </c>
      <c r="ES61">
        <f>IF(AX61&lt;&gt;-999,AX61*$EQ61, -999)</f>
        <v>44835544.978797048</v>
      </c>
      <c r="ET61" s="23">
        <f>IF(AY61&lt;&gt;-999,AY61*$EQ61, -999)</f>
        <v>79729199.53052114</v>
      </c>
      <c r="EU61">
        <f>-25.871-(0.1023*G61)+H61*(100+102.093-66.644-64.243)</f>
        <v>7.5435711451914713</v>
      </c>
      <c r="EV61">
        <f>IF(AZ61&lt;&gt;-999,AZ61*$EU61, -999)</f>
        <v>37078421.978493944</v>
      </c>
      <c r="EW61">
        <f>IF(BA61&lt;&gt;-999,BA61*$EU61, -999)</f>
        <v>47642794.392849669</v>
      </c>
      <c r="EX61" s="23">
        <f>IF(BB61&lt;&gt;-999,BB61*$EU61, -999)</f>
        <v>84721215.115577042</v>
      </c>
      <c r="EY61">
        <f>-25.245-(0.1023*G61)+H61*(100+102.093-66.644-64.243)</f>
        <v>8.169571145191469</v>
      </c>
      <c r="EZ61">
        <f>IF(BC61&lt;&gt;-999, BC61*$EY61, -999)</f>
        <v>28445031.325538307</v>
      </c>
      <c r="FA61">
        <f>IF(BD61&lt;&gt;-999, BD61*$EY61, -999)</f>
        <v>36549580.140336536</v>
      </c>
      <c r="FB61" s="23">
        <f>IF(BE61&lt;&gt;-999, BE61*$EY61, -999)</f>
        <v>64994611.465874843</v>
      </c>
      <c r="FC61">
        <f>-29.317-(0.1023*G61)+H61*(100+102.093-66.644-64.243)</f>
        <v>4.0975711451914663</v>
      </c>
      <c r="FD61">
        <f>IF(BF61&lt;&gt;-999,BF61*$FC61, -999)</f>
        <v>6346452.4121049112</v>
      </c>
      <c r="FE61">
        <f>IF(BG61&lt;&gt;-999,BG61*$FC61, -999)</f>
        <v>8154681.3516555103</v>
      </c>
      <c r="FF61" s="23">
        <f>IF(BH61&lt;&gt;-999,BH61*$FC61, -999)</f>
        <v>14501133.763760421</v>
      </c>
      <c r="FG61">
        <f>-38.03-(0.1023*G61)+H61*(100+102.093-66.644-64.243)</f>
        <v>-4.6154288548085276</v>
      </c>
      <c r="FH61">
        <f>IF(BI61&lt;&gt;-999,BI61*$FG61, -999)</f>
        <v>-13565400.512682514</v>
      </c>
      <c r="FI61">
        <f>IF(BJ61&lt;&gt;-999,BJ61*$FG61, -999)</f>
        <v>-17430449.984310836</v>
      </c>
      <c r="FJ61" s="23">
        <f>IF(BK61&lt;&gt;-999,BK61*$FG61, -999)</f>
        <v>-30995849.728670076</v>
      </c>
      <c r="FK61" s="28">
        <f t="shared" si="26"/>
        <v>429077814.61142397</v>
      </c>
      <c r="FL61" s="22">
        <f t="shared" si="28"/>
        <v>10.012280000000011</v>
      </c>
      <c r="FM61">
        <f>IF(AT61&lt;&gt;-999,AT61*$FL61, -999)</f>
        <v>58299366.75189878</v>
      </c>
      <c r="FN61">
        <f>IF(AU61&lt;&gt;-999,AU61*$FL61, -999)</f>
        <v>74910003.385211393</v>
      </c>
      <c r="FO61" s="29">
        <f>IF(AV61&lt;&gt;-999,AV61*$FL61, -999)</f>
        <v>133209370.13711017</v>
      </c>
      <c r="FP61">
        <f t="shared" si="29"/>
        <v>7.2392800000000115</v>
      </c>
      <c r="FQ61">
        <f>IF(AW61&lt;&gt;-999,AW61*$FP61, -999)</f>
        <v>18750963.25445085</v>
      </c>
      <c r="FR61">
        <f>IF(AX61&lt;&gt;-999,AX61*$FP61, -999)</f>
        <v>24093482.531171627</v>
      </c>
      <c r="FS61" s="29">
        <f>IF(AY61&lt;&gt;-999,AY61*$FP61, -999)</f>
        <v>42844445.785622478</v>
      </c>
      <c r="FT61">
        <f t="shared" si="30"/>
        <v>1.3112800000000142</v>
      </c>
      <c r="FU61">
        <f>IF(AZ61&lt;&gt;-999,AZ61*$FT61, -999)</f>
        <v>6445248.8398617711</v>
      </c>
      <c r="FV61">
        <f>IF(BA61&lt;&gt;-999,BA61*$FT61, -999)</f>
        <v>8281627.1271305019</v>
      </c>
      <c r="FW61" s="29">
        <f>IF(BB61&lt;&gt;-999,BB61*$FT61, -999)</f>
        <v>14726875.748705529</v>
      </c>
      <c r="FX61">
        <f t="shared" si="31"/>
        <v>1.9372800000000119</v>
      </c>
      <c r="FY61">
        <f>IF(BC61&lt;&gt;-999, BC61*$FX61, -999)</f>
        <v>6745273.3205921147</v>
      </c>
      <c r="FZ61">
        <f>IF(BD61&lt;&gt;-999, BD61*$FX61, -999)</f>
        <v>8667134.3398420364</v>
      </c>
      <c r="GA61" s="29">
        <f>IF(BE61&lt;&gt;-999, BE61*$FX61, -999)</f>
        <v>15412407.660434151</v>
      </c>
      <c r="GB61">
        <f t="shared" si="32"/>
        <v>-2.1347199999999873</v>
      </c>
      <c r="GC61">
        <f>IF(BF61&lt;&gt;-999,BF61*$GB61, -999)</f>
        <v>-3306324.2621344323</v>
      </c>
      <c r="GD61">
        <f>IF(BG61&lt;&gt;-999,BG61*$GB61, -999)</f>
        <v>-4248360.9821965713</v>
      </c>
      <c r="GE61" s="29">
        <f>IF(BH61&lt;&gt;-999,BH61*$GB61, -999)</f>
        <v>-7554685.2443310032</v>
      </c>
      <c r="GF61">
        <f t="shared" si="33"/>
        <v>-10.847719999999988</v>
      </c>
      <c r="GG61">
        <f>IF(BI61&lt;&gt;-999,BI61*$GF61, -999)</f>
        <v>-31882988.792282213</v>
      </c>
      <c r="GH61">
        <f>IF(BJ61&lt;&gt;-999,BJ61*$GF61, -999)</f>
        <v>-40967079.517825693</v>
      </c>
      <c r="GI61" s="29">
        <f>IF(BK61&lt;&gt;-999,BK61*$GF61, -999)</f>
        <v>-72850066.504304796</v>
      </c>
      <c r="GJ61" s="30">
        <f t="shared" si="27"/>
        <v>125788347.58323655</v>
      </c>
    </row>
    <row r="62" spans="1:192">
      <c r="A62" s="48" t="s">
        <v>161</v>
      </c>
      <c r="B62" s="48" t="s">
        <v>201</v>
      </c>
      <c r="C62" s="49">
        <v>27</v>
      </c>
      <c r="D62" s="50">
        <v>0.88</v>
      </c>
      <c r="E62" s="49">
        <v>116.298935561492</v>
      </c>
      <c r="F62" s="49">
        <v>0.79139211807422905</v>
      </c>
      <c r="G62" s="49">
        <v>70.904286115781005</v>
      </c>
      <c r="H62" s="49">
        <v>0.81841417951287498</v>
      </c>
      <c r="I62" s="42">
        <v>30680.6</v>
      </c>
      <c r="J62" s="43">
        <v>-999</v>
      </c>
      <c r="K62" s="43">
        <f t="shared" si="0"/>
        <v>30680.6</v>
      </c>
      <c r="L62" s="43">
        <v>10360.9</v>
      </c>
      <c r="M62" s="43">
        <v>-999</v>
      </c>
      <c r="N62" s="43">
        <f t="shared" si="1"/>
        <v>10360.9</v>
      </c>
      <c r="O62" s="43">
        <v>43428.7</v>
      </c>
      <c r="P62" s="43">
        <v>-999</v>
      </c>
      <c r="Q62" s="43">
        <f t="shared" si="2"/>
        <v>43428.7</v>
      </c>
      <c r="R62" s="43">
        <v>10754.3</v>
      </c>
      <c r="S62" s="43">
        <v>-999</v>
      </c>
      <c r="T62" s="43">
        <f t="shared" si="3"/>
        <v>10754.3</v>
      </c>
      <c r="U62" s="43">
        <v>3631.7</v>
      </c>
      <c r="V62" s="43">
        <v>-999</v>
      </c>
      <c r="W62" s="43">
        <f t="shared" si="4"/>
        <v>3631.7</v>
      </c>
      <c r="X62" s="43">
        <v>15222.8</v>
      </c>
      <c r="Y62" s="43">
        <v>-999</v>
      </c>
      <c r="Z62" s="43">
        <f t="shared" si="5"/>
        <v>15222.8</v>
      </c>
      <c r="AA62" s="22">
        <v>129861.9</v>
      </c>
      <c r="AB62">
        <v>-999</v>
      </c>
      <c r="AC62">
        <v>129861.9</v>
      </c>
      <c r="AD62">
        <v>43854.5</v>
      </c>
      <c r="AE62">
        <v>-999</v>
      </c>
      <c r="AF62">
        <v>43854.5</v>
      </c>
      <c r="AG62">
        <v>183820.7</v>
      </c>
      <c r="AH62">
        <v>-999</v>
      </c>
      <c r="AI62">
        <v>183820.7</v>
      </c>
      <c r="AJ62">
        <v>45519.7</v>
      </c>
      <c r="AK62">
        <v>-999</v>
      </c>
      <c r="AL62">
        <v>45519.7</v>
      </c>
      <c r="AM62">
        <v>15372.1</v>
      </c>
      <c r="AN62">
        <v>-999</v>
      </c>
      <c r="AO62">
        <v>15372.1</v>
      </c>
      <c r="AP62">
        <v>64433.599999999999</v>
      </c>
      <c r="AQ62">
        <v>-999</v>
      </c>
      <c r="AR62">
        <v>64433.599999999999</v>
      </c>
      <c r="AS62">
        <v>482862.38</v>
      </c>
      <c r="AT62" s="22">
        <f t="shared" si="37"/>
        <v>216179.08882400248</v>
      </c>
      <c r="AU62">
        <f t="shared" si="37"/>
        <v>-999</v>
      </c>
      <c r="AV62">
        <f t="shared" si="37"/>
        <v>216179.08882400248</v>
      </c>
      <c r="AW62">
        <f t="shared" si="37"/>
        <v>73003.905308887493</v>
      </c>
      <c r="AX62">
        <f t="shared" si="37"/>
        <v>-999</v>
      </c>
      <c r="AY62">
        <f t="shared" si="37"/>
        <v>73003.905308887493</v>
      </c>
      <c r="AZ62">
        <f t="shared" si="37"/>
        <v>306003.4654736325</v>
      </c>
      <c r="BA62">
        <f t="shared" si="37"/>
        <v>-999</v>
      </c>
      <c r="BB62">
        <f t="shared" si="37"/>
        <v>306003.4654736325</v>
      </c>
      <c r="BC62">
        <f t="shared" si="37"/>
        <v>75775.937896657502</v>
      </c>
      <c r="BD62">
        <f t="shared" si="37"/>
        <v>-999</v>
      </c>
      <c r="BE62">
        <f t="shared" si="37"/>
        <v>75775.937896657502</v>
      </c>
      <c r="BF62">
        <f t="shared" si="37"/>
        <v>25589.696218147503</v>
      </c>
      <c r="BG62">
        <f t="shared" si="37"/>
        <v>-999</v>
      </c>
      <c r="BH62">
        <f t="shared" si="37"/>
        <v>25589.696218147503</v>
      </c>
      <c r="BI62">
        <f t="shared" si="35"/>
        <v>107261.61358835999</v>
      </c>
      <c r="BJ62">
        <f t="shared" si="35"/>
        <v>-999</v>
      </c>
      <c r="BK62">
        <f t="shared" si="35"/>
        <v>107261.61358835999</v>
      </c>
      <c r="BL62">
        <f t="shared" si="35"/>
        <v>803813.50754755049</v>
      </c>
      <c r="BM62" s="22">
        <f>-17.17-(0.1023*E62)+F62*(100-8.576-13.681)</f>
        <v>32.457816327504162</v>
      </c>
      <c r="BN62">
        <f>IF(AT62&lt;&gt;-999,AT62*$BM62, -999)</f>
        <v>7016701.15889668</v>
      </c>
      <c r="BO62">
        <f>IF(AU62&lt;&gt;-999,AU62*$BM62, -999)</f>
        <v>-999</v>
      </c>
      <c r="BP62" s="25">
        <f>IF(AV62&lt;&gt;-999,AV62*$BM62, -999)</f>
        <v>7016701.15889668</v>
      </c>
      <c r="BQ62">
        <f>-19.943-(0.1023*E62)+F62*(100-8.576-13.681)</f>
        <v>29.684816327504162</v>
      </c>
      <c r="BR62">
        <f>IF(AW62&lt;&gt;-999,AW62*$BQ62, -999)</f>
        <v>2167107.5202848311</v>
      </c>
      <c r="BS62">
        <f>IF(AX62&lt;&gt;-999,AX62*$BQ62, -999)</f>
        <v>-999</v>
      </c>
      <c r="BT62" s="25">
        <f>IF(AY62&lt;&gt;-999,AY62*$BQ62, -999)</f>
        <v>2167107.5202848311</v>
      </c>
      <c r="BU62">
        <f>-25.871-(0.1023*E62)+F62*(100-8.576-13.681)</f>
        <v>23.756816327504168</v>
      </c>
      <c r="BV62">
        <f>IF(AZ62&lt;&gt;-999,AZ62*$BU62, -999)</f>
        <v>7269668.1248368509</v>
      </c>
      <c r="BW62">
        <f>IF(BA62&lt;&gt;-999,BA62*$BU62, -999)</f>
        <v>-999</v>
      </c>
      <c r="BX62" s="25">
        <f>IF(BB62&lt;&gt;-999,BB62*$BU62, -999)</f>
        <v>7269668.1248368509</v>
      </c>
      <c r="BY62">
        <f>-25.245-(0.1023*E62)+F62*(100-8.576-13.681)</f>
        <v>24.382816327504159</v>
      </c>
      <c r="BZ62">
        <f>IF(BC62&lt;&gt;-999,BC62*$BY62, -999)</f>
        <v>1847630.7757785616</v>
      </c>
      <c r="CA62">
        <f>IF(BD62&lt;&gt;-999,BD62*$BY62, -999)</f>
        <v>-999</v>
      </c>
      <c r="CB62" s="25">
        <f>IF(BE62&lt;&gt;-999,BE62*$BY62, -999)</f>
        <v>1847630.7757785616</v>
      </c>
      <c r="CC62">
        <f>-29.317-(0.1023*E62)+F62*(100-8.576-13.681)</f>
        <v>20.310816327504163</v>
      </c>
      <c r="CD62">
        <f>IF(BF62&lt;&gt;-999,BF62*$CC62, -999)</f>
        <v>519747.61976342183</v>
      </c>
      <c r="CE62">
        <f>IF(BG62&lt;&gt;-999,BG62*$CC62, -999)</f>
        <v>-999</v>
      </c>
      <c r="CF62" s="25">
        <f>IF(BH62&lt;&gt;-999,BH62*$CC62, -999)</f>
        <v>519747.61976342183</v>
      </c>
      <c r="CG62">
        <f>-38.03-(0.1023*E62)+F62*(100-8.576-13.681)</f>
        <v>11.597816327504162</v>
      </c>
      <c r="CH62">
        <f>IF(BI62&lt;&gt;-999,BI62*$CG62, -999)</f>
        <v>1244000.4933895238</v>
      </c>
      <c r="CI62">
        <f>IF(BJ62&lt;&gt;-999,BJ62*$CG62, -999)</f>
        <v>-999</v>
      </c>
      <c r="CJ62" s="25">
        <f>IF(BK62&lt;&gt;-999,BK62*$CG62, -999)</f>
        <v>1244000.4933895238</v>
      </c>
      <c r="CK62" s="26">
        <f t="shared" si="8"/>
        <v>20064855.692949869</v>
      </c>
      <c r="CL62">
        <f t="shared" si="9"/>
        <v>-33.249768249035249</v>
      </c>
      <c r="CM62">
        <f t="shared" si="10"/>
        <v>24.174356861770399</v>
      </c>
      <c r="CN62">
        <f t="shared" si="11"/>
        <v>-89.681970415358947</v>
      </c>
      <c r="CO62" s="22">
        <f t="shared" si="12"/>
        <v>-40.08</v>
      </c>
      <c r="CP62">
        <f>IF(AT62&lt;&gt;-999,AT62*$CO62, -999)</f>
        <v>-8664457.8800660186</v>
      </c>
      <c r="CQ62">
        <f>IF(AU62&lt;&gt;-999,AU62*$CO62, -999)</f>
        <v>-999</v>
      </c>
      <c r="CR62" s="27">
        <f>IF(AV62&lt;&gt;-999,AV62*$CO62, -999)</f>
        <v>-8664457.8800660186</v>
      </c>
      <c r="CS62">
        <f t="shared" si="13"/>
        <v>-42.853000000000002</v>
      </c>
      <c r="CT62">
        <f>IF(AW62&lt;&gt;-999,AW62*$CS62, -999)</f>
        <v>-3128436.354201756</v>
      </c>
      <c r="CU62">
        <f>IF(AX62&lt;&gt;-999,AX62*$CS62, -999)</f>
        <v>-999</v>
      </c>
      <c r="CV62" s="27">
        <f>IF(AY62&lt;&gt;-999,AY62*$CS62, -999)</f>
        <v>-3128436.354201756</v>
      </c>
      <c r="CW62">
        <f t="shared" si="14"/>
        <v>-48.780999999999999</v>
      </c>
      <c r="CX62">
        <f>IF(AZ62&lt;&gt;-999,AZ62*$CO62, -999)</f>
        <v>-12264618.896183191</v>
      </c>
      <c r="CY62">
        <f>IF(BA62&lt;&gt;-999,BA62*$CO62, -999)</f>
        <v>-999</v>
      </c>
      <c r="CZ62" s="27">
        <f>IF(BB62&lt;&gt;-999,BB62*$CO62, -999)</f>
        <v>-12264618.896183191</v>
      </c>
      <c r="DA62">
        <f t="shared" si="15"/>
        <v>-48.155000000000001</v>
      </c>
      <c r="DB62">
        <f>IF(BC62&lt;&gt;-999,BC62*$DA62, -999)</f>
        <v>-3648990.289413542</v>
      </c>
      <c r="DC62">
        <f>IF(BD62&lt;&gt;-999,BD62*$DA62, -999)</f>
        <v>-999</v>
      </c>
      <c r="DD62" s="27">
        <f>IF(BE62&lt;&gt;-999,BE62*$DA62, -999)</f>
        <v>-3648990.289413542</v>
      </c>
      <c r="DE62">
        <f t="shared" si="16"/>
        <v>-52.227000000000004</v>
      </c>
      <c r="DF62">
        <f>IF(BF62&lt;&gt;-999,BF62*$DE62, -999)</f>
        <v>-1336473.0643851897</v>
      </c>
      <c r="DG62">
        <f>IF(BG62&lt;&gt;-999,BG62*$DE62, -999)</f>
        <v>-999</v>
      </c>
      <c r="DH62" s="27">
        <f>IF(BH62&lt;&gt;-999,BH62*$DE62, -999)</f>
        <v>-1336473.0643851897</v>
      </c>
      <c r="DI62">
        <f t="shared" si="17"/>
        <v>-60.94</v>
      </c>
      <c r="DJ62">
        <f>IF(BI62&lt;&gt;-999,BI62*$DI62, -999)</f>
        <v>-6536522.7320746575</v>
      </c>
      <c r="DK62">
        <f>IF(BJ62&lt;&gt;-999,BJ62*$DI62, -999)</f>
        <v>-999</v>
      </c>
      <c r="DL62" s="27">
        <f>IF(BK62&lt;&gt;-999,BK62*$DI62, -999)</f>
        <v>-6536522.7320746575</v>
      </c>
      <c r="DM62" s="28">
        <f t="shared" si="18"/>
        <v>-35579499.216324352</v>
      </c>
      <c r="DN62" s="22">
        <f t="shared" si="19"/>
        <v>-17.170000000000002</v>
      </c>
      <c r="DO62">
        <f>IF(AT62&lt;&gt;-999,AT62*$DN62, -999)</f>
        <v>-3711794.9551081229</v>
      </c>
      <c r="DP62">
        <f>IF(AU62&lt;&gt;-999,AU62*$DN62, -999)</f>
        <v>-999</v>
      </c>
      <c r="DQ62" s="24">
        <f>IF(AV62&lt;&gt;-999,AV62*$DN62, -999)</f>
        <v>-3711794.9551081229</v>
      </c>
      <c r="DR62">
        <f t="shared" si="20"/>
        <v>-19.943000000000001</v>
      </c>
      <c r="DS62">
        <f>IF(AW62&lt;&gt;-999,AW62*$DR62, -999)</f>
        <v>-1455916.8835751433</v>
      </c>
      <c r="DT62">
        <f>IF(AX62&lt;&gt;-999,AX62*$DR62, -999)</f>
        <v>-999</v>
      </c>
      <c r="DU62" s="24">
        <f>IF(AY62&lt;&gt;-999,AY62*$DR62, -999)</f>
        <v>-1455916.8835751433</v>
      </c>
      <c r="DV62">
        <f t="shared" si="21"/>
        <v>-25.870999999999999</v>
      </c>
      <c r="DW62">
        <f>IF(AZ62&lt;&gt;-999,AZ62*$DV62, -999)</f>
        <v>-7916615.655268346</v>
      </c>
      <c r="DX62">
        <f>IF(BA62&lt;&gt;-999,BA62*$DV62, -999)</f>
        <v>-999</v>
      </c>
      <c r="DY62" s="24">
        <f>IF(BB62&lt;&gt;-999,BB62*$DV62, -999)</f>
        <v>-7916615.655268346</v>
      </c>
      <c r="DZ62">
        <f t="shared" si="22"/>
        <v>-25.245000000000001</v>
      </c>
      <c r="EA62">
        <f>IF(BC62&lt;&gt;-999, BC62*$DZ62, -999)</f>
        <v>-1912963.5522011188</v>
      </c>
      <c r="EB62">
        <f>IF(BD62&lt;&gt;-999, BD62*$DZ62, -999)</f>
        <v>-999</v>
      </c>
      <c r="EC62" s="24">
        <f>IF(BE62&lt;&gt;-999, BE62*$DZ62, -999)</f>
        <v>-1912963.5522011188</v>
      </c>
      <c r="ED62">
        <f t="shared" si="23"/>
        <v>-29.317</v>
      </c>
      <c r="EE62">
        <f>IF(BF62&lt;&gt;-999,BF62*$ED62, -999)</f>
        <v>-750213.12402743031</v>
      </c>
      <c r="EF62">
        <f>IF(BG62&lt;&gt;-999,BG62*$ED62, -999)</f>
        <v>-999</v>
      </c>
      <c r="EG62" s="24">
        <f>IF(BH62&lt;&gt;-999,BH62*$ED62, -999)</f>
        <v>-750213.12402743031</v>
      </c>
      <c r="EH62">
        <f t="shared" si="24"/>
        <v>-38.03</v>
      </c>
      <c r="EI62">
        <f>IF(BI62&lt;&gt;-999,BI62*$EH62, -999)</f>
        <v>-4079159.1647653305</v>
      </c>
      <c r="EJ62">
        <f>IF(BJ62&lt;&gt;-999,BJ62*$EH62, -999)</f>
        <v>-999</v>
      </c>
      <c r="EK62" s="24">
        <f>IF(BK62&lt;&gt;-999,BK62*$EH62, -999)</f>
        <v>-4079159.1647653305</v>
      </c>
      <c r="EL62" s="28">
        <f t="shared" si="25"/>
        <v>-19826663.334945492</v>
      </c>
      <c r="EM62" s="22">
        <f>-17.17-(0.1023*G62)+H62*(100+102.093-66.644-64.243)</f>
        <v>33.852491596749388</v>
      </c>
      <c r="EN62">
        <f>IF(AT62&lt;&gt;-999,AT62*$EM62, -999)</f>
        <v>7318200.7878074832</v>
      </c>
      <c r="EO62">
        <f>IF(AU62&lt;&gt;-999,AU62*$EM62, -999)</f>
        <v>-999</v>
      </c>
      <c r="EP62" s="23">
        <f>IF(AV62&lt;&gt;-999,AV62*$EM62, -999)</f>
        <v>7318200.7878074832</v>
      </c>
      <c r="EQ62">
        <f>-19.943-(0.1023*G62)+H62*(100+102.093-66.644-64.243)</f>
        <v>31.079491596749392</v>
      </c>
      <c r="ER62">
        <f>IF(AW62&lt;&gt;-999,AW62*$EQ62, -999)</f>
        <v>2268924.2615774572</v>
      </c>
      <c r="ES62">
        <f>IF(AX62&lt;&gt;-999,AX62*$EQ62, -999)</f>
        <v>-999</v>
      </c>
      <c r="ET62" s="23">
        <f>IF(AY62&lt;&gt;-999,AY62*$EQ62, -999)</f>
        <v>2268924.2615774572</v>
      </c>
      <c r="EU62">
        <f>-25.871-(0.1023*G62)+H62*(100+102.093-66.644-64.243)</f>
        <v>25.151491596749395</v>
      </c>
      <c r="EV62">
        <f>IF(AZ62&lt;&gt;-999,AZ62*$EU62, -999)</f>
        <v>7696443.5904362611</v>
      </c>
      <c r="EW62">
        <f>IF(BA62&lt;&gt;-999,BA62*$EU62, -999)</f>
        <v>-999</v>
      </c>
      <c r="EX62" s="23">
        <f>IF(BB62&lt;&gt;-999,BB62*$EU62, -999)</f>
        <v>7696443.5904362611</v>
      </c>
      <c r="EY62">
        <f>-25.245-(0.1023*G62)+H62*(100+102.093-66.644-64.243)</f>
        <v>25.777491596749392</v>
      </c>
      <c r="EZ62">
        <f>IF(BC62&lt;&gt;-999, BC62*$EY62, -999)</f>
        <v>1953313.6023668926</v>
      </c>
      <c r="FA62">
        <f>IF(BD62&lt;&gt;-999, BD62*$EY62, -999)</f>
        <v>-999</v>
      </c>
      <c r="FB62" s="23">
        <f>IF(BE62&lt;&gt;-999, BE62*$EY62, -999)</f>
        <v>1953313.6023668926</v>
      </c>
      <c r="FC62">
        <f>-29.317-(0.1023*G62)+H62*(100+102.093-66.644-64.243)</f>
        <v>21.705491596749397</v>
      </c>
      <c r="FD62">
        <f>IF(BF62&lt;&gt;-999,BF62*$FC62, -999)</f>
        <v>555436.9362263704</v>
      </c>
      <c r="FE62">
        <f>IF(BG62&lt;&gt;-999,BG62*$FC62, -999)</f>
        <v>-999</v>
      </c>
      <c r="FF62" s="23">
        <f>IF(BH62&lt;&gt;-999,BH62*$FC62, -999)</f>
        <v>555436.9362263704</v>
      </c>
      <c r="FG62">
        <f>-38.03-(0.1023*G62)+H62*(100+102.093-66.644-64.243)</f>
        <v>12.992491596749396</v>
      </c>
      <c r="FH62">
        <f>IF(BI62&lt;&gt;-999,BI62*$FG62, -999)</f>
        <v>1393595.6132005481</v>
      </c>
      <c r="FI62">
        <f>IF(BJ62&lt;&gt;-999,BJ62*$FG62, -999)</f>
        <v>-999</v>
      </c>
      <c r="FJ62" s="23">
        <f>IF(BK62&lt;&gt;-999,BK62*$FG62, -999)</f>
        <v>1393595.6132005481</v>
      </c>
      <c r="FK62" s="28">
        <f t="shared" si="26"/>
        <v>21185914.791615017</v>
      </c>
      <c r="FL62" s="22">
        <f t="shared" si="28"/>
        <v>10.012280000000011</v>
      </c>
      <c r="FM62">
        <f>IF(AT62&lt;&gt;-999,AT62*$FL62, -999)</f>
        <v>2164445.567450786</v>
      </c>
      <c r="FN62">
        <f>IF(AU62&lt;&gt;-999,AU62*$FL62, -999)</f>
        <v>-999</v>
      </c>
      <c r="FO62" s="29">
        <f>IF(AV62&lt;&gt;-999,AV62*$FL62, -999)</f>
        <v>2164445.567450786</v>
      </c>
      <c r="FP62">
        <f t="shared" si="29"/>
        <v>7.2392800000000115</v>
      </c>
      <c r="FQ62">
        <f>IF(AW62&lt;&gt;-999,AW62*$FP62, -999)</f>
        <v>528495.71162452386</v>
      </c>
      <c r="FR62">
        <f>IF(AX62&lt;&gt;-999,AX62*$FP62, -999)</f>
        <v>-999</v>
      </c>
      <c r="FS62" s="29">
        <f>IF(AY62&lt;&gt;-999,AY62*$FP62, -999)</f>
        <v>528495.71162452386</v>
      </c>
      <c r="FT62">
        <f t="shared" si="30"/>
        <v>1.3112800000000142</v>
      </c>
      <c r="FU62">
        <f>IF(AZ62&lt;&gt;-999,AZ62*$FT62, -999)</f>
        <v>401256.22420626919</v>
      </c>
      <c r="FV62">
        <f>IF(BA62&lt;&gt;-999,BA62*$FT62, -999)</f>
        <v>-999</v>
      </c>
      <c r="FW62" s="29">
        <f>IF(BB62&lt;&gt;-999,BB62*$FT62, -999)</f>
        <v>401256.22420626919</v>
      </c>
      <c r="FX62">
        <f t="shared" si="31"/>
        <v>1.9372800000000119</v>
      </c>
      <c r="FY62">
        <f>IF(BC62&lt;&gt;-999, BC62*$FX62, -999)</f>
        <v>146799.20896843754</v>
      </c>
      <c r="FZ62">
        <f>IF(BD62&lt;&gt;-999, BD62*$FX62, -999)</f>
        <v>-999</v>
      </c>
      <c r="GA62" s="29">
        <f>IF(BE62&lt;&gt;-999, BE62*$FX62, -999)</f>
        <v>146799.20896843754</v>
      </c>
      <c r="GB62">
        <f t="shared" si="32"/>
        <v>-2.1347199999999873</v>
      </c>
      <c r="GC62">
        <f>IF(BF62&lt;&gt;-999,BF62*$GB62, -999)</f>
        <v>-54626.836310803512</v>
      </c>
      <c r="GD62">
        <f>IF(BG62&lt;&gt;-999,BG62*$GB62, -999)</f>
        <v>-999</v>
      </c>
      <c r="GE62" s="29">
        <f>IF(BH62&lt;&gt;-999,BH62*$GB62, -999)</f>
        <v>-54626.836310803512</v>
      </c>
      <c r="GF62">
        <f t="shared" si="33"/>
        <v>-10.847719999999988</v>
      </c>
      <c r="GG62">
        <f>IF(BI62&lt;&gt;-999,BI62*$GF62, -999)</f>
        <v>-1163543.9509547232</v>
      </c>
      <c r="GH62">
        <f>IF(BJ62&lt;&gt;-999,BJ62*$GF62, -999)</f>
        <v>-999</v>
      </c>
      <c r="GI62" s="29">
        <f>IF(BK62&lt;&gt;-999,BK62*$GF62, -999)</f>
        <v>-1163543.9509547232</v>
      </c>
      <c r="GJ62" s="30">
        <f t="shared" si="27"/>
        <v>2022825.92498449</v>
      </c>
    </row>
    <row r="63" spans="1:192">
      <c r="A63" s="48" t="s">
        <v>178</v>
      </c>
      <c r="B63" s="48" t="s">
        <v>202</v>
      </c>
      <c r="C63" s="49">
        <v>81</v>
      </c>
      <c r="D63" s="50">
        <v>0.875</v>
      </c>
      <c r="E63" s="49">
        <v>37.464610077677399</v>
      </c>
      <c r="F63" s="49">
        <v>0.78902228440191302</v>
      </c>
      <c r="G63" s="49">
        <v>138.23319069864999</v>
      </c>
      <c r="H63" s="49">
        <v>0.81364861954561696</v>
      </c>
      <c r="I63" s="42">
        <v>52444.9</v>
      </c>
      <c r="J63" s="43">
        <v>-999</v>
      </c>
      <c r="K63" s="43">
        <f t="shared" si="0"/>
        <v>52444.9</v>
      </c>
      <c r="L63" s="43">
        <v>50517.599999999999</v>
      </c>
      <c r="M63" s="43">
        <v>-999</v>
      </c>
      <c r="N63" s="43">
        <f t="shared" si="1"/>
        <v>50517.599999999999</v>
      </c>
      <c r="O63" s="43">
        <v>56292.6</v>
      </c>
      <c r="P63" s="43">
        <v>-999</v>
      </c>
      <c r="Q63" s="43">
        <f t="shared" si="2"/>
        <v>56292.6</v>
      </c>
      <c r="R63" s="43">
        <v>39457.199999999997</v>
      </c>
      <c r="S63" s="43">
        <v>-999</v>
      </c>
      <c r="T63" s="43">
        <f t="shared" si="3"/>
        <v>39457.199999999997</v>
      </c>
      <c r="U63" s="43">
        <v>38007.300000000003</v>
      </c>
      <c r="V63" s="43">
        <v>-999</v>
      </c>
      <c r="W63" s="43">
        <f t="shared" si="4"/>
        <v>38007.300000000003</v>
      </c>
      <c r="X63" s="43">
        <v>42352.1</v>
      </c>
      <c r="Y63" s="43">
        <v>-999</v>
      </c>
      <c r="Z63" s="43">
        <f t="shared" si="5"/>
        <v>42352.1</v>
      </c>
      <c r="AA63" s="22">
        <v>1271097.1000000001</v>
      </c>
      <c r="AB63">
        <v>-999</v>
      </c>
      <c r="AC63">
        <v>1271097.1000000001</v>
      </c>
      <c r="AD63">
        <v>1224386.8999999999</v>
      </c>
      <c r="AE63">
        <v>-999</v>
      </c>
      <c r="AF63">
        <v>1224386.8999999999</v>
      </c>
      <c r="AG63">
        <v>1364353.6</v>
      </c>
      <c r="AH63">
        <v>-999</v>
      </c>
      <c r="AI63">
        <v>1364353.6</v>
      </c>
      <c r="AJ63">
        <v>956317.9</v>
      </c>
      <c r="AK63">
        <v>-999</v>
      </c>
      <c r="AL63">
        <v>956317.9</v>
      </c>
      <c r="AM63">
        <v>921175.2</v>
      </c>
      <c r="AN63">
        <v>-999</v>
      </c>
      <c r="AO63">
        <v>921175.2</v>
      </c>
      <c r="AP63">
        <v>1026480.1</v>
      </c>
      <c r="AQ63">
        <v>-999</v>
      </c>
      <c r="AR63">
        <v>1026480.1</v>
      </c>
      <c r="AS63">
        <v>6763810.8200000003</v>
      </c>
      <c r="AT63" s="22">
        <f t="shared" si="37"/>
        <v>2115975.6085875225</v>
      </c>
      <c r="AU63">
        <f t="shared" si="37"/>
        <v>-999</v>
      </c>
      <c r="AV63">
        <f t="shared" si="37"/>
        <v>2115975.6085875225</v>
      </c>
      <c r="AW63">
        <f t="shared" si="37"/>
        <v>2038217.8638233773</v>
      </c>
      <c r="AX63">
        <f t="shared" si="37"/>
        <v>-999</v>
      </c>
      <c r="AY63">
        <f t="shared" si="37"/>
        <v>2038217.8638233773</v>
      </c>
      <c r="AZ63">
        <f t="shared" si="37"/>
        <v>2271218.2563303602</v>
      </c>
      <c r="BA63">
        <f t="shared" si="37"/>
        <v>-999</v>
      </c>
      <c r="BB63">
        <f t="shared" si="37"/>
        <v>2271218.2563303602</v>
      </c>
      <c r="BC63">
        <f t="shared" si="37"/>
        <v>1591967.5612946025</v>
      </c>
      <c r="BD63">
        <f t="shared" si="37"/>
        <v>-999</v>
      </c>
      <c r="BE63">
        <f t="shared" si="37"/>
        <v>1591967.5612946025</v>
      </c>
      <c r="BF63">
        <f t="shared" si="37"/>
        <v>1533466.0541950199</v>
      </c>
      <c r="BG63">
        <f t="shared" si="37"/>
        <v>-999</v>
      </c>
      <c r="BH63">
        <f t="shared" si="37"/>
        <v>1533466.0541950199</v>
      </c>
      <c r="BI63">
        <f t="shared" si="35"/>
        <v>1708765.4863664473</v>
      </c>
      <c r="BJ63">
        <f t="shared" si="35"/>
        <v>-999</v>
      </c>
      <c r="BK63">
        <f t="shared" si="35"/>
        <v>1708765.4863664473</v>
      </c>
      <c r="BL63">
        <f t="shared" si="35"/>
        <v>11259610.86389102</v>
      </c>
      <c r="BM63" s="22">
        <f>-17.17-(0.1023*E63)+F63*(100-8.576-13.681)</f>
        <v>40.338329845311534</v>
      </c>
      <c r="BN63">
        <f>IF(AT63&lt;&gt;-999,AT63*$BM63, -999)</f>
        <v>85354922.043837294</v>
      </c>
      <c r="BO63">
        <f>IF(AU63&lt;&gt;-999,AU63*$BM63, -999)</f>
        <v>-999</v>
      </c>
      <c r="BP63" s="25">
        <f>IF(AV63&lt;&gt;-999,AV63*$BM63, -999)</f>
        <v>85354922.043837294</v>
      </c>
      <c r="BQ63">
        <f>-19.943-(0.1023*E63)+F63*(100-8.576-13.681)</f>
        <v>37.565329845311538</v>
      </c>
      <c r="BR63">
        <f>IF(AW63&lt;&gt;-999,AW63*$BQ63, -999)</f>
        <v>76566326.351131439</v>
      </c>
      <c r="BS63">
        <f>IF(AX63&lt;&gt;-999,AX63*$BQ63, -999)</f>
        <v>-999</v>
      </c>
      <c r="BT63" s="25">
        <f>IF(AY63&lt;&gt;-999,AY63*$BQ63, -999)</f>
        <v>76566326.351131439</v>
      </c>
      <c r="BU63">
        <f>-25.871-(0.1023*E63)+F63*(100-8.576-13.681)</f>
        <v>31.637329845311537</v>
      </c>
      <c r="BV63">
        <f>IF(AZ63&lt;&gt;-999,AZ63*$BU63, -999)</f>
        <v>71855281.126216933</v>
      </c>
      <c r="BW63">
        <f>IF(BA63&lt;&gt;-999,BA63*$BU63, -999)</f>
        <v>-999</v>
      </c>
      <c r="BX63" s="25">
        <f>IF(BB63&lt;&gt;-999,BB63*$BU63, -999)</f>
        <v>71855281.126216933</v>
      </c>
      <c r="BY63">
        <f>-25.245-(0.1023*E63)+F63*(100-8.576-13.681)</f>
        <v>32.263329845311532</v>
      </c>
      <c r="BZ63">
        <f>IF(BC63&lt;&gt;-999,BC63*$BY63, -999)</f>
        <v>51362174.53308396</v>
      </c>
      <c r="CA63">
        <f>IF(BD63&lt;&gt;-999,BD63*$BY63, -999)</f>
        <v>-999</v>
      </c>
      <c r="CB63" s="25">
        <f>IF(BE63&lt;&gt;-999,BE63*$BY63, -999)</f>
        <v>51362174.53308396</v>
      </c>
      <c r="CC63">
        <f>-29.317-(0.1023*E63)+F63*(100-8.576-13.681)</f>
        <v>28.191329845311536</v>
      </c>
      <c r="CD63">
        <f>IF(BF63&lt;&gt;-999,BF63*$CC63, -999)</f>
        <v>43230447.340400182</v>
      </c>
      <c r="CE63">
        <f>IF(BG63&lt;&gt;-999,BG63*$CC63, -999)</f>
        <v>-999</v>
      </c>
      <c r="CF63" s="25">
        <f>IF(BH63&lt;&gt;-999,BH63*$CC63, -999)</f>
        <v>43230447.340400182</v>
      </c>
      <c r="CG63">
        <f>-38.03-(0.1023*E63)+F63*(100-8.576-13.681)</f>
        <v>19.478329845311535</v>
      </c>
      <c r="CH63">
        <f>IF(BI63&lt;&gt;-999,BI63*$CG63, -999)</f>
        <v>33283897.771729853</v>
      </c>
      <c r="CI63">
        <f>IF(BJ63&lt;&gt;-999,BJ63*$CG63, -999)</f>
        <v>-999</v>
      </c>
      <c r="CJ63" s="25">
        <f>IF(BK63&lt;&gt;-999,BK63*$CG63, -999)</f>
        <v>33283897.771729853</v>
      </c>
      <c r="CK63" s="26">
        <f t="shared" si="8"/>
        <v>361653049.16639966</v>
      </c>
      <c r="CL63">
        <f t="shared" si="9"/>
        <v>-43.637679297257556</v>
      </c>
      <c r="CM63">
        <f t="shared" si="10"/>
        <v>13.958919554760641</v>
      </c>
      <c r="CN63">
        <f t="shared" si="11"/>
        <v>-100.23937595764117</v>
      </c>
      <c r="CO63" s="22">
        <f t="shared" si="12"/>
        <v>-40.08</v>
      </c>
      <c r="CP63">
        <f>IF(AT63&lt;&gt;-999,AT63*$CO63, -999)</f>
        <v>-84808302.392187893</v>
      </c>
      <c r="CQ63">
        <f>IF(AU63&lt;&gt;-999,AU63*$CO63, -999)</f>
        <v>-999</v>
      </c>
      <c r="CR63" s="27">
        <f>IF(AV63&lt;&gt;-999,AV63*$CO63, -999)</f>
        <v>-84808302.392187893</v>
      </c>
      <c r="CS63">
        <f t="shared" si="13"/>
        <v>-42.853000000000002</v>
      </c>
      <c r="CT63">
        <f>IF(AW63&lt;&gt;-999,AW63*$CS63, -999)</f>
        <v>-87343750.118423194</v>
      </c>
      <c r="CU63">
        <f>IF(AX63&lt;&gt;-999,AX63*$CS63, -999)</f>
        <v>-999</v>
      </c>
      <c r="CV63" s="27">
        <f>IF(AY63&lt;&gt;-999,AY63*$CS63, -999)</f>
        <v>-87343750.118423194</v>
      </c>
      <c r="CW63">
        <f t="shared" si="14"/>
        <v>-48.780999999999999</v>
      </c>
      <c r="CX63">
        <f>IF(AZ63&lt;&gt;-999,AZ63*$CO63, -999)</f>
        <v>-91030427.713720828</v>
      </c>
      <c r="CY63">
        <f>IF(BA63&lt;&gt;-999,BA63*$CO63, -999)</f>
        <v>-999</v>
      </c>
      <c r="CZ63" s="27">
        <f>IF(BB63&lt;&gt;-999,BB63*$CO63, -999)</f>
        <v>-91030427.713720828</v>
      </c>
      <c r="DA63">
        <f t="shared" si="15"/>
        <v>-48.155000000000001</v>
      </c>
      <c r="DB63">
        <f>IF(BC63&lt;&gt;-999,BC63*$DA63, -999)</f>
        <v>-76661197.91414158</v>
      </c>
      <c r="DC63">
        <f>IF(BD63&lt;&gt;-999,BD63*$DA63, -999)</f>
        <v>-999</v>
      </c>
      <c r="DD63" s="27">
        <f>IF(BE63&lt;&gt;-999,BE63*$DA63, -999)</f>
        <v>-76661197.91414158</v>
      </c>
      <c r="DE63">
        <f t="shared" si="16"/>
        <v>-52.227000000000004</v>
      </c>
      <c r="DF63">
        <f>IF(BF63&lt;&gt;-999,BF63*$DE63, -999)</f>
        <v>-80088331.612443313</v>
      </c>
      <c r="DG63">
        <f>IF(BG63&lt;&gt;-999,BG63*$DE63, -999)</f>
        <v>-999</v>
      </c>
      <c r="DH63" s="27">
        <f>IF(BH63&lt;&gt;-999,BH63*$DE63, -999)</f>
        <v>-80088331.612443313</v>
      </c>
      <c r="DI63">
        <f t="shared" si="17"/>
        <v>-60.94</v>
      </c>
      <c r="DJ63">
        <f>IF(BI63&lt;&gt;-999,BI63*$DI63, -999)</f>
        <v>-104132168.7391713</v>
      </c>
      <c r="DK63">
        <f>IF(BJ63&lt;&gt;-999,BJ63*$DI63, -999)</f>
        <v>-999</v>
      </c>
      <c r="DL63" s="27">
        <f>IF(BK63&lt;&gt;-999,BK63*$DI63, -999)</f>
        <v>-104132168.7391713</v>
      </c>
      <c r="DM63" s="28">
        <f t="shared" si="18"/>
        <v>-524064178.49008811</v>
      </c>
      <c r="DN63" s="22">
        <f t="shared" si="19"/>
        <v>-17.170000000000002</v>
      </c>
      <c r="DO63">
        <f>IF(AT63&lt;&gt;-999,AT63*$DN63, -999)</f>
        <v>-36331301.199447766</v>
      </c>
      <c r="DP63">
        <f>IF(AU63&lt;&gt;-999,AU63*$DN63, -999)</f>
        <v>-999</v>
      </c>
      <c r="DQ63" s="24">
        <f>IF(AV63&lt;&gt;-999,AV63*$DN63, -999)</f>
        <v>-36331301.199447766</v>
      </c>
      <c r="DR63">
        <f t="shared" si="20"/>
        <v>-19.943000000000001</v>
      </c>
      <c r="DS63">
        <f>IF(AW63&lt;&gt;-999,AW63*$DR63, -999)</f>
        <v>-40648178.858229615</v>
      </c>
      <c r="DT63">
        <f>IF(AX63&lt;&gt;-999,AX63*$DR63, -999)</f>
        <v>-999</v>
      </c>
      <c r="DU63" s="24">
        <f>IF(AY63&lt;&gt;-999,AY63*$DR63, -999)</f>
        <v>-40648178.858229615</v>
      </c>
      <c r="DV63">
        <f t="shared" si="21"/>
        <v>-25.870999999999999</v>
      </c>
      <c r="DW63">
        <f>IF(AZ63&lt;&gt;-999,AZ63*$DV63, -999)</f>
        <v>-58758687.509522744</v>
      </c>
      <c r="DX63">
        <f>IF(BA63&lt;&gt;-999,BA63*$DV63, -999)</f>
        <v>-999</v>
      </c>
      <c r="DY63" s="24">
        <f>IF(BB63&lt;&gt;-999,BB63*$DV63, -999)</f>
        <v>-58758687.509522744</v>
      </c>
      <c r="DZ63">
        <f t="shared" si="22"/>
        <v>-25.245000000000001</v>
      </c>
      <c r="EA63">
        <f>IF(BC63&lt;&gt;-999, BC63*$DZ63, -999)</f>
        <v>-40189221.084882244</v>
      </c>
      <c r="EB63">
        <f>IF(BD63&lt;&gt;-999, BD63*$DZ63, -999)</f>
        <v>-999</v>
      </c>
      <c r="EC63" s="24">
        <f>IF(BE63&lt;&gt;-999, BE63*$DZ63, -999)</f>
        <v>-40189221.084882244</v>
      </c>
      <c r="ED63">
        <f t="shared" si="23"/>
        <v>-29.317</v>
      </c>
      <c r="EE63">
        <f>IF(BF63&lt;&gt;-999,BF63*$ED63, -999)</f>
        <v>-44956624.310835399</v>
      </c>
      <c r="EF63">
        <f>IF(BG63&lt;&gt;-999,BG63*$ED63, -999)</f>
        <v>-999</v>
      </c>
      <c r="EG63" s="24">
        <f>IF(BH63&lt;&gt;-999,BH63*$ED63, -999)</f>
        <v>-44956624.310835399</v>
      </c>
      <c r="EH63">
        <f t="shared" si="24"/>
        <v>-38.03</v>
      </c>
      <c r="EI63">
        <f>IF(BI63&lt;&gt;-999,BI63*$EH63, -999)</f>
        <v>-64984351.446515992</v>
      </c>
      <c r="EJ63">
        <f>IF(BJ63&lt;&gt;-999,BJ63*$EH63, -999)</f>
        <v>-999</v>
      </c>
      <c r="EK63" s="24">
        <f>IF(BK63&lt;&gt;-999,BK63*$EH63, -999)</f>
        <v>-64984351.446515992</v>
      </c>
      <c r="EL63" s="28">
        <f t="shared" si="25"/>
        <v>-285868364.40943378</v>
      </c>
      <c r="EM63" s="22">
        <f>-17.17-(0.1023*G63)+H63*(100+102.093-66.644-64.243)</f>
        <v>26.625408194893325</v>
      </c>
      <c r="EN63">
        <f>IF(AT63&lt;&gt;-999,AT63*$EM63, -999)</f>
        <v>56338714.309080616</v>
      </c>
      <c r="EO63">
        <f>IF(AU63&lt;&gt;-999,AU63*$EM63, -999)</f>
        <v>-999</v>
      </c>
      <c r="EP63" s="23">
        <f>IF(AV63&lt;&gt;-999,AV63*$EM63, -999)</f>
        <v>56338714.309080616</v>
      </c>
      <c r="EQ63">
        <f>-19.943-(0.1023*G63)+H63*(100+102.093-66.644-64.243)</f>
        <v>23.852408194893322</v>
      </c>
      <c r="ER63">
        <f>IF(AW63&lt;&gt;-999,AW63*$EQ63, -999)</f>
        <v>48616404.478038684</v>
      </c>
      <c r="ES63">
        <f>IF(AX63&lt;&gt;-999,AX63*$EQ63, -999)</f>
        <v>-999</v>
      </c>
      <c r="ET63" s="23">
        <f>IF(AY63&lt;&gt;-999,AY63*$EQ63, -999)</f>
        <v>48616404.478038684</v>
      </c>
      <c r="EU63">
        <f>-25.871-(0.1023*G63)+H63*(100+102.093-66.644-64.243)</f>
        <v>17.924408194893324</v>
      </c>
      <c r="EV63">
        <f>IF(AZ63&lt;&gt;-999,AZ63*$EU63, -999)</f>
        <v>40710243.126159236</v>
      </c>
      <c r="EW63">
        <f>IF(BA63&lt;&gt;-999,BA63*$EU63, -999)</f>
        <v>-999</v>
      </c>
      <c r="EX63" s="23">
        <f>IF(BB63&lt;&gt;-999,BB63*$EU63, -999)</f>
        <v>40710243.126159236</v>
      </c>
      <c r="EY63">
        <f>-25.245-(0.1023*G63)+H63*(100+102.093-66.644-64.243)</f>
        <v>18.550408194893322</v>
      </c>
      <c r="EZ63">
        <f>IF(BC63&lt;&gt;-999, BC63*$EY63, -999)</f>
        <v>29531648.09504373</v>
      </c>
      <c r="FA63">
        <f>IF(BD63&lt;&gt;-999, BD63*$EY63, -999)</f>
        <v>-999</v>
      </c>
      <c r="FB63" s="23">
        <f>IF(BE63&lt;&gt;-999, BE63*$EY63, -999)</f>
        <v>29531648.09504373</v>
      </c>
      <c r="FC63">
        <f>-29.317-(0.1023*G63)+H63*(100+102.093-66.644-64.243)</f>
        <v>14.478408194893326</v>
      </c>
      <c r="FD63">
        <f>IF(BF63&lt;&gt;-999,BF63*$FC63, -999)</f>
        <v>22202147.485647909</v>
      </c>
      <c r="FE63">
        <f>IF(BG63&lt;&gt;-999,BG63*$FC63, -999)</f>
        <v>-999</v>
      </c>
      <c r="FF63" s="23">
        <f>IF(BH63&lt;&gt;-999,BH63*$FC63, -999)</f>
        <v>22202147.485647909</v>
      </c>
      <c r="FG63">
        <f>-38.03-(0.1023*G63)+H63*(100+102.093-66.644-64.243)</f>
        <v>5.7654081948933253</v>
      </c>
      <c r="FH63">
        <f>IF(BI63&lt;&gt;-999,BI63*$FG63, -999)</f>
        <v>9851730.5382479932</v>
      </c>
      <c r="FI63">
        <f>IF(BJ63&lt;&gt;-999,BJ63*$FG63, -999)</f>
        <v>-999</v>
      </c>
      <c r="FJ63" s="23">
        <f>IF(BK63&lt;&gt;-999,BK63*$FG63, -999)</f>
        <v>9851730.5382479932</v>
      </c>
      <c r="FK63" s="28">
        <f t="shared" si="26"/>
        <v>207250888.03221816</v>
      </c>
      <c r="FL63" s="22">
        <f t="shared" si="28"/>
        <v>10.012280000000011</v>
      </c>
      <c r="FM63">
        <f>IF(AT63&lt;&gt;-999,AT63*$FL63, -999)</f>
        <v>21185740.266348705</v>
      </c>
      <c r="FN63">
        <f>IF(AU63&lt;&gt;-999,AU63*$FL63, -999)</f>
        <v>-999</v>
      </c>
      <c r="FO63" s="29">
        <f>IF(AV63&lt;&gt;-999,AV63*$FL63, -999)</f>
        <v>21185740.266348705</v>
      </c>
      <c r="FP63">
        <f t="shared" si="29"/>
        <v>7.2392800000000115</v>
      </c>
      <c r="FQ63">
        <f>IF(AW63&lt;&gt;-999,AW63*$FP63, -999)</f>
        <v>14755229.817219323</v>
      </c>
      <c r="FR63">
        <f>IF(AX63&lt;&gt;-999,AX63*$FP63, -999)</f>
        <v>-999</v>
      </c>
      <c r="FS63" s="29">
        <f>IF(AY63&lt;&gt;-999,AY63*$FP63, -999)</f>
        <v>14755229.817219323</v>
      </c>
      <c r="FT63">
        <f t="shared" si="30"/>
        <v>1.3112800000000142</v>
      </c>
      <c r="FU63">
        <f>IF(AZ63&lt;&gt;-999,AZ63*$FT63, -999)</f>
        <v>2978203.0751609071</v>
      </c>
      <c r="FV63">
        <f>IF(BA63&lt;&gt;-999,BA63*$FT63, -999)</f>
        <v>-999</v>
      </c>
      <c r="FW63" s="29">
        <f>IF(BB63&lt;&gt;-999,BB63*$FT63, -999)</f>
        <v>2978203.0751609071</v>
      </c>
      <c r="FX63">
        <f t="shared" si="31"/>
        <v>1.9372800000000119</v>
      </c>
      <c r="FY63">
        <f>IF(BC63&lt;&gt;-999, BC63*$FX63, -999)</f>
        <v>3084086.9171448261</v>
      </c>
      <c r="FZ63">
        <f>IF(BD63&lt;&gt;-999, BD63*$FX63, -999)</f>
        <v>-999</v>
      </c>
      <c r="GA63" s="29">
        <f>IF(BE63&lt;&gt;-999, BE63*$FX63, -999)</f>
        <v>3084086.9171448261</v>
      </c>
      <c r="GB63">
        <f t="shared" si="32"/>
        <v>-2.1347199999999873</v>
      </c>
      <c r="GC63">
        <f>IF(BF63&lt;&gt;-999,BF63*$GB63, -999)</f>
        <v>-3273520.6552111735</v>
      </c>
      <c r="GD63">
        <f>IF(BG63&lt;&gt;-999,BG63*$GB63, -999)</f>
        <v>-999</v>
      </c>
      <c r="GE63" s="29">
        <f>IF(BH63&lt;&gt;-999,BH63*$GB63, -999)</f>
        <v>-3273520.6552111735</v>
      </c>
      <c r="GF63">
        <f t="shared" si="33"/>
        <v>-10.847719999999988</v>
      </c>
      <c r="GG63">
        <f>IF(BI63&lt;&gt;-999,BI63*$GF63, -999)</f>
        <v>-18536209.541767016</v>
      </c>
      <c r="GH63">
        <f>IF(BJ63&lt;&gt;-999,BJ63*$GF63, -999)</f>
        <v>-999</v>
      </c>
      <c r="GI63" s="29">
        <f>IF(BK63&lt;&gt;-999,BK63*$GF63, -999)</f>
        <v>-18536209.541767016</v>
      </c>
      <c r="GJ63" s="30">
        <f t="shared" si="27"/>
        <v>20193529.878895573</v>
      </c>
    </row>
    <row r="64" spans="1:192">
      <c r="A64" s="48" t="s">
        <v>142</v>
      </c>
      <c r="B64" s="48" t="s">
        <v>203</v>
      </c>
      <c r="C64" s="49">
        <v>105</v>
      </c>
      <c r="D64" s="50">
        <v>0.86699999999999999</v>
      </c>
      <c r="E64" s="49">
        <v>130.768768885459</v>
      </c>
      <c r="F64" s="49">
        <v>0.79044575698988895</v>
      </c>
      <c r="G64" s="49">
        <v>147.91699907853001</v>
      </c>
      <c r="H64" s="49">
        <v>0.81239005656438301</v>
      </c>
      <c r="I64" s="42">
        <v>71332</v>
      </c>
      <c r="J64" s="43">
        <v>-999</v>
      </c>
      <c r="K64" s="43">
        <f t="shared" si="0"/>
        <v>71332</v>
      </c>
      <c r="L64" s="43">
        <v>38975.599999999999</v>
      </c>
      <c r="M64" s="43">
        <v>-999</v>
      </c>
      <c r="N64" s="43">
        <f t="shared" si="1"/>
        <v>38975.599999999999</v>
      </c>
      <c r="O64" s="43">
        <v>59485.599999999999</v>
      </c>
      <c r="P64" s="43">
        <v>-999</v>
      </c>
      <c r="Q64" s="43">
        <f t="shared" si="2"/>
        <v>59485.599999999999</v>
      </c>
      <c r="R64" s="43">
        <v>82801.399999999994</v>
      </c>
      <c r="S64" s="43">
        <v>-999</v>
      </c>
      <c r="T64" s="43">
        <f t="shared" si="3"/>
        <v>82801.399999999994</v>
      </c>
      <c r="U64" s="43">
        <v>45242.5</v>
      </c>
      <c r="V64" s="43">
        <v>-999</v>
      </c>
      <c r="W64" s="43">
        <f t="shared" si="4"/>
        <v>45242.5</v>
      </c>
      <c r="X64" s="43">
        <v>69050.2</v>
      </c>
      <c r="Y64" s="43">
        <v>-999</v>
      </c>
      <c r="Z64" s="43">
        <f t="shared" si="5"/>
        <v>69050.2</v>
      </c>
      <c r="AA64" s="22">
        <v>1067768.8</v>
      </c>
      <c r="AB64">
        <v>-999</v>
      </c>
      <c r="AC64">
        <v>1067768.8</v>
      </c>
      <c r="AD64">
        <v>583426.30000000005</v>
      </c>
      <c r="AE64">
        <v>-999</v>
      </c>
      <c r="AF64">
        <v>583426.30000000005</v>
      </c>
      <c r="AG64">
        <v>890439.6</v>
      </c>
      <c r="AH64">
        <v>-999</v>
      </c>
      <c r="AI64">
        <v>890439.6</v>
      </c>
      <c r="AJ64">
        <v>1239454.6000000001</v>
      </c>
      <c r="AK64">
        <v>-999</v>
      </c>
      <c r="AL64">
        <v>1239454.6000000001</v>
      </c>
      <c r="AM64">
        <v>677235.1</v>
      </c>
      <c r="AN64">
        <v>-999</v>
      </c>
      <c r="AO64">
        <v>677235.1</v>
      </c>
      <c r="AP64">
        <v>1033612.8</v>
      </c>
      <c r="AQ64">
        <v>-999</v>
      </c>
      <c r="AR64">
        <v>1033612.8</v>
      </c>
      <c r="AS64">
        <v>5491937.3099999996</v>
      </c>
      <c r="AT64" s="22">
        <f t="shared" si="37"/>
        <v>1777498.1442493801</v>
      </c>
      <c r="AU64">
        <f t="shared" si="37"/>
        <v>-999</v>
      </c>
      <c r="AV64">
        <f t="shared" si="37"/>
        <v>1777498.1442493801</v>
      </c>
      <c r="AW64">
        <f t="shared" si="37"/>
        <v>971220.70391669264</v>
      </c>
      <c r="AX64">
        <f t="shared" si="37"/>
        <v>-999</v>
      </c>
      <c r="AY64">
        <f t="shared" si="37"/>
        <v>971220.70391669264</v>
      </c>
      <c r="AZ64">
        <f t="shared" si="37"/>
        <v>1482300.97804521</v>
      </c>
      <c r="BA64">
        <f t="shared" si="37"/>
        <v>-999</v>
      </c>
      <c r="BB64">
        <f t="shared" si="37"/>
        <v>1482300.97804521</v>
      </c>
      <c r="BC64">
        <f t="shared" si="37"/>
        <v>2063300.8300873351</v>
      </c>
      <c r="BD64">
        <f t="shared" si="37"/>
        <v>-999</v>
      </c>
      <c r="BE64">
        <f t="shared" si="37"/>
        <v>2063300.8300873351</v>
      </c>
      <c r="BF64">
        <f t="shared" si="37"/>
        <v>1127382.7568950725</v>
      </c>
      <c r="BG64">
        <f t="shared" si="37"/>
        <v>-999</v>
      </c>
      <c r="BH64">
        <f t="shared" si="37"/>
        <v>1127382.7568950725</v>
      </c>
      <c r="BI64">
        <f t="shared" si="35"/>
        <v>1720639.1813212801</v>
      </c>
      <c r="BJ64">
        <f t="shared" si="35"/>
        <v>-999</v>
      </c>
      <c r="BK64">
        <f t="shared" si="35"/>
        <v>1720639.1813212801</v>
      </c>
      <c r="BL64">
        <f t="shared" si="35"/>
        <v>9142342.7776302621</v>
      </c>
      <c r="BM64" s="22">
        <f>-17.17-(0.1023*E64)+F64*(100-8.576-13.681)</f>
        <v>30.903979428682486</v>
      </c>
      <c r="BN64">
        <f>IF(AT64&lt;&gt;-999,AT64*$BM64, -999)</f>
        <v>54931766.084404141</v>
      </c>
      <c r="BO64">
        <f>IF(AU64&lt;&gt;-999,AU64*$BM64, -999)</f>
        <v>-999</v>
      </c>
      <c r="BP64" s="25">
        <f>IF(AV64&lt;&gt;-999,AV64*$BM64, -999)</f>
        <v>54931766.084404141</v>
      </c>
      <c r="BQ64">
        <f>-19.943-(0.1023*E64)+F64*(100-8.576-13.681)</f>
        <v>28.130979428682487</v>
      </c>
      <c r="BR64">
        <f>IF(AW64&lt;&gt;-999,AW64*$BQ64, -999)</f>
        <v>27321389.642591003</v>
      </c>
      <c r="BS64">
        <f>IF(AX64&lt;&gt;-999,AX64*$BQ64, -999)</f>
        <v>-999</v>
      </c>
      <c r="BT64" s="25">
        <f>IF(AY64&lt;&gt;-999,AY64*$BQ64, -999)</f>
        <v>27321389.642591003</v>
      </c>
      <c r="BU64">
        <f>-25.871-(0.1023*E64)+F64*(100-8.576-13.681)</f>
        <v>22.20297942868249</v>
      </c>
      <c r="BV64">
        <f>IF(AZ64&lt;&gt;-999,AZ64*$BU64, -999)</f>
        <v>32911498.122653734</v>
      </c>
      <c r="BW64">
        <f>IF(BA64&lt;&gt;-999,BA64*$BU64, -999)</f>
        <v>-999</v>
      </c>
      <c r="BX64" s="25">
        <f>IF(BB64&lt;&gt;-999,BB64*$BU64, -999)</f>
        <v>32911498.122653734</v>
      </c>
      <c r="BY64">
        <f>-25.245-(0.1023*E64)+F64*(100-8.576-13.681)</f>
        <v>22.828979428682487</v>
      </c>
      <c r="BZ64">
        <f>IF(BC64&lt;&gt;-999,BC64*$BY64, -999)</f>
        <v>47103052.205247276</v>
      </c>
      <c r="CA64">
        <f>IF(BD64&lt;&gt;-999,BD64*$BY64, -999)</f>
        <v>-999</v>
      </c>
      <c r="CB64" s="25">
        <f>IF(BE64&lt;&gt;-999,BE64*$BY64, -999)</f>
        <v>47103052.205247276</v>
      </c>
      <c r="CC64">
        <f>-29.317-(0.1023*E64)+F64*(100-8.576-13.681)</f>
        <v>18.756979428682492</v>
      </c>
      <c r="CD64">
        <f>IF(BF64&lt;&gt;-999,BF64*$CC64, -999)</f>
        <v>21146295.17933223</v>
      </c>
      <c r="CE64">
        <f>IF(BG64&lt;&gt;-999,BG64*$CC64, -999)</f>
        <v>-999</v>
      </c>
      <c r="CF64" s="25">
        <f>IF(BH64&lt;&gt;-999,BH64*$CC64, -999)</f>
        <v>21146295.17933223</v>
      </c>
      <c r="CG64">
        <f>-38.03-(0.1023*E64)+F64*(100-8.576-13.681)</f>
        <v>10.043979428682484</v>
      </c>
      <c r="CH64">
        <f>IF(BI64&lt;&gt;-999,BI64*$CG64, -999)</f>
        <v>17282064.541376006</v>
      </c>
      <c r="CI64">
        <f>IF(BJ64&lt;&gt;-999,BJ64*$CG64, -999)</f>
        <v>-999</v>
      </c>
      <c r="CJ64" s="25">
        <f>IF(BK64&lt;&gt;-999,BK64*$CG64, -999)</f>
        <v>17282064.541376006</v>
      </c>
      <c r="CK64" s="26">
        <f t="shared" si="8"/>
        <v>200696065.77560437</v>
      </c>
      <c r="CL64">
        <f t="shared" si="9"/>
        <v>-31.443528553233179</v>
      </c>
      <c r="CM64">
        <f t="shared" si="10"/>
        <v>26.049347584226197</v>
      </c>
      <c r="CN64">
        <f t="shared" si="11"/>
        <v>-87.943294166588558</v>
      </c>
      <c r="CO64" s="22">
        <f t="shared" si="12"/>
        <v>-40.08</v>
      </c>
      <c r="CP64">
        <f>IF(AT64&lt;&gt;-999,AT64*$CO64, -999)</f>
        <v>-71242125.621515155</v>
      </c>
      <c r="CQ64">
        <f>IF(AU64&lt;&gt;-999,AU64*$CO64, -999)</f>
        <v>-999</v>
      </c>
      <c r="CR64" s="27">
        <f>IF(AV64&lt;&gt;-999,AV64*$CO64, -999)</f>
        <v>-71242125.621515155</v>
      </c>
      <c r="CS64">
        <f t="shared" si="13"/>
        <v>-42.853000000000002</v>
      </c>
      <c r="CT64">
        <f>IF(AW64&lt;&gt;-999,AW64*$CS64, -999)</f>
        <v>-41619720.82494203</v>
      </c>
      <c r="CU64">
        <f>IF(AX64&lt;&gt;-999,AX64*$CS64, -999)</f>
        <v>-999</v>
      </c>
      <c r="CV64" s="27">
        <f>IF(AY64&lt;&gt;-999,AY64*$CS64, -999)</f>
        <v>-41619720.82494203</v>
      </c>
      <c r="CW64">
        <f t="shared" si="14"/>
        <v>-48.780999999999999</v>
      </c>
      <c r="CX64">
        <f>IF(AZ64&lt;&gt;-999,AZ64*$CO64, -999)</f>
        <v>-59410623.200052015</v>
      </c>
      <c r="CY64">
        <f>IF(BA64&lt;&gt;-999,BA64*$CO64, -999)</f>
        <v>-999</v>
      </c>
      <c r="CZ64" s="27">
        <f>IF(BB64&lt;&gt;-999,BB64*$CO64, -999)</f>
        <v>-59410623.200052015</v>
      </c>
      <c r="DA64">
        <f t="shared" si="15"/>
        <v>-48.155000000000001</v>
      </c>
      <c r="DB64">
        <f>IF(BC64&lt;&gt;-999,BC64*$DA64, -999)</f>
        <v>-99358251.472855628</v>
      </c>
      <c r="DC64">
        <f>IF(BD64&lt;&gt;-999,BD64*$DA64, -999)</f>
        <v>-999</v>
      </c>
      <c r="DD64" s="27">
        <f>IF(BE64&lt;&gt;-999,BE64*$DA64, -999)</f>
        <v>-99358251.472855628</v>
      </c>
      <c r="DE64">
        <f t="shared" si="16"/>
        <v>-52.227000000000004</v>
      </c>
      <c r="DF64">
        <f>IF(BF64&lt;&gt;-999,BF64*$DE64, -999)</f>
        <v>-58879819.244358957</v>
      </c>
      <c r="DG64">
        <f>IF(BG64&lt;&gt;-999,BG64*$DE64, -999)</f>
        <v>-999</v>
      </c>
      <c r="DH64" s="27">
        <f>IF(BH64&lt;&gt;-999,BH64*$DE64, -999)</f>
        <v>-58879819.244358957</v>
      </c>
      <c r="DI64">
        <f t="shared" si="17"/>
        <v>-60.94</v>
      </c>
      <c r="DJ64">
        <f>IF(BI64&lt;&gt;-999,BI64*$DI64, -999)</f>
        <v>-104855751.70971881</v>
      </c>
      <c r="DK64">
        <f>IF(BJ64&lt;&gt;-999,BJ64*$DI64, -999)</f>
        <v>-999</v>
      </c>
      <c r="DL64" s="27">
        <f>IF(BK64&lt;&gt;-999,BK64*$DI64, -999)</f>
        <v>-104855751.70971881</v>
      </c>
      <c r="DM64" s="28">
        <f t="shared" si="18"/>
        <v>-435366292.07344264</v>
      </c>
      <c r="DN64" s="22">
        <f t="shared" si="19"/>
        <v>-17.170000000000002</v>
      </c>
      <c r="DO64">
        <f>IF(AT64&lt;&gt;-999,AT64*$DN64, -999)</f>
        <v>-30519643.136761859</v>
      </c>
      <c r="DP64">
        <f>IF(AU64&lt;&gt;-999,AU64*$DN64, -999)</f>
        <v>-999</v>
      </c>
      <c r="DQ64" s="24">
        <f>IF(AV64&lt;&gt;-999,AV64*$DN64, -999)</f>
        <v>-30519643.136761859</v>
      </c>
      <c r="DR64">
        <f t="shared" si="20"/>
        <v>-19.943000000000001</v>
      </c>
      <c r="DS64">
        <f>IF(AW64&lt;&gt;-999,AW64*$DR64, -999)</f>
        <v>-19369054.498210602</v>
      </c>
      <c r="DT64">
        <f>IF(AX64&lt;&gt;-999,AX64*$DR64, -999)</f>
        <v>-999</v>
      </c>
      <c r="DU64" s="24">
        <f>IF(AY64&lt;&gt;-999,AY64*$DR64, -999)</f>
        <v>-19369054.498210602</v>
      </c>
      <c r="DV64">
        <f t="shared" si="21"/>
        <v>-25.870999999999999</v>
      </c>
      <c r="DW64">
        <f>IF(AZ64&lt;&gt;-999,AZ64*$DV64, -999)</f>
        <v>-38348608.60300763</v>
      </c>
      <c r="DX64">
        <f>IF(BA64&lt;&gt;-999,BA64*$DV64, -999)</f>
        <v>-999</v>
      </c>
      <c r="DY64" s="24">
        <f>IF(BB64&lt;&gt;-999,BB64*$DV64, -999)</f>
        <v>-38348608.60300763</v>
      </c>
      <c r="DZ64">
        <f t="shared" si="22"/>
        <v>-25.245000000000001</v>
      </c>
      <c r="EA64">
        <f>IF(BC64&lt;&gt;-999, BC64*$DZ64, -999)</f>
        <v>-52088029.455554776</v>
      </c>
      <c r="EB64">
        <f>IF(BD64&lt;&gt;-999, BD64*$DZ64, -999)</f>
        <v>-999</v>
      </c>
      <c r="EC64" s="24">
        <f>IF(BE64&lt;&gt;-999, BE64*$DZ64, -999)</f>
        <v>-52088029.455554776</v>
      </c>
      <c r="ED64">
        <f t="shared" si="23"/>
        <v>-29.317</v>
      </c>
      <c r="EE64">
        <f>IF(BF64&lt;&gt;-999,BF64*$ED64, -999)</f>
        <v>-33051480.28389284</v>
      </c>
      <c r="EF64">
        <f>IF(BG64&lt;&gt;-999,BG64*$ED64, -999)</f>
        <v>-999</v>
      </c>
      <c r="EG64" s="24">
        <f>IF(BH64&lt;&gt;-999,BH64*$ED64, -999)</f>
        <v>-33051480.28389284</v>
      </c>
      <c r="EH64">
        <f t="shared" si="24"/>
        <v>-38.03</v>
      </c>
      <c r="EI64">
        <f>IF(BI64&lt;&gt;-999,BI64*$EH64, -999)</f>
        <v>-65435908.06564828</v>
      </c>
      <c r="EJ64">
        <f>IF(BJ64&lt;&gt;-999,BJ64*$EH64, -999)</f>
        <v>-999</v>
      </c>
      <c r="EK64" s="24">
        <f>IF(BK64&lt;&gt;-999,BK64*$EH64, -999)</f>
        <v>-65435908.06564828</v>
      </c>
      <c r="EL64" s="28">
        <f t="shared" si="25"/>
        <v>-238812724.04307601</v>
      </c>
      <c r="EM64" s="22">
        <f>-17.17-(0.1023*G64)+H64*(100+102.093-66.644-64.243)</f>
        <v>25.545137361989852</v>
      </c>
      <c r="EN64">
        <f>IF(AT64&lt;&gt;-999,AT64*$EM64, -999)</f>
        <v>45406434.255532466</v>
      </c>
      <c r="EO64">
        <f>IF(AU64&lt;&gt;-999,AU64*$EM64, -999)</f>
        <v>-999</v>
      </c>
      <c r="EP64" s="23">
        <f>IF(AV64&lt;&gt;-999,AV64*$EM64, -999)</f>
        <v>45406434.255532466</v>
      </c>
      <c r="EQ64">
        <f>-19.943-(0.1023*G64)+H64*(100+102.093-66.644-64.243)</f>
        <v>22.772137361989849</v>
      </c>
      <c r="ER64">
        <f>IF(AW64&lt;&gt;-999,AW64*$EQ64, -999)</f>
        <v>22116771.278399397</v>
      </c>
      <c r="ES64">
        <f>IF(AX64&lt;&gt;-999,AX64*$EQ64, -999)</f>
        <v>-999</v>
      </c>
      <c r="ET64" s="23">
        <f>IF(AY64&lt;&gt;-999,AY64*$EQ64, -999)</f>
        <v>22116771.278399397</v>
      </c>
      <c r="EU64">
        <f>-25.871-(0.1023*G64)+H64*(100+102.093-66.644-64.243)</f>
        <v>16.844137361989851</v>
      </c>
      <c r="EV64">
        <f>IF(AZ64&lt;&gt;-999,AZ64*$EU64, -999)</f>
        <v>24968081.286005419</v>
      </c>
      <c r="EW64">
        <f>IF(BA64&lt;&gt;-999,BA64*$EU64, -999)</f>
        <v>-999</v>
      </c>
      <c r="EX64" s="23">
        <f>IF(BB64&lt;&gt;-999,BB64*$EU64, -999)</f>
        <v>24968081.286005419</v>
      </c>
      <c r="EY64">
        <f>-25.245-(0.1023*G64)+H64*(100+102.093-66.644-64.243)</f>
        <v>17.470137361989849</v>
      </c>
      <c r="EZ64">
        <f>IF(BC64&lt;&gt;-999, BC64*$EY64, -999)</f>
        <v>36046148.920733422</v>
      </c>
      <c r="FA64">
        <f>IF(BD64&lt;&gt;-999, BD64*$EY64, -999)</f>
        <v>-999</v>
      </c>
      <c r="FB64" s="23">
        <f>IF(BE64&lt;&gt;-999, BE64*$EY64, -999)</f>
        <v>36046148.920733422</v>
      </c>
      <c r="FC64">
        <f>-29.317-(0.1023*G64)+H64*(100+102.093-66.644-64.243)</f>
        <v>13.398137361989853</v>
      </c>
      <c r="FD64">
        <f>IF(BF64&lt;&gt;-999,BF64*$FC64, -999)</f>
        <v>15104829.036418995</v>
      </c>
      <c r="FE64">
        <f>IF(BG64&lt;&gt;-999,BG64*$FC64, -999)</f>
        <v>-999</v>
      </c>
      <c r="FF64" s="23">
        <f>IF(BH64&lt;&gt;-999,BH64*$FC64, -999)</f>
        <v>15104829.036418995</v>
      </c>
      <c r="FG64">
        <f>-38.03-(0.1023*G64)+H64*(100+102.093-66.644-64.243)</f>
        <v>4.6851373619898524</v>
      </c>
      <c r="FH64">
        <f>IF(BI64&lt;&gt;-999,BI64*$FG64, -999)</f>
        <v>8061430.9149119612</v>
      </c>
      <c r="FI64">
        <f>IF(BJ64&lt;&gt;-999,BJ64*$FG64, -999)</f>
        <v>-999</v>
      </c>
      <c r="FJ64" s="23">
        <f>IF(BK64&lt;&gt;-999,BK64*$FG64, -999)</f>
        <v>8061430.9149119612</v>
      </c>
      <c r="FK64" s="28">
        <f t="shared" si="26"/>
        <v>151703695.69200167</v>
      </c>
      <c r="FL64" s="22">
        <f t="shared" si="28"/>
        <v>10.012280000000011</v>
      </c>
      <c r="FM64">
        <f>IF(AT64&lt;&gt;-999,AT64*$FL64, -999)</f>
        <v>17796809.119705204</v>
      </c>
      <c r="FN64">
        <f>IF(AU64&lt;&gt;-999,AU64*$FL64, -999)</f>
        <v>-999</v>
      </c>
      <c r="FO64" s="29">
        <f>IF(AV64&lt;&gt;-999,AV64*$FL64, -999)</f>
        <v>17796809.119705204</v>
      </c>
      <c r="FP64">
        <f t="shared" si="29"/>
        <v>7.2392800000000115</v>
      </c>
      <c r="FQ64">
        <f>IF(AW64&lt;&gt;-999,AW64*$FP64, -999)</f>
        <v>7030938.6174500454</v>
      </c>
      <c r="FR64">
        <f>IF(AX64&lt;&gt;-999,AX64*$FP64, -999)</f>
        <v>-999</v>
      </c>
      <c r="FS64" s="29">
        <f>IF(AY64&lt;&gt;-999,AY64*$FP64, -999)</f>
        <v>7030938.6174500454</v>
      </c>
      <c r="FT64">
        <f t="shared" si="30"/>
        <v>1.3112800000000142</v>
      </c>
      <c r="FU64">
        <f>IF(AZ64&lt;&gt;-999,AZ64*$FT64, -999)</f>
        <v>1943711.6264911441</v>
      </c>
      <c r="FV64">
        <f>IF(BA64&lt;&gt;-999,BA64*$FT64, -999)</f>
        <v>-999</v>
      </c>
      <c r="FW64" s="29">
        <f>IF(BB64&lt;&gt;-999,BB64*$FT64, -999)</f>
        <v>1943711.6264911441</v>
      </c>
      <c r="FX64">
        <f t="shared" si="31"/>
        <v>1.9372800000000119</v>
      </c>
      <c r="FY64">
        <f>IF(BC64&lt;&gt;-999, BC64*$FX64, -999)</f>
        <v>3997191.4321116172</v>
      </c>
      <c r="FZ64">
        <f>IF(BD64&lt;&gt;-999, BD64*$FX64, -999)</f>
        <v>-999</v>
      </c>
      <c r="GA64" s="29">
        <f>IF(BE64&lt;&gt;-999, BE64*$FX64, -999)</f>
        <v>3997191.4321116172</v>
      </c>
      <c r="GB64">
        <f t="shared" si="32"/>
        <v>-2.1347199999999873</v>
      </c>
      <c r="GC64">
        <f>IF(BF64&lt;&gt;-999,BF64*$GB64, -999)</f>
        <v>-2406646.5187990349</v>
      </c>
      <c r="GD64">
        <f>IF(BG64&lt;&gt;-999,BG64*$GB64, -999)</f>
        <v>-999</v>
      </c>
      <c r="GE64" s="29">
        <f>IF(BH64&lt;&gt;-999,BH64*$GB64, -999)</f>
        <v>-2406646.5187990349</v>
      </c>
      <c r="GF64">
        <f t="shared" si="33"/>
        <v>-10.847719999999988</v>
      </c>
      <c r="GG64">
        <f>IF(BI64&lt;&gt;-999,BI64*$GF64, -999)</f>
        <v>-18665012.060002457</v>
      </c>
      <c r="GH64">
        <f>IF(BJ64&lt;&gt;-999,BJ64*$GF64, -999)</f>
        <v>-999</v>
      </c>
      <c r="GI64" s="29">
        <f>IF(BK64&lt;&gt;-999,BK64*$GF64, -999)</f>
        <v>-18665012.060002457</v>
      </c>
      <c r="GJ64" s="30">
        <f t="shared" si="27"/>
        <v>9696992.2169565223</v>
      </c>
    </row>
    <row r="65" spans="1:192">
      <c r="A65" s="48" t="s">
        <v>146</v>
      </c>
      <c r="B65" s="48" t="s">
        <v>204</v>
      </c>
      <c r="C65" s="49">
        <v>39</v>
      </c>
      <c r="D65" s="50">
        <v>0.85699999999999998</v>
      </c>
      <c r="E65" s="49">
        <v>163.84198542943301</v>
      </c>
      <c r="F65" s="49">
        <v>0.78258055401829996</v>
      </c>
      <c r="G65" s="49">
        <v>213.75146876861899</v>
      </c>
      <c r="H65" s="49">
        <v>0.80733126999094196</v>
      </c>
      <c r="I65" s="42">
        <v>131211.1</v>
      </c>
      <c r="J65" s="43">
        <v>178428.79999999999</v>
      </c>
      <c r="K65" s="43">
        <f t="shared" si="0"/>
        <v>309639.90000000002</v>
      </c>
      <c r="L65" s="43">
        <v>66077.100000000006</v>
      </c>
      <c r="M65" s="43">
        <v>89855.7</v>
      </c>
      <c r="N65" s="43">
        <f t="shared" si="1"/>
        <v>155932.79999999999</v>
      </c>
      <c r="O65" s="43">
        <v>117843.5</v>
      </c>
      <c r="P65" s="43">
        <v>160250.79999999999</v>
      </c>
      <c r="Q65" s="43">
        <f t="shared" si="2"/>
        <v>278094.3</v>
      </c>
      <c r="R65" s="43">
        <v>35926.300000000003</v>
      </c>
      <c r="S65" s="43">
        <v>48854.7</v>
      </c>
      <c r="T65" s="43">
        <f t="shared" si="3"/>
        <v>84781</v>
      </c>
      <c r="U65" s="43">
        <v>18092.3</v>
      </c>
      <c r="V65" s="43">
        <v>24602.9</v>
      </c>
      <c r="W65" s="43">
        <f t="shared" si="4"/>
        <v>42695.199999999997</v>
      </c>
      <c r="X65" s="43">
        <v>32266.2</v>
      </c>
      <c r="Y65" s="43">
        <v>43877.5</v>
      </c>
      <c r="Z65" s="43">
        <f t="shared" si="5"/>
        <v>76143.7</v>
      </c>
      <c r="AA65" s="22">
        <v>2096819.6</v>
      </c>
      <c r="AB65">
        <v>1659342.3</v>
      </c>
      <c r="AC65">
        <v>3756161.8</v>
      </c>
      <c r="AD65">
        <v>1055945.8</v>
      </c>
      <c r="AE65">
        <v>835634.9</v>
      </c>
      <c r="AF65">
        <v>1891580.6</v>
      </c>
      <c r="AG65">
        <v>1883198.9</v>
      </c>
      <c r="AH65">
        <v>1490291.1</v>
      </c>
      <c r="AI65">
        <v>3373490.1</v>
      </c>
      <c r="AJ65">
        <v>574119.9</v>
      </c>
      <c r="AK65">
        <v>454336.4</v>
      </c>
      <c r="AL65">
        <v>1028456.3</v>
      </c>
      <c r="AM65">
        <v>289123.3</v>
      </c>
      <c r="AN65">
        <v>228801.1</v>
      </c>
      <c r="AO65">
        <v>517924.4</v>
      </c>
      <c r="AP65">
        <v>515629.5</v>
      </c>
      <c r="AQ65">
        <v>408049.3</v>
      </c>
      <c r="AR65">
        <v>923678.8</v>
      </c>
      <c r="AS65">
        <v>11491292.01</v>
      </c>
      <c r="AT65" s="22">
        <f t="shared" si="37"/>
        <v>3490543.03499571</v>
      </c>
      <c r="AU65">
        <f t="shared" si="37"/>
        <v>2762281.3655207925</v>
      </c>
      <c r="AV65">
        <f t="shared" si="37"/>
        <v>6252824.2340480555</v>
      </c>
      <c r="AW65">
        <f t="shared" si="37"/>
        <v>1757816.5797014551</v>
      </c>
      <c r="AX65">
        <f t="shared" si="37"/>
        <v>1391068.4447981776</v>
      </c>
      <c r="AY65">
        <f t="shared" si="37"/>
        <v>3148884.8580311853</v>
      </c>
      <c r="AZ65">
        <f t="shared" si="37"/>
        <v>3134931.9721670775</v>
      </c>
      <c r="BA65">
        <f t="shared" si="37"/>
        <v>2480864.4574006726</v>
      </c>
      <c r="BB65">
        <f t="shared" si="37"/>
        <v>5615796.5960361976</v>
      </c>
      <c r="BC65">
        <f t="shared" si="37"/>
        <v>955728.48431855242</v>
      </c>
      <c r="BD65">
        <f t="shared" si="37"/>
        <v>756326.75150739006</v>
      </c>
      <c r="BE65">
        <f t="shared" si="37"/>
        <v>1712055.2358259426</v>
      </c>
      <c r="BF65">
        <f t="shared" si="37"/>
        <v>481299.06887076749</v>
      </c>
      <c r="BG65">
        <f t="shared" si="37"/>
        <v>380881.63903292251</v>
      </c>
      <c r="BH65">
        <f t="shared" si="37"/>
        <v>862180.70790369005</v>
      </c>
      <c r="BI65">
        <f t="shared" si="37"/>
        <v>858360.42350201251</v>
      </c>
      <c r="BJ65">
        <f t="shared" ref="BJ65:BL96" si="38">IF(AQ65&lt;&gt;-999,AQ65*0.5*3.67*0.907185, -999)</f>
        <v>679273.33474461746</v>
      </c>
      <c r="BK65">
        <f t="shared" si="38"/>
        <v>1537633.75824663</v>
      </c>
      <c r="BL65">
        <f t="shared" si="38"/>
        <v>19129375.406738542</v>
      </c>
      <c r="BM65" s="22">
        <f>-17.17-(0.1023*E65)+F65*(100-8.576-13.681)</f>
        <v>26.909124901613708</v>
      </c>
      <c r="BN65">
        <f>IF(AT65&lt;&gt;-999,AT65*$BM65, -999)</f>
        <v>93927458.503157347</v>
      </c>
      <c r="BO65">
        <f>IF(AU65&lt;&gt;-999,AU65*$BM65, -999)</f>
        <v>74330574.278199077</v>
      </c>
      <c r="BP65" s="25">
        <f>IF(AV65&lt;&gt;-999,AV65*$BM65, -999)</f>
        <v>168258028.30183619</v>
      </c>
      <c r="BQ65">
        <f>-19.943-(0.1023*E65)+F65*(100-8.576-13.681)</f>
        <v>24.136124901613705</v>
      </c>
      <c r="BR65">
        <f>IF(AW65&lt;&gt;-999,AW65*$BQ65, -999)</f>
        <v>42426880.521801725</v>
      </c>
      <c r="BS65">
        <f>IF(AX65&lt;&gt;-999,AX65*$BQ65, -999)</f>
        <v>33575001.730342343</v>
      </c>
      <c r="BT65" s="25">
        <f>IF(AY65&lt;&gt;-999,AY65*$BQ65, -999)</f>
        <v>76001878.23424083</v>
      </c>
      <c r="BU65">
        <f>-25.871-(0.1023*E65)+F65*(100-8.576-13.681)</f>
        <v>18.208124901613708</v>
      </c>
      <c r="BV65">
        <f>IF(AZ65&lt;&gt;-999,AZ65*$BU65, -999)</f>
        <v>57081232.907280333</v>
      </c>
      <c r="BW65">
        <f>IF(BA65&lt;&gt;-999,BA65*$BU65, -999)</f>
        <v>45171889.904325567</v>
      </c>
      <c r="BX65" s="25">
        <f>IF(BB65&lt;&gt;-999,BB65*$BU65, -999)</f>
        <v>102253125.84268418</v>
      </c>
      <c r="BY65">
        <f>-25.245-(0.1023*E65)+F65*(100-8.576-13.681)</f>
        <v>18.834124901613706</v>
      </c>
      <c r="BZ65">
        <f>IF(BC65&lt;&gt;-999,BC65*$BY65, -999)</f>
        <v>18000309.645685572</v>
      </c>
      <c r="CA65">
        <f>IF(BD65&lt;&gt;-999,BD65*$BY65, -999)</f>
        <v>14244752.504321937</v>
      </c>
      <c r="CB65" s="25">
        <f>IF(BE65&lt;&gt;-999,BE65*$BY65, -999)</f>
        <v>32245062.150007512</v>
      </c>
      <c r="CC65">
        <f>-29.317-(0.1023*E65)+F65*(100-8.576-13.681)</f>
        <v>14.762124901613703</v>
      </c>
      <c r="CD65">
        <f>IF(BF65&lt;&gt;-999,BF65*$CC65, -999)</f>
        <v>7104996.9697006457</v>
      </c>
      <c r="CE65">
        <f>IF(BG65&lt;&gt;-999,BG65*$CC65, -999)</f>
        <v>5622622.328135347</v>
      </c>
      <c r="CF65" s="25">
        <f>IF(BH65&lt;&gt;-999,BH65*$CC65, -999)</f>
        <v>12727619.297835993</v>
      </c>
      <c r="CG65">
        <f>-38.03-(0.1023*E65)+F65*(100-8.576-13.681)</f>
        <v>6.049124901613709</v>
      </c>
      <c r="CH65">
        <f>IF(BI65&lt;&gt;-999,BI65*$CG65, -999)</f>
        <v>5192329.4123657132</v>
      </c>
      <c r="CI65">
        <f>IF(BJ65&lt;&gt;-999,BJ65*$CG65, -999)</f>
        <v>4109009.2442058502</v>
      </c>
      <c r="CJ65" s="25">
        <f>IF(BK65&lt;&gt;-999,BK65*$CG65, -999)</f>
        <v>9301338.6565715633</v>
      </c>
      <c r="CK65" s="26">
        <f t="shared" si="8"/>
        <v>400787052.48317623</v>
      </c>
      <c r="CL65">
        <f t="shared" si="9"/>
        <v>-27.659861197212336</v>
      </c>
      <c r="CM65">
        <f t="shared" si="10"/>
        <v>30.410838063911029</v>
      </c>
      <c r="CN65">
        <f t="shared" si="11"/>
        <v>-84.72746883285474</v>
      </c>
      <c r="CO65" s="22">
        <f t="shared" si="12"/>
        <v>-40.08</v>
      </c>
      <c r="CP65">
        <f>IF(AT65&lt;&gt;-999,AT65*$CO65, -999)</f>
        <v>-139900964.84262806</v>
      </c>
      <c r="CQ65">
        <f>IF(AU65&lt;&gt;-999,AU65*$CO65, -999)</f>
        <v>-110712237.13007335</v>
      </c>
      <c r="CR65" s="27">
        <f>IF(AV65&lt;&gt;-999,AV65*$CO65, -999)</f>
        <v>-250613195.30064607</v>
      </c>
      <c r="CS65">
        <f t="shared" si="13"/>
        <v>-42.853000000000002</v>
      </c>
      <c r="CT65">
        <f>IF(AW65&lt;&gt;-999,AW65*$CS65, -999)</f>
        <v>-75327713.889946461</v>
      </c>
      <c r="CU65">
        <f>IF(AX65&lt;&gt;-999,AX65*$CS65, -999)</f>
        <v>-59611456.064936303</v>
      </c>
      <c r="CV65" s="27">
        <f>IF(AY65&lt;&gt;-999,AY65*$CS65, -999)</f>
        <v>-134939162.82121038</v>
      </c>
      <c r="CW65">
        <f t="shared" si="14"/>
        <v>-48.780999999999999</v>
      </c>
      <c r="CX65">
        <f>IF(AZ65&lt;&gt;-999,AZ65*$CO65, -999)</f>
        <v>-125648073.44445646</v>
      </c>
      <c r="CY65">
        <f>IF(BA65&lt;&gt;-999,BA65*$CO65, -999)</f>
        <v>-99433047.452618957</v>
      </c>
      <c r="CZ65" s="27">
        <f>IF(BB65&lt;&gt;-999,BB65*$CO65, -999)</f>
        <v>-225081127.56913078</v>
      </c>
      <c r="DA65">
        <f t="shared" si="15"/>
        <v>-48.155000000000001</v>
      </c>
      <c r="DB65">
        <f>IF(BC65&lt;&gt;-999,BC65*$DA65, -999)</f>
        <v>-46023105.162359893</v>
      </c>
      <c r="DC65">
        <f>IF(BD65&lt;&gt;-999,BD65*$DA65, -999)</f>
        <v>-36420914.718838371</v>
      </c>
      <c r="DD65" s="27">
        <f>IF(BE65&lt;&gt;-999,BE65*$DA65, -999)</f>
        <v>-82444019.881198272</v>
      </c>
      <c r="DE65">
        <f t="shared" si="16"/>
        <v>-52.227000000000004</v>
      </c>
      <c r="DF65">
        <f>IF(BF65&lt;&gt;-999,BF65*$DE65, -999)</f>
        <v>-25136806.469913576</v>
      </c>
      <c r="DG65">
        <f>IF(BG65&lt;&gt;-999,BG65*$DE65, -999)</f>
        <v>-19892305.361772444</v>
      </c>
      <c r="DH65" s="27">
        <f>IF(BH65&lt;&gt;-999,BH65*$DE65, -999)</f>
        <v>-45029111.831686027</v>
      </c>
      <c r="DI65">
        <f t="shared" si="17"/>
        <v>-60.94</v>
      </c>
      <c r="DJ65">
        <f>IF(BI65&lt;&gt;-999,BI65*$DI65, -999)</f>
        <v>-52308484.208212636</v>
      </c>
      <c r="DK65">
        <f>IF(BJ65&lt;&gt;-999,BJ65*$DI65, -999)</f>
        <v>-41394917.019336984</v>
      </c>
      <c r="DL65" s="27">
        <f>IF(BK65&lt;&gt;-999,BK65*$DI65, -999)</f>
        <v>-93703401.227549627</v>
      </c>
      <c r="DM65" s="28">
        <f t="shared" si="18"/>
        <v>-831810018.63142121</v>
      </c>
      <c r="DN65" s="22">
        <f t="shared" si="19"/>
        <v>-17.170000000000002</v>
      </c>
      <c r="DO65">
        <f>IF(AT65&lt;&gt;-999,AT65*$DN65, -999)</f>
        <v>-59932623.910876349</v>
      </c>
      <c r="DP65">
        <f>IF(AU65&lt;&gt;-999,AU65*$DN65, -999)</f>
        <v>-47428371.045992009</v>
      </c>
      <c r="DQ65" s="24">
        <f>IF(AV65&lt;&gt;-999,AV65*$DN65, -999)</f>
        <v>-107360992.09860513</v>
      </c>
      <c r="DR65">
        <f t="shared" si="20"/>
        <v>-19.943000000000001</v>
      </c>
      <c r="DS65">
        <f>IF(AW65&lt;&gt;-999,AW65*$DR65, -999)</f>
        <v>-35056136.048986122</v>
      </c>
      <c r="DT65">
        <f>IF(AX65&lt;&gt;-999,AX65*$DR65, -999)</f>
        <v>-27742077.994610056</v>
      </c>
      <c r="DU65" s="24">
        <f>IF(AY65&lt;&gt;-999,AY65*$DR65, -999)</f>
        <v>-62798210.723715931</v>
      </c>
      <c r="DV65">
        <f t="shared" si="21"/>
        <v>-25.870999999999999</v>
      </c>
      <c r="DW65">
        <f>IF(AZ65&lt;&gt;-999,AZ65*$DV65, -999)</f>
        <v>-81103825.051934451</v>
      </c>
      <c r="DX65">
        <f>IF(BA65&lt;&gt;-999,BA65*$DV65, -999)</f>
        <v>-64182444.377412796</v>
      </c>
      <c r="DY65" s="24">
        <f>IF(BB65&lt;&gt;-999,BB65*$DV65, -999)</f>
        <v>-145286273.73605245</v>
      </c>
      <c r="DZ65">
        <f t="shared" si="22"/>
        <v>-25.245000000000001</v>
      </c>
      <c r="EA65">
        <f>IF(BC65&lt;&gt;-999, BC65*$DZ65, -999)</f>
        <v>-24127365.586621858</v>
      </c>
      <c r="EB65">
        <f>IF(BD65&lt;&gt;-999, BD65*$DZ65, -999)</f>
        <v>-19093468.841804061</v>
      </c>
      <c r="EC65" s="24">
        <f>IF(BE65&lt;&gt;-999, BE65*$DZ65, -999)</f>
        <v>-43220834.428425923</v>
      </c>
      <c r="ED65">
        <f t="shared" si="23"/>
        <v>-29.317</v>
      </c>
      <c r="EE65">
        <f>IF(BF65&lt;&gt;-999,BF65*$ED65, -999)</f>
        <v>-14110244.802084291</v>
      </c>
      <c r="EF65">
        <f>IF(BG65&lt;&gt;-999,BG65*$ED65, -999)</f>
        <v>-11166307.01152819</v>
      </c>
      <c r="EG65" s="24">
        <f>IF(BH65&lt;&gt;-999,BH65*$ED65, -999)</f>
        <v>-25276551.81361248</v>
      </c>
      <c r="EH65">
        <f t="shared" si="24"/>
        <v>-38.03</v>
      </c>
      <c r="EI65">
        <f>IF(BI65&lt;&gt;-999,BI65*$EH65, -999)</f>
        <v>-32643446.905781537</v>
      </c>
      <c r="EJ65">
        <f>IF(BJ65&lt;&gt;-999,BJ65*$EH65, -999)</f>
        <v>-25832764.920337804</v>
      </c>
      <c r="EK65" s="24">
        <f>IF(BK65&lt;&gt;-999,BK65*$EH65, -999)</f>
        <v>-58476211.826119341</v>
      </c>
      <c r="EL65" s="28">
        <f t="shared" si="25"/>
        <v>-442419074.62653124</v>
      </c>
      <c r="EM65" s="22">
        <f>-17.17-(0.1023*G65)+H65*(100+102.093-66.644-64.243)</f>
        <v>18.4500551559453</v>
      </c>
      <c r="EN65">
        <f>IF(AT65&lt;&gt;-999,AT65*$EM65, -999)</f>
        <v>64400711.519871555</v>
      </c>
      <c r="EO65">
        <f>IF(AU65&lt;&gt;-999,AU65*$EM65, -999)</f>
        <v>50964243.550098523</v>
      </c>
      <c r="EP65" s="23">
        <f>IF(AV65&lt;&gt;-999,AV65*$EM65, -999)</f>
        <v>115364951.99861805</v>
      </c>
      <c r="EQ65">
        <f>-19.943-(0.1023*G65)+H65*(100+102.093-66.644-64.243)</f>
        <v>15.677055155945304</v>
      </c>
      <c r="ER65">
        <f>IF(AW65&lt;&gt;-999,AW65*$EQ65, -999)</f>
        <v>27557387.474014837</v>
      </c>
      <c r="ES65">
        <f>IF(AX65&lt;&gt;-999,AX65*$EQ65, -999)</f>
        <v>21807856.734796084</v>
      </c>
      <c r="ET65" s="23">
        <f>IF(AY65&lt;&gt;-999,AY65*$EQ65, -999)</f>
        <v>49365241.599075891</v>
      </c>
      <c r="EU65">
        <f>-25.871-(0.1023*G65)+H65*(100+102.093-66.644-64.243)</f>
        <v>9.7490551559453067</v>
      </c>
      <c r="EV65">
        <f>IF(AZ65&lt;&gt;-999,AZ65*$EU65, -999)</f>
        <v>30562624.706793234</v>
      </c>
      <c r="EW65">
        <f>IF(BA65&lt;&gt;-999,BA65*$EU65, -999)</f>
        <v>24186084.429623485</v>
      </c>
      <c r="EX65" s="23">
        <f>IF(BB65&lt;&gt;-999,BB65*$EU65, -999)</f>
        <v>54748710.759326793</v>
      </c>
      <c r="EY65">
        <f>-25.245-(0.1023*G65)+H65*(100+102.093-66.644-64.243)</f>
        <v>10.375055155945297</v>
      </c>
      <c r="EZ65">
        <f>IF(BC65&lt;&gt;-999, BC65*$EY65, -999)</f>
        <v>9915735.738912981</v>
      </c>
      <c r="FA65">
        <f>IF(BD65&lt;&gt;-999, BD65*$EY65, -999)</f>
        <v>7846931.7628061045</v>
      </c>
      <c r="FB65" s="23">
        <f>IF(BE65&lt;&gt;-999, BE65*$EY65, -999)</f>
        <v>17762667.501719087</v>
      </c>
      <c r="FC65">
        <f>-29.317-(0.1023*G65)+H65*(100+102.093-66.644-64.243)</f>
        <v>6.3030551559453016</v>
      </c>
      <c r="FD65">
        <f>IF(BF65&lt;&gt;-999,BF65*$FC65, -999)</f>
        <v>3033654.5775975636</v>
      </c>
      <c r="FE65">
        <f>IF(BG65&lt;&gt;-999,BG65*$FC65, -999)</f>
        <v>2400717.9787113597</v>
      </c>
      <c r="FF65" s="23">
        <f>IF(BH65&lt;&gt;-999,BH65*$FC65, -999)</f>
        <v>5434372.5563089233</v>
      </c>
      <c r="FG65">
        <f>-38.03-(0.1023*G65)+H65*(100+102.093-66.644-64.243)</f>
        <v>-2.4099448440546993</v>
      </c>
      <c r="FH65">
        <f>IF(BI65&lt;&gt;-999,BI65*$FG65, -999)</f>
        <v>-2068601.2769592833</v>
      </c>
      <c r="FI65">
        <f>IF(BJ65&lt;&gt;-999,BJ65*$FG65, -999)</f>
        <v>-1637011.2707716327</v>
      </c>
      <c r="FJ65" s="23">
        <f>IF(BK65&lt;&gt;-999,BK65*$FG65, -999)</f>
        <v>-3705612.5477309157</v>
      </c>
      <c r="FK65" s="28">
        <f t="shared" si="26"/>
        <v>238970331.86731783</v>
      </c>
      <c r="FL65" s="22">
        <f t="shared" si="28"/>
        <v>10.012280000000011</v>
      </c>
      <c r="FM65">
        <f>IF(AT65&lt;&gt;-999,AT65*$FL65, -999)</f>
        <v>34948294.218426883</v>
      </c>
      <c r="FN65">
        <f>IF(AU65&lt;&gt;-999,AU65*$FL65, -999)</f>
        <v>27656734.470376551</v>
      </c>
      <c r="FO65" s="29">
        <f>IF(AV65&lt;&gt;-999,AV65*$FL65, -999)</f>
        <v>62605027.022074737</v>
      </c>
      <c r="FP65">
        <f t="shared" si="29"/>
        <v>7.2392800000000115</v>
      </c>
      <c r="FQ65">
        <f>IF(AW65&lt;&gt;-999,AW65*$FP65, -999)</f>
        <v>12725326.40910117</v>
      </c>
      <c r="FR65">
        <f>IF(AX65&lt;&gt;-999,AX65*$FP65, -999)</f>
        <v>10070333.971058566</v>
      </c>
      <c r="FS65" s="29">
        <f>IF(AY65&lt;&gt;-999,AY65*$FP65, -999)</f>
        <v>22795659.175048035</v>
      </c>
      <c r="FT65">
        <f t="shared" si="30"/>
        <v>1.3112800000000142</v>
      </c>
      <c r="FU65">
        <f>IF(AZ65&lt;&gt;-999,AZ65*$FT65, -999)</f>
        <v>4110773.59646329</v>
      </c>
      <c r="FV65">
        <f>IF(BA65&lt;&gt;-999,BA65*$FT65, -999)</f>
        <v>3253107.9457003893</v>
      </c>
      <c r="FW65" s="29">
        <f>IF(BB65&lt;&gt;-999,BB65*$FT65, -999)</f>
        <v>7363881.7604504246</v>
      </c>
      <c r="FX65">
        <f t="shared" si="31"/>
        <v>1.9372800000000119</v>
      </c>
      <c r="FY65">
        <f>IF(BC65&lt;&gt;-999, BC65*$FX65, -999)</f>
        <v>1851513.6781006565</v>
      </c>
      <c r="FZ65">
        <f>IF(BD65&lt;&gt;-999, BD65*$FX65, -999)</f>
        <v>1465216.6891602457</v>
      </c>
      <c r="GA65" s="29">
        <f>IF(BE65&lt;&gt;-999, BE65*$FX65, -999)</f>
        <v>3316730.3672609022</v>
      </c>
      <c r="GB65">
        <f t="shared" si="32"/>
        <v>-2.1347199999999873</v>
      </c>
      <c r="GC65">
        <f>IF(BF65&lt;&gt;-999,BF65*$GB65, -999)</f>
        <v>-1027438.7482997987</v>
      </c>
      <c r="GD65">
        <f>IF(BG65&lt;&gt;-999,BG65*$GB65, -999)</f>
        <v>-813075.65247635555</v>
      </c>
      <c r="GE65" s="29">
        <f>IF(BH65&lt;&gt;-999,BH65*$GB65, -999)</f>
        <v>-1840514.4007761544</v>
      </c>
      <c r="GF65">
        <f t="shared" si="33"/>
        <v>-10.847719999999988</v>
      </c>
      <c r="GG65">
        <f>IF(BI65&lt;&gt;-999,BI65*$GF65, -999)</f>
        <v>-9311253.5332312416</v>
      </c>
      <c r="GH65">
        <f>IF(BJ65&lt;&gt;-999,BJ65*$GF65, -999)</f>
        <v>-7368566.9387758737</v>
      </c>
      <c r="GI65" s="29">
        <f>IF(BK65&lt;&gt;-999,BK65*$GF65, -999)</f>
        <v>-16679820.472007114</v>
      </c>
      <c r="GJ65" s="30">
        <f t="shared" si="27"/>
        <v>77560963.452050835</v>
      </c>
    </row>
    <row r="66" spans="1:192">
      <c r="A66" s="48" t="s">
        <v>146</v>
      </c>
      <c r="B66" s="48" t="s">
        <v>205</v>
      </c>
      <c r="C66" s="49">
        <v>31</v>
      </c>
      <c r="D66" s="50">
        <v>0.85299999999999998</v>
      </c>
      <c r="E66" s="49">
        <v>96.261160082090001</v>
      </c>
      <c r="F66" s="49">
        <v>0.78747585237180995</v>
      </c>
      <c r="G66" s="49">
        <v>148.78832117133501</v>
      </c>
      <c r="H66" s="49">
        <v>0.81284425759368995</v>
      </c>
      <c r="I66" s="42">
        <v>68898.899999999994</v>
      </c>
      <c r="J66" s="43">
        <v>-999</v>
      </c>
      <c r="K66" s="43">
        <f t="shared" ref="K66:K129" si="39">IF(J66&lt;&gt;-999, I66+J66, I66)</f>
        <v>68898.899999999994</v>
      </c>
      <c r="L66" s="43">
        <v>36110.6</v>
      </c>
      <c r="M66" s="43">
        <v>-999</v>
      </c>
      <c r="N66" s="43">
        <f t="shared" ref="N66:N129" si="40">IF(M66&lt;&gt;-999, L66+M66, L66)</f>
        <v>36110.6</v>
      </c>
      <c r="O66" s="43">
        <v>65716.7</v>
      </c>
      <c r="P66" s="43">
        <v>-999</v>
      </c>
      <c r="Q66" s="43">
        <f t="shared" ref="Q66:Q129" si="41">IF(P66&lt;&gt;-999, O66+P66, O66)</f>
        <v>65716.7</v>
      </c>
      <c r="R66" s="43">
        <v>63310.5</v>
      </c>
      <c r="S66" s="43">
        <v>-999</v>
      </c>
      <c r="T66" s="43">
        <f t="shared" ref="T66:T129" si="42">IF(S66&lt;&gt;-999, R66+S66, R66)</f>
        <v>63310.5</v>
      </c>
      <c r="U66" s="43">
        <v>33181.599999999999</v>
      </c>
      <c r="V66" s="43">
        <v>-999</v>
      </c>
      <c r="W66" s="43">
        <f t="shared" ref="W66:W129" si="43">IF(V66&lt;&gt;-999, U66+V66, U66)</f>
        <v>33181.599999999999</v>
      </c>
      <c r="X66" s="43">
        <v>60386.5</v>
      </c>
      <c r="Y66" s="43">
        <v>-999</v>
      </c>
      <c r="Z66" s="43">
        <f t="shared" ref="Z66:Z129" si="44">IF(Y66&lt;&gt;-999, X66+Y66, X66)</f>
        <v>60386.5</v>
      </c>
      <c r="AA66" s="22">
        <v>1764210.2</v>
      </c>
      <c r="AB66">
        <v>-999</v>
      </c>
      <c r="AC66">
        <v>1764210.2</v>
      </c>
      <c r="AD66">
        <v>924639.8</v>
      </c>
      <c r="AE66">
        <v>-999</v>
      </c>
      <c r="AF66">
        <v>924639.8</v>
      </c>
      <c r="AG66">
        <v>1682729.1</v>
      </c>
      <c r="AH66">
        <v>-999</v>
      </c>
      <c r="AI66">
        <v>1682729.1</v>
      </c>
      <c r="AJ66">
        <v>1621115.7</v>
      </c>
      <c r="AK66">
        <v>-999</v>
      </c>
      <c r="AL66">
        <v>1621115.7</v>
      </c>
      <c r="AM66">
        <v>849642.6</v>
      </c>
      <c r="AN66">
        <v>-999</v>
      </c>
      <c r="AO66">
        <v>849642.6</v>
      </c>
      <c r="AP66">
        <v>1546243.5</v>
      </c>
      <c r="AQ66">
        <v>-999</v>
      </c>
      <c r="AR66">
        <v>1546243.5</v>
      </c>
      <c r="AS66">
        <v>8388580.7599999998</v>
      </c>
      <c r="AT66" s="22">
        <f t="shared" si="37"/>
        <v>2936853.3305766447</v>
      </c>
      <c r="AU66">
        <f t="shared" si="37"/>
        <v>-999</v>
      </c>
      <c r="AV66">
        <f t="shared" si="37"/>
        <v>2936853.3305766447</v>
      </c>
      <c r="AW66">
        <f t="shared" si="37"/>
        <v>1539233.520027105</v>
      </c>
      <c r="AX66">
        <f t="shared" si="37"/>
        <v>-999</v>
      </c>
      <c r="AY66">
        <f t="shared" si="37"/>
        <v>1539233.520027105</v>
      </c>
      <c r="AZ66">
        <f t="shared" si="37"/>
        <v>2801213.0084007229</v>
      </c>
      <c r="BA66">
        <f t="shared" si="37"/>
        <v>-999</v>
      </c>
      <c r="BB66">
        <f t="shared" si="37"/>
        <v>2801213.0084007229</v>
      </c>
      <c r="BC66">
        <f t="shared" si="37"/>
        <v>2698646.1379687577</v>
      </c>
      <c r="BD66">
        <f t="shared" si="37"/>
        <v>-999</v>
      </c>
      <c r="BE66">
        <f t="shared" si="37"/>
        <v>2698646.1379687577</v>
      </c>
      <c r="BF66">
        <f t="shared" si="37"/>
        <v>1414386.8455186349</v>
      </c>
      <c r="BG66">
        <f t="shared" si="37"/>
        <v>-999</v>
      </c>
      <c r="BH66">
        <f t="shared" si="37"/>
        <v>1414386.8455186349</v>
      </c>
      <c r="BI66">
        <f t="shared" si="37"/>
        <v>2574007.5490196622</v>
      </c>
      <c r="BJ66">
        <f t="shared" si="38"/>
        <v>-999</v>
      </c>
      <c r="BK66">
        <f t="shared" si="38"/>
        <v>2574007.5490196622</v>
      </c>
      <c r="BL66">
        <f t="shared" si="38"/>
        <v>13964340.1584557</v>
      </c>
      <c r="BM66" s="22">
        <f>-17.17-(0.1023*E66)+F66*(100-8.576-13.681)</f>
        <v>34.203218514543813</v>
      </c>
      <c r="BN66">
        <f>IF(AT66&lt;&gt;-999,AT66*$BM66, -999)</f>
        <v>100449836.21087876</v>
      </c>
      <c r="BO66">
        <f>IF(AU66&lt;&gt;-999,AU66*$BM66, -999)</f>
        <v>-999</v>
      </c>
      <c r="BP66" s="25">
        <f>IF(AV66&lt;&gt;-999,AV66*$BM66, -999)</f>
        <v>100449836.21087876</v>
      </c>
      <c r="BQ66">
        <f>-19.943-(0.1023*E66)+F66*(100-8.576-13.681)</f>
        <v>31.430218514543817</v>
      </c>
      <c r="BR66">
        <f>IF(AW66&lt;&gt;-999,AW66*$BQ66, -999)</f>
        <v>48378445.879362367</v>
      </c>
      <c r="BS66">
        <f>IF(AX66&lt;&gt;-999,AX66*$BQ66, -999)</f>
        <v>-999</v>
      </c>
      <c r="BT66" s="25">
        <f>IF(AY66&lt;&gt;-999,AY66*$BQ66, -999)</f>
        <v>48378445.879362367</v>
      </c>
      <c r="BU66">
        <f>-25.871-(0.1023*E66)+F66*(100-8.576-13.681)</f>
        <v>25.50221851454382</v>
      </c>
      <c r="BV66">
        <f>IF(AZ66&lt;&gt;-999,AZ66*$BU66, -999)</f>
        <v>71437146.246017903</v>
      </c>
      <c r="BW66">
        <f>IF(BA66&lt;&gt;-999,BA66*$BU66, -999)</f>
        <v>-999</v>
      </c>
      <c r="BX66" s="25">
        <f>IF(BB66&lt;&gt;-999,BB66*$BU66, -999)</f>
        <v>71437146.246017903</v>
      </c>
      <c r="BY66">
        <f>-25.245-(0.1023*E66)+F66*(100-8.576-13.681)</f>
        <v>26.128218514543818</v>
      </c>
      <c r="BZ66">
        <f>IF(BC66&lt;&gt;-999,BC66*$BY66, -999)</f>
        <v>70510815.986277461</v>
      </c>
      <c r="CA66">
        <f>IF(BD66&lt;&gt;-999,BD66*$BY66, -999)</f>
        <v>-999</v>
      </c>
      <c r="CB66" s="25">
        <f>IF(BE66&lt;&gt;-999,BE66*$BY66, -999)</f>
        <v>70510815.986277461</v>
      </c>
      <c r="CC66">
        <f>-29.317-(0.1023*E66)+F66*(100-8.576-13.681)</f>
        <v>22.056218514543815</v>
      </c>
      <c r="CD66">
        <f>IF(BF66&lt;&gt;-999,BF66*$CC66, -999)</f>
        <v>31196025.328855336</v>
      </c>
      <c r="CE66">
        <f>IF(BG66&lt;&gt;-999,BG66*$CC66, -999)</f>
        <v>-999</v>
      </c>
      <c r="CF66" s="25">
        <f>IF(BH66&lt;&gt;-999,BH66*$CC66, -999)</f>
        <v>31196025.328855336</v>
      </c>
      <c r="CG66">
        <f>-38.03-(0.1023*E66)+F66*(100-8.576-13.681)</f>
        <v>13.343218514543814</v>
      </c>
      <c r="CH66">
        <f>IF(BI66&lt;&gt;-999,BI66*$CG66, -999)</f>
        <v>34345545.184654698</v>
      </c>
      <c r="CI66">
        <f>IF(BJ66&lt;&gt;-999,BJ66*$CG66, -999)</f>
        <v>-999</v>
      </c>
      <c r="CJ66" s="25">
        <f>IF(BK66&lt;&gt;-999,BK66*$CG66, -999)</f>
        <v>34345545.184654698</v>
      </c>
      <c r="CK66" s="26">
        <f t="shared" ref="CK66:CK129" si="45">BP66+BT66+BX66+CB66+CF66+CJ66</f>
        <v>356317814.83604652</v>
      </c>
      <c r="CL66">
        <f t="shared" ref="CL66:CL129" si="46">((-55.825+0.1023*$E66)/$F66)+8.576+13.681</f>
        <v>-36.128896132715617</v>
      </c>
      <c r="CM66">
        <f t="shared" ref="CM66:CM129" si="47">((-10.38+0.1023*$E66)/$F66)+8.576+13.681</f>
        <v>21.58080996572987</v>
      </c>
      <c r="CN66">
        <f t="shared" ref="CN66:CN129" si="48">((-100.485+0.1023*$E66)/$F66)+8.576+13.681</f>
        <v>-92.84174626708851</v>
      </c>
      <c r="CO66" s="22">
        <f t="shared" ref="CO66:CO129" si="49">-17.17-22.91</f>
        <v>-40.08</v>
      </c>
      <c r="CP66">
        <f>IF(AT66&lt;&gt;-999,AT66*$CO66, -999)</f>
        <v>-117709081.48951192</v>
      </c>
      <c r="CQ66">
        <f>IF(AU66&lt;&gt;-999,AU66*$CO66, -999)</f>
        <v>-999</v>
      </c>
      <c r="CR66" s="27">
        <f>IF(AV66&lt;&gt;-999,AV66*$CO66, -999)</f>
        <v>-117709081.48951192</v>
      </c>
      <c r="CS66">
        <f t="shared" ref="CS66:CS129" si="50">-19.943-22.91</f>
        <v>-42.853000000000002</v>
      </c>
      <c r="CT66">
        <f>IF(AW66&lt;&gt;-999,AW66*$CS66, -999)</f>
        <v>-65960774.033721536</v>
      </c>
      <c r="CU66">
        <f>IF(AX66&lt;&gt;-999,AX66*$CS66, -999)</f>
        <v>-999</v>
      </c>
      <c r="CV66" s="27">
        <f>IF(AY66&lt;&gt;-999,AY66*$CS66, -999)</f>
        <v>-65960774.033721536</v>
      </c>
      <c r="CW66">
        <f t="shared" ref="CW66:CW129" si="51">-25.871-22.91</f>
        <v>-48.780999999999999</v>
      </c>
      <c r="CX66">
        <f>IF(AZ66&lt;&gt;-999,AZ66*$CO66, -999)</f>
        <v>-112272617.37670097</v>
      </c>
      <c r="CY66">
        <f>IF(BA66&lt;&gt;-999,BA66*$CO66, -999)</f>
        <v>-999</v>
      </c>
      <c r="CZ66" s="27">
        <f>IF(BB66&lt;&gt;-999,BB66*$CO66, -999)</f>
        <v>-112272617.37670097</v>
      </c>
      <c r="DA66">
        <f t="shared" ref="DA66:DA129" si="52">-25.245-22.91</f>
        <v>-48.155000000000001</v>
      </c>
      <c r="DB66">
        <f>IF(BC66&lt;&gt;-999,BC66*$DA66, -999)</f>
        <v>-129953304.77388553</v>
      </c>
      <c r="DC66">
        <f>IF(BD66&lt;&gt;-999,BD66*$DA66, -999)</f>
        <v>-999</v>
      </c>
      <c r="DD66" s="27">
        <f>IF(BE66&lt;&gt;-999,BE66*$DA66, -999)</f>
        <v>-129953304.77388553</v>
      </c>
      <c r="DE66">
        <f t="shared" ref="DE66:DE129" si="53">-29.317-22.91</f>
        <v>-52.227000000000004</v>
      </c>
      <c r="DF66">
        <f>IF(BF66&lt;&gt;-999,BF66*$DE66, -999)</f>
        <v>-73869181.780901745</v>
      </c>
      <c r="DG66">
        <f>IF(BG66&lt;&gt;-999,BG66*$DE66, -999)</f>
        <v>-999</v>
      </c>
      <c r="DH66" s="27">
        <f>IF(BH66&lt;&gt;-999,BH66*$DE66, -999)</f>
        <v>-73869181.780901745</v>
      </c>
      <c r="DI66">
        <f t="shared" ref="DI66:DI129" si="54">-38.03-22.91</f>
        <v>-60.94</v>
      </c>
      <c r="DJ66">
        <f>IF(BI66&lt;&gt;-999,BI66*$DI66, -999)</f>
        <v>-156860020.03725821</v>
      </c>
      <c r="DK66">
        <f>IF(BJ66&lt;&gt;-999,BJ66*$DI66, -999)</f>
        <v>-999</v>
      </c>
      <c r="DL66" s="27">
        <f>IF(BK66&lt;&gt;-999,BK66*$DI66, -999)</f>
        <v>-156860020.03725821</v>
      </c>
      <c r="DM66" s="28">
        <f t="shared" ref="DM66:DM129" si="55">CR66+CV66+CZ66+DD66+DH66+DL66</f>
        <v>-656624979.49197984</v>
      </c>
      <c r="DN66" s="22">
        <f t="shared" ref="DN66:DN129" si="56">-17.17</f>
        <v>-17.170000000000002</v>
      </c>
      <c r="DO66">
        <f>IF(AT66&lt;&gt;-999,AT66*$DN66, -999)</f>
        <v>-50425771.686000995</v>
      </c>
      <c r="DP66">
        <f>IF(AU66&lt;&gt;-999,AU66*$DN66, -999)</f>
        <v>-999</v>
      </c>
      <c r="DQ66" s="24">
        <f>IF(AV66&lt;&gt;-999,AV66*$DN66, -999)</f>
        <v>-50425771.686000995</v>
      </c>
      <c r="DR66">
        <f t="shared" ref="DR66:DR129" si="57">-19.943</f>
        <v>-19.943000000000001</v>
      </c>
      <c r="DS66">
        <f>IF(AW66&lt;&gt;-999,AW66*$DR66, -999)</f>
        <v>-30696934.089900557</v>
      </c>
      <c r="DT66">
        <f>IF(AX66&lt;&gt;-999,AX66*$DR66, -999)</f>
        <v>-999</v>
      </c>
      <c r="DU66" s="24">
        <f>IF(AY66&lt;&gt;-999,AY66*$DR66, -999)</f>
        <v>-30696934.089900557</v>
      </c>
      <c r="DV66">
        <f t="shared" ref="DV66:DV129" si="58">-25.871</f>
        <v>-25.870999999999999</v>
      </c>
      <c r="DW66">
        <f>IF(AZ66&lt;&gt;-999,AZ66*$DV66, -999)</f>
        <v>-72470181.740335092</v>
      </c>
      <c r="DX66">
        <f>IF(BA66&lt;&gt;-999,BA66*$DV66, -999)</f>
        <v>-999</v>
      </c>
      <c r="DY66" s="24">
        <f>IF(BB66&lt;&gt;-999,BB66*$DV66, -999)</f>
        <v>-72470181.740335092</v>
      </c>
      <c r="DZ66">
        <f t="shared" ref="DZ66:DZ129" si="59">-25.245</f>
        <v>-25.245000000000001</v>
      </c>
      <c r="EA66">
        <f>IF(BC66&lt;&gt;-999, BC66*$DZ66, -999)</f>
        <v>-68127321.753021285</v>
      </c>
      <c r="EB66">
        <f>IF(BD66&lt;&gt;-999, BD66*$DZ66, -999)</f>
        <v>-999</v>
      </c>
      <c r="EC66" s="24">
        <f>IF(BE66&lt;&gt;-999, BE66*$DZ66, -999)</f>
        <v>-68127321.753021285</v>
      </c>
      <c r="ED66">
        <f t="shared" ref="ED66:ED129" si="60">-29.317</f>
        <v>-29.317</v>
      </c>
      <c r="EE66">
        <f>IF(BF66&lt;&gt;-999,BF66*$ED66, -999)</f>
        <v>-41465579.150069818</v>
      </c>
      <c r="EF66">
        <f>IF(BG66&lt;&gt;-999,BG66*$ED66, -999)</f>
        <v>-999</v>
      </c>
      <c r="EG66" s="24">
        <f>IF(BH66&lt;&gt;-999,BH66*$ED66, -999)</f>
        <v>-41465579.150069818</v>
      </c>
      <c r="EH66">
        <f t="shared" ref="EH66:EH129" si="61">-38.03</f>
        <v>-38.03</v>
      </c>
      <c r="EI66">
        <f>IF(BI66&lt;&gt;-999,BI66*$EH66, -999)</f>
        <v>-97889507.089217752</v>
      </c>
      <c r="EJ66">
        <f>IF(BJ66&lt;&gt;-999,BJ66*$EH66, -999)</f>
        <v>-999</v>
      </c>
      <c r="EK66" s="24">
        <f>IF(BK66&lt;&gt;-999,BK66*$EH66, -999)</f>
        <v>-97889507.089217752</v>
      </c>
      <c r="EL66" s="28">
        <f t="shared" ref="EL66:EL129" si="62">DQ66+DU66+DY66+EC66+EG66+EK66</f>
        <v>-361075295.50854552</v>
      </c>
      <c r="EM66" s="22">
        <f>-17.17-(0.1023*G66)+H66*(100+102.093-66.644-64.243)</f>
        <v>25.48834295038872</v>
      </c>
      <c r="EN66">
        <f>IF(AT66&lt;&gt;-999,AT66*$EM66, -999)</f>
        <v>74855524.884728849</v>
      </c>
      <c r="EO66">
        <f>IF(AU66&lt;&gt;-999,AU66*$EM66, -999)</f>
        <v>-999</v>
      </c>
      <c r="EP66" s="23">
        <f>IF(AV66&lt;&gt;-999,AV66*$EM66, -999)</f>
        <v>74855524.884728849</v>
      </c>
      <c r="EQ66">
        <f>-19.943-(0.1023*G66)+H66*(100+102.093-66.644-64.243)</f>
        <v>22.715342950388724</v>
      </c>
      <c r="ER66">
        <f>IF(AW66&lt;&gt;-999,AW66*$EQ66, -999)</f>
        <v>34964217.288149722</v>
      </c>
      <c r="ES66">
        <f>IF(AX66&lt;&gt;-999,AX66*$EQ66, -999)</f>
        <v>-999</v>
      </c>
      <c r="ET66" s="23">
        <f>IF(AY66&lt;&gt;-999,AY66*$EQ66, -999)</f>
        <v>34964217.288149722</v>
      </c>
      <c r="EU66">
        <f>-25.871-(0.1023*G66)+H66*(100+102.093-66.644-64.243)</f>
        <v>16.787342950388727</v>
      </c>
      <c r="EV66">
        <f>IF(AZ66&lt;&gt;-999,AZ66*$EU66, -999)</f>
        <v>47024923.449113071</v>
      </c>
      <c r="EW66">
        <f>IF(BA66&lt;&gt;-999,BA66*$EU66, -999)</f>
        <v>-999</v>
      </c>
      <c r="EX66" s="23">
        <f>IF(BB66&lt;&gt;-999,BB66*$EU66, -999)</f>
        <v>47024923.449113071</v>
      </c>
      <c r="EY66">
        <f>-25.245-(0.1023*G66)+H66*(100+102.093-66.644-64.243)</f>
        <v>17.413342950388724</v>
      </c>
      <c r="EZ66">
        <f>IF(BC66&lt;&gt;-999, BC66*$EY66, -999)</f>
        <v>46992450.702192023</v>
      </c>
      <c r="FA66">
        <f>IF(BD66&lt;&gt;-999, BD66*$EY66, -999)</f>
        <v>-999</v>
      </c>
      <c r="FB66" s="23">
        <f>IF(BE66&lt;&gt;-999, BE66*$EY66, -999)</f>
        <v>46992450.702192023</v>
      </c>
      <c r="FC66">
        <f>-29.317-(0.1023*G66)+H66*(100+102.093-66.644-64.243)</f>
        <v>13.341342950388729</v>
      </c>
      <c r="FD66">
        <f>IF(BF66&lt;&gt;-999,BF66*$FC66, -999)</f>
        <v>18869819.97058259</v>
      </c>
      <c r="FE66">
        <f>IF(BG66&lt;&gt;-999,BG66*$FC66, -999)</f>
        <v>-999</v>
      </c>
      <c r="FF66" s="23">
        <f>IF(BH66&lt;&gt;-999,BH66*$FC66, -999)</f>
        <v>18869819.97058259</v>
      </c>
      <c r="FG66">
        <f>-38.03-(0.1023*G66)+H66*(100+102.093-66.644-64.243)</f>
        <v>4.6283429503887206</v>
      </c>
      <c r="FH66">
        <f>IF(BI66&lt;&gt;-999,BI66*$FG66, -999)</f>
        <v>11913389.693752503</v>
      </c>
      <c r="FI66">
        <f>IF(BJ66&lt;&gt;-999,BJ66*$FG66, -999)</f>
        <v>-999</v>
      </c>
      <c r="FJ66" s="23">
        <f>IF(BK66&lt;&gt;-999,BK66*$FG66, -999)</f>
        <v>11913389.693752503</v>
      </c>
      <c r="FK66" s="28">
        <f t="shared" ref="FK66:FK129" si="63">EP66+ET66+EX66+FB66+FF66+FJ66</f>
        <v>234620325.98851874</v>
      </c>
      <c r="FL66" s="22">
        <f t="shared" si="28"/>
        <v>10.012280000000011</v>
      </c>
      <c r="FM66">
        <f>IF(AT66&lt;&gt;-999,AT66*$FL66, -999)</f>
        <v>29404597.864665963</v>
      </c>
      <c r="FN66">
        <f>IF(AU66&lt;&gt;-999,AU66*$FL66, -999)</f>
        <v>-999</v>
      </c>
      <c r="FO66" s="29">
        <f>IF(AV66&lt;&gt;-999,AV66*$FL66, -999)</f>
        <v>29404597.864665963</v>
      </c>
      <c r="FP66">
        <f t="shared" si="29"/>
        <v>7.2392800000000115</v>
      </c>
      <c r="FQ66">
        <f>IF(AW66&lt;&gt;-999,AW66*$FP66, -999)</f>
        <v>11142942.436861839</v>
      </c>
      <c r="FR66">
        <f>IF(AX66&lt;&gt;-999,AX66*$FP66, -999)</f>
        <v>-999</v>
      </c>
      <c r="FS66" s="29">
        <f>IF(AY66&lt;&gt;-999,AY66*$FP66, -999)</f>
        <v>11142942.436861839</v>
      </c>
      <c r="FT66">
        <f t="shared" si="30"/>
        <v>1.3112800000000142</v>
      </c>
      <c r="FU66">
        <f>IF(AZ66&lt;&gt;-999,AZ66*$FT66, -999)</f>
        <v>3673174.5936557399</v>
      </c>
      <c r="FV66">
        <f>IF(BA66&lt;&gt;-999,BA66*$FT66, -999)</f>
        <v>-999</v>
      </c>
      <c r="FW66" s="29">
        <f>IF(BB66&lt;&gt;-999,BB66*$FT66, -999)</f>
        <v>3673174.5936557399</v>
      </c>
      <c r="FX66">
        <f t="shared" si="31"/>
        <v>1.9372800000000119</v>
      </c>
      <c r="FY66">
        <f>IF(BC66&lt;&gt;-999, BC66*$FX66, -999)</f>
        <v>5228033.1901641469</v>
      </c>
      <c r="FZ66">
        <f>IF(BD66&lt;&gt;-999, BD66*$FX66, -999)</f>
        <v>-999</v>
      </c>
      <c r="GA66" s="29">
        <f>IF(BE66&lt;&gt;-999, BE66*$FX66, -999)</f>
        <v>5228033.1901641469</v>
      </c>
      <c r="GB66">
        <f t="shared" si="32"/>
        <v>-2.1347199999999873</v>
      </c>
      <c r="GC66">
        <f>IF(BF66&lt;&gt;-999,BF66*$GB66, -999)</f>
        <v>-3019319.8868655222</v>
      </c>
      <c r="GD66">
        <f>IF(BG66&lt;&gt;-999,BG66*$GB66, -999)</f>
        <v>-999</v>
      </c>
      <c r="GE66" s="29">
        <f>IF(BH66&lt;&gt;-999,BH66*$GB66, -999)</f>
        <v>-3019319.8868655222</v>
      </c>
      <c r="GF66">
        <f t="shared" si="33"/>
        <v>-10.847719999999988</v>
      </c>
      <c r="GG66">
        <f>IF(BI66&lt;&gt;-999,BI66*$GF66, -999)</f>
        <v>-27922113.169651538</v>
      </c>
      <c r="GH66">
        <f>IF(BJ66&lt;&gt;-999,BJ66*$GF66, -999)</f>
        <v>-999</v>
      </c>
      <c r="GI66" s="29">
        <f>IF(BK66&lt;&gt;-999,BK66*$GF66, -999)</f>
        <v>-27922113.169651538</v>
      </c>
      <c r="GJ66" s="30">
        <f t="shared" ref="GJ66:GJ129" si="64">FO66+FS66+FW66+GA66+GE66+GI66</f>
        <v>18507315.028830633</v>
      </c>
    </row>
    <row r="67" spans="1:192">
      <c r="A67" s="48" t="s">
        <v>142</v>
      </c>
      <c r="B67" s="48" t="s">
        <v>206</v>
      </c>
      <c r="C67" s="49">
        <v>50</v>
      </c>
      <c r="D67" s="50">
        <v>0.84799999999999998</v>
      </c>
      <c r="E67" s="49">
        <v>66.324454850365697</v>
      </c>
      <c r="F67" s="49">
        <v>0.79430949654885197</v>
      </c>
      <c r="G67" s="49">
        <v>81.798302731955701</v>
      </c>
      <c r="H67" s="49">
        <v>0.81767459380844898</v>
      </c>
      <c r="I67" s="42">
        <v>37103.4</v>
      </c>
      <c r="J67" s="43">
        <v>10776.3</v>
      </c>
      <c r="K67" s="43">
        <f t="shared" si="39"/>
        <v>47879.7</v>
      </c>
      <c r="L67" s="43">
        <v>15790.8</v>
      </c>
      <c r="M67" s="43">
        <v>4586.3</v>
      </c>
      <c r="N67" s="43">
        <f t="shared" si="40"/>
        <v>20377.099999999999</v>
      </c>
      <c r="O67" s="43">
        <v>60614.6</v>
      </c>
      <c r="P67" s="43">
        <v>17605</v>
      </c>
      <c r="Q67" s="43">
        <f t="shared" si="41"/>
        <v>78219.600000000006</v>
      </c>
      <c r="R67" s="43">
        <v>43232</v>
      </c>
      <c r="S67" s="43">
        <v>12556.3</v>
      </c>
      <c r="T67" s="43">
        <f t="shared" si="42"/>
        <v>55788.3</v>
      </c>
      <c r="U67" s="43">
        <v>18399.099999999999</v>
      </c>
      <c r="V67" s="43">
        <v>5343.8</v>
      </c>
      <c r="W67" s="43">
        <f t="shared" si="43"/>
        <v>23742.899999999998</v>
      </c>
      <c r="X67" s="43">
        <v>70626.600000000006</v>
      </c>
      <c r="Y67" s="43">
        <v>20512.8</v>
      </c>
      <c r="Z67" s="43">
        <f t="shared" si="44"/>
        <v>91139.400000000009</v>
      </c>
      <c r="AA67" s="22">
        <v>357591.3</v>
      </c>
      <c r="AB67">
        <v>90370.5</v>
      </c>
      <c r="AC67">
        <v>447961.8</v>
      </c>
      <c r="AD67">
        <v>152187.1</v>
      </c>
      <c r="AE67">
        <v>38460.699999999997</v>
      </c>
      <c r="AF67">
        <v>190647.8</v>
      </c>
      <c r="AG67">
        <v>584184.69999999995</v>
      </c>
      <c r="AH67">
        <v>147635.1</v>
      </c>
      <c r="AI67">
        <v>731819.8</v>
      </c>
      <c r="AJ67">
        <v>416656.4</v>
      </c>
      <c r="AK67">
        <v>105297.4</v>
      </c>
      <c r="AL67">
        <v>521953.9</v>
      </c>
      <c r="AM67">
        <v>177324.6</v>
      </c>
      <c r="AN67">
        <v>44813.5</v>
      </c>
      <c r="AO67">
        <v>222138.1</v>
      </c>
      <c r="AP67">
        <v>680677.3</v>
      </c>
      <c r="AQ67">
        <v>172020.8</v>
      </c>
      <c r="AR67">
        <v>852698.1</v>
      </c>
      <c r="AS67">
        <v>2967219.4</v>
      </c>
      <c r="AT67" s="22">
        <f t="shared" si="37"/>
        <v>595276.68550506746</v>
      </c>
      <c r="AU67">
        <f t="shared" si="37"/>
        <v>150438.3683479875</v>
      </c>
      <c r="AV67">
        <f t="shared" si="37"/>
        <v>745715.053853055</v>
      </c>
      <c r="AW67">
        <f t="shared" si="37"/>
        <v>253343.50266527251</v>
      </c>
      <c r="AX67">
        <f t="shared" si="37"/>
        <v>64024.930187632504</v>
      </c>
      <c r="AY67">
        <f t="shared" si="37"/>
        <v>317368.43285290501</v>
      </c>
      <c r="AZ67">
        <f t="shared" si="37"/>
        <v>972483.20062253252</v>
      </c>
      <c r="BA67">
        <f t="shared" si="37"/>
        <v>245765.85893507252</v>
      </c>
      <c r="BB67">
        <f t="shared" si="37"/>
        <v>1218249.0595576051</v>
      </c>
      <c r="BC67">
        <f t="shared" si="37"/>
        <v>693601.44048939005</v>
      </c>
      <c r="BD67">
        <f t="shared" si="37"/>
        <v>175286.947037865</v>
      </c>
      <c r="BE67">
        <f t="shared" si="37"/>
        <v>868888.55399570253</v>
      </c>
      <c r="BF67">
        <f t="shared" si="37"/>
        <v>295189.508655585</v>
      </c>
      <c r="BG67">
        <f t="shared" ref="BG67:BL98" si="65">IF(AN67&lt;&gt;-999,AN67*0.5*3.67*0.907185, -999)</f>
        <v>74600.337720412499</v>
      </c>
      <c r="BH67">
        <f t="shared" si="65"/>
        <v>369789.84637599753</v>
      </c>
      <c r="BI67">
        <f t="shared" si="65"/>
        <v>1133112.9337949175</v>
      </c>
      <c r="BJ67">
        <f t="shared" si="38"/>
        <v>286360.35513707995</v>
      </c>
      <c r="BK67">
        <f t="shared" si="38"/>
        <v>1419473.2889319975</v>
      </c>
      <c r="BL67">
        <f t="shared" si="38"/>
        <v>4939484.0690988144</v>
      </c>
      <c r="BM67" s="22">
        <f>-17.17-(0.1023*E67)+F67*(100-8.576-13.681)</f>
        <v>37.797011459004992</v>
      </c>
      <c r="BN67">
        <f>IF(AT67&lt;&gt;-999,AT67*$BM67, -999)</f>
        <v>22499679.703313544</v>
      </c>
      <c r="BO67">
        <f>IF(AU67&lt;&gt;-999,AU67*$BM67, -999)</f>
        <v>5686120.7323228978</v>
      </c>
      <c r="BP67" s="25">
        <f>IF(AV67&lt;&gt;-999,AV67*$BM67, -999)</f>
        <v>28185800.435636446</v>
      </c>
      <c r="BQ67">
        <f>-19.943-(0.1023*E67)+F67*(100-8.576-13.681)</f>
        <v>35.024011459004996</v>
      </c>
      <c r="BR67">
        <f>IF(AW67&lt;&gt;-999,AW67*$BQ67, -999)</f>
        <v>8873105.7404129673</v>
      </c>
      <c r="BS67">
        <f>IF(AX67&lt;&gt;-999,AX67*$BQ67, -999)</f>
        <v>2242409.8885536357</v>
      </c>
      <c r="BT67" s="25">
        <f>IF(AY67&lt;&gt;-999,AY67*$BQ67, -999)</f>
        <v>11115515.628966603</v>
      </c>
      <c r="BU67">
        <f>-25.871-(0.1023*E67)+F67*(100-8.576-13.681)</f>
        <v>29.096011459004998</v>
      </c>
      <c r="BV67">
        <f>IF(AZ67&lt;&gt;-999,AZ67*$BU67, -999)</f>
        <v>28295382.349003062</v>
      </c>
      <c r="BW67">
        <f>IF(BA67&lt;&gt;-999,BA67*$BU67, -999)</f>
        <v>7150806.2478070762</v>
      </c>
      <c r="BX67" s="25">
        <f>IF(BB67&lt;&gt;-999,BB67*$BU67, -999)</f>
        <v>35446188.59681014</v>
      </c>
      <c r="BY67">
        <f>-25.245-(0.1023*E67)+F67*(100-8.576-13.681)</f>
        <v>29.722011459004996</v>
      </c>
      <c r="BZ67">
        <f>IF(BC67&lt;&gt;-999,BC67*$BY67, -999)</f>
        <v>20615229.962208021</v>
      </c>
      <c r="CA67">
        <f>IF(BD67&lt;&gt;-999,BD67*$BY67, -999)</f>
        <v>5209880.6484734258</v>
      </c>
      <c r="CB67" s="25">
        <f>IF(BE67&lt;&gt;-999,BE67*$BY67, -999)</f>
        <v>25825115.558458552</v>
      </c>
      <c r="CC67">
        <f>-29.317-(0.1023*E67)+F67*(100-8.576-13.681)</f>
        <v>25.650011459004993</v>
      </c>
      <c r="CD67">
        <f>IF(BF67&lt;&gt;-999,BF67*$CC67, -999)</f>
        <v>7571614.2795938086</v>
      </c>
      <c r="CE67">
        <f>IF(BG67&lt;&gt;-999,BG67*$CC67, -999)</f>
        <v>1913499.5173742231</v>
      </c>
      <c r="CF67" s="25">
        <f>IF(BH67&lt;&gt;-999,BH67*$CC67, -999)</f>
        <v>9485113.7969680335</v>
      </c>
      <c r="CG67">
        <f>-38.03-(0.1023*E67)+F67*(100-8.576-13.681)</f>
        <v>16.937011459004992</v>
      </c>
      <c r="CH67">
        <f>IF(BI67&lt;&gt;-999,BI67*$CG67, -999)</f>
        <v>19191546.744031284</v>
      </c>
      <c r="CI67">
        <f>IF(BJ67&lt;&gt;-999,BJ67*$CG67, -999)</f>
        <v>4850088.6163614625</v>
      </c>
      <c r="CJ67" s="25">
        <f>IF(BK67&lt;&gt;-999,BK67*$CG67, -999)</f>
        <v>24041635.360392746</v>
      </c>
      <c r="CK67" s="26">
        <f t="shared" si="45"/>
        <v>134099369.37723252</v>
      </c>
      <c r="CL67">
        <f t="shared" si="46"/>
        <v>-39.482169029048002</v>
      </c>
      <c r="CM67">
        <f t="shared" si="47"/>
        <v>17.731045967689766</v>
      </c>
      <c r="CN67">
        <f t="shared" si="48"/>
        <v>-95.707104264042144</v>
      </c>
      <c r="CO67" s="22">
        <f t="shared" si="49"/>
        <v>-40.08</v>
      </c>
      <c r="CP67">
        <f>IF(AT67&lt;&gt;-999,AT67*$CO67, -999)</f>
        <v>-23858689.555043101</v>
      </c>
      <c r="CQ67">
        <f>IF(AU67&lt;&gt;-999,AU67*$CO67, -999)</f>
        <v>-6029569.8033873392</v>
      </c>
      <c r="CR67" s="27">
        <f>IF(AV67&lt;&gt;-999,AV67*$CO67, -999)</f>
        <v>-29888259.358430441</v>
      </c>
      <c r="CS67">
        <f t="shared" si="50"/>
        <v>-42.853000000000002</v>
      </c>
      <c r="CT67">
        <f>IF(AW67&lt;&gt;-999,AW67*$CS67, -999)</f>
        <v>-10856529.119714923</v>
      </c>
      <c r="CU67">
        <f>IF(AX67&lt;&gt;-999,AX67*$CS67, -999)</f>
        <v>-2743660.3333306159</v>
      </c>
      <c r="CV67" s="27">
        <f>IF(AY67&lt;&gt;-999,AY67*$CS67, -999)</f>
        <v>-13600189.45304554</v>
      </c>
      <c r="CW67">
        <f t="shared" si="51"/>
        <v>-48.780999999999999</v>
      </c>
      <c r="CX67">
        <f>IF(AZ67&lt;&gt;-999,AZ67*$CO67, -999)</f>
        <v>-38977126.680951104</v>
      </c>
      <c r="CY67">
        <f>IF(BA67&lt;&gt;-999,BA67*$CO67, -999)</f>
        <v>-9850295.6261177063</v>
      </c>
      <c r="CZ67" s="27">
        <f>IF(BB67&lt;&gt;-999,BB67*$CO67, -999)</f>
        <v>-48827422.30706881</v>
      </c>
      <c r="DA67">
        <f t="shared" si="52"/>
        <v>-48.155000000000001</v>
      </c>
      <c r="DB67">
        <f>IF(BC67&lt;&gt;-999,BC67*$DA67, -999)</f>
        <v>-33400377.366766579</v>
      </c>
      <c r="DC67">
        <f>IF(BD67&lt;&gt;-999,BD67*$DA67, -999)</f>
        <v>-8440942.9346083887</v>
      </c>
      <c r="DD67" s="27">
        <f>IF(BE67&lt;&gt;-999,BE67*$DA67, -999)</f>
        <v>-41841328.317663059</v>
      </c>
      <c r="DE67">
        <f t="shared" si="53"/>
        <v>-52.227000000000004</v>
      </c>
      <c r="DF67">
        <f>IF(BF67&lt;&gt;-999,BF67*$DE67, -999)</f>
        <v>-15416862.468555238</v>
      </c>
      <c r="DG67">
        <f>IF(BG67&lt;&gt;-999,BG67*$DE67, -999)</f>
        <v>-3896151.8381239837</v>
      </c>
      <c r="DH67" s="27">
        <f>IF(BH67&lt;&gt;-999,BH67*$DE67, -999)</f>
        <v>-19313014.306679223</v>
      </c>
      <c r="DI67">
        <f t="shared" si="54"/>
        <v>-60.94</v>
      </c>
      <c r="DJ67">
        <f>IF(BI67&lt;&gt;-999,BI67*$DI67, -999)</f>
        <v>-69051902.185462266</v>
      </c>
      <c r="DK67">
        <f>IF(BJ67&lt;&gt;-999,BJ67*$DI67, -999)</f>
        <v>-17450800.042053651</v>
      </c>
      <c r="DL67" s="27">
        <f>IF(BK67&lt;&gt;-999,BK67*$DI67, -999)</f>
        <v>-86502702.227515921</v>
      </c>
      <c r="DM67" s="28">
        <f t="shared" si="55"/>
        <v>-239972915.97040302</v>
      </c>
      <c r="DN67" s="22">
        <f t="shared" si="56"/>
        <v>-17.170000000000002</v>
      </c>
      <c r="DO67">
        <f>IF(AT67&lt;&gt;-999,AT67*$DN67, -999)</f>
        <v>-10220900.69012201</v>
      </c>
      <c r="DP67">
        <f>IF(AU67&lt;&gt;-999,AU67*$DN67, -999)</f>
        <v>-2583026.7845349456</v>
      </c>
      <c r="DQ67" s="24">
        <f>IF(AV67&lt;&gt;-999,AV67*$DN67, -999)</f>
        <v>-12803927.474656956</v>
      </c>
      <c r="DR67">
        <f t="shared" si="57"/>
        <v>-19.943000000000001</v>
      </c>
      <c r="DS67">
        <f>IF(AW67&lt;&gt;-999,AW67*$DR67, -999)</f>
        <v>-5052429.4736535298</v>
      </c>
      <c r="DT67">
        <f>IF(AX67&lt;&gt;-999,AX67*$DR67, -999)</f>
        <v>-1276849.1827319551</v>
      </c>
      <c r="DU67" s="24">
        <f>IF(AY67&lt;&gt;-999,AY67*$DR67, -999)</f>
        <v>-6329278.6563854851</v>
      </c>
      <c r="DV67">
        <f t="shared" si="58"/>
        <v>-25.870999999999999</v>
      </c>
      <c r="DW67">
        <f>IF(AZ67&lt;&gt;-999,AZ67*$DV67, -999)</f>
        <v>-25159112.883305538</v>
      </c>
      <c r="DX67">
        <f>IF(BA67&lt;&gt;-999,BA67*$DV67, -999)</f>
        <v>-6358208.5365092605</v>
      </c>
      <c r="DY67" s="24">
        <f>IF(BB67&lt;&gt;-999,BB67*$DV67, -999)</f>
        <v>-31517321.419814799</v>
      </c>
      <c r="DZ67">
        <f t="shared" si="59"/>
        <v>-25.245000000000001</v>
      </c>
      <c r="EA67">
        <f>IF(BC67&lt;&gt;-999, BC67*$DZ67, -999)</f>
        <v>-17509968.365154654</v>
      </c>
      <c r="EB67">
        <f>IF(BD67&lt;&gt;-999, BD67*$DZ67, -999)</f>
        <v>-4425118.9779709019</v>
      </c>
      <c r="EC67" s="24">
        <f>IF(BE67&lt;&gt;-999, BE67*$DZ67, -999)</f>
        <v>-21935091.545621511</v>
      </c>
      <c r="ED67">
        <f t="shared" si="60"/>
        <v>-29.317</v>
      </c>
      <c r="EE67">
        <f>IF(BF67&lt;&gt;-999,BF67*$ED67, -999)</f>
        <v>-8654070.8252557851</v>
      </c>
      <c r="EF67">
        <f>IF(BG67&lt;&gt;-999,BG67*$ED67, -999)</f>
        <v>-2187058.100949333</v>
      </c>
      <c r="EG67" s="24">
        <f>IF(BH67&lt;&gt;-999,BH67*$ED67, -999)</f>
        <v>-10841128.926205119</v>
      </c>
      <c r="EH67">
        <f t="shared" si="61"/>
        <v>-38.03</v>
      </c>
      <c r="EI67">
        <f>IF(BI67&lt;&gt;-999,BI67*$EH67, -999)</f>
        <v>-43092284.872220717</v>
      </c>
      <c r="EJ67">
        <f>IF(BJ67&lt;&gt;-999,BJ67*$EH67, -999)</f>
        <v>-10890284.305863151</v>
      </c>
      <c r="EK67" s="24">
        <f>IF(BK67&lt;&gt;-999,BK67*$EH67, -999)</f>
        <v>-53982569.178083867</v>
      </c>
      <c r="EL67" s="28">
        <f t="shared" si="62"/>
        <v>-137409317.20076776</v>
      </c>
      <c r="EM67" s="22">
        <f>-17.17-(0.1023*G67)+H67*(100+102.093-66.644-64.243)</f>
        <v>32.685370757245359</v>
      </c>
      <c r="EN67">
        <f>IF(AT67&lt;&gt;-999,AT67*$EM67, -999)</f>
        <v>19456839.168877274</v>
      </c>
      <c r="EO67">
        <f>IF(AU67&lt;&gt;-999,AU67*$EM67, -999)</f>
        <v>4917133.8455690164</v>
      </c>
      <c r="EP67" s="23">
        <f>IF(AV67&lt;&gt;-999,AV67*$EM67, -999)</f>
        <v>24373973.014446292</v>
      </c>
      <c r="EQ67">
        <f>-19.943-(0.1023*G67)+H67*(100+102.093-66.644-64.243)</f>
        <v>29.912370757245363</v>
      </c>
      <c r="ER67">
        <f>IF(AW67&lt;&gt;-999,AW67*$EQ67, -999)</f>
        <v>7578104.7806628095</v>
      </c>
      <c r="ES67">
        <f>IF(AX67&lt;&gt;-999,AX67*$EQ67, -999)</f>
        <v>1915137.4494792144</v>
      </c>
      <c r="ET67" s="23">
        <f>IF(AY67&lt;&gt;-999,AY67*$EQ67, -999)</f>
        <v>9493242.2301420234</v>
      </c>
      <c r="EU67">
        <f>-25.871-(0.1023*G67)+H67*(100+102.093-66.644-64.243)</f>
        <v>23.984370757245365</v>
      </c>
      <c r="EV67">
        <f>IF(AZ67&lt;&gt;-999,AZ67*$EU67, -999)</f>
        <v>23324397.638923448</v>
      </c>
      <c r="EW67">
        <f>IF(BA67&lt;&gt;-999,BA67*$EU67, -999)</f>
        <v>5894539.4801716432</v>
      </c>
      <c r="EX67" s="23">
        <f>IF(BB67&lt;&gt;-999,BB67*$EU67, -999)</f>
        <v>29218937.119095091</v>
      </c>
      <c r="EY67">
        <f>-25.245-(0.1023*G67)+H67*(100+102.093-66.644-64.243)</f>
        <v>24.610370757245363</v>
      </c>
      <c r="EZ67">
        <f>IF(BC67&lt;&gt;-999, BC67*$EY67, -999)</f>
        <v>17069788.608203344</v>
      </c>
      <c r="FA67">
        <f>IF(BD67&lt;&gt;-999, BD67*$EY67, -999)</f>
        <v>4313876.7555074897</v>
      </c>
      <c r="FB67" s="23">
        <f>IF(BE67&lt;&gt;-999, BE67*$EY67, -999)</f>
        <v>21383669.460561045</v>
      </c>
      <c r="FC67">
        <f>-29.317-(0.1023*G67)+H67*(100+102.093-66.644-64.243)</f>
        <v>20.53837075724536</v>
      </c>
      <c r="FD67">
        <f>IF(BF67&lt;&gt;-999,BF67*$FC67, -999)</f>
        <v>6062711.572417493</v>
      </c>
      <c r="FE67">
        <f>IF(BG67&lt;&gt;-999,BG67*$FC67, -999)</f>
        <v>1532169.394717548</v>
      </c>
      <c r="FF67" s="23">
        <f>IF(BH67&lt;&gt;-999,BH67*$FC67, -999)</f>
        <v>7594880.967135042</v>
      </c>
      <c r="FG67">
        <f>-38.03-(0.1023*G67)+H67*(100+102.093-66.644-64.243)</f>
        <v>11.825370757245359</v>
      </c>
      <c r="FH67">
        <f>IF(BI67&lt;&gt;-999,BI67*$FG67, -999)</f>
        <v>13399480.551954914</v>
      </c>
      <c r="FI67">
        <f>IF(BJ67&lt;&gt;-999,BJ67*$FG67, -999)</f>
        <v>3386317.3696724214</v>
      </c>
      <c r="FJ67" s="23">
        <f>IF(BK67&lt;&gt;-999,BK67*$FG67, -999)</f>
        <v>16785797.921627335</v>
      </c>
      <c r="FK67" s="28">
        <f t="shared" si="63"/>
        <v>108850500.71300682</v>
      </c>
      <c r="FL67" s="22">
        <f t="shared" ref="FL67:FL130" si="66">-17.17+0.435*(100+83.36-27.092-93.78)</f>
        <v>10.012280000000011</v>
      </c>
      <c r="FM67">
        <f>IF(AT67&lt;&gt;-999,AT67*$FL67, -999)</f>
        <v>5960076.8527486837</v>
      </c>
      <c r="FN67">
        <f>IF(AU67&lt;&gt;-999,AU67*$FL67, -999)</f>
        <v>1506231.0666431901</v>
      </c>
      <c r="FO67" s="29">
        <f>IF(AV67&lt;&gt;-999,AV67*$FL67, -999)</f>
        <v>7466307.9193918742</v>
      </c>
      <c r="FP67">
        <f t="shared" ref="FP67:FP130" si="67">-19.943+0.435*(100+83.36-27.092-93.78)</f>
        <v>7.2392800000000115</v>
      </c>
      <c r="FQ67">
        <f>IF(AW67&lt;&gt;-999,AW67*$FP67, -999)</f>
        <v>1834024.5519746568</v>
      </c>
      <c r="FR67">
        <f>IF(AX67&lt;&gt;-999,AX67*$FP67, -999)</f>
        <v>463494.39660872496</v>
      </c>
      <c r="FS67" s="29">
        <f>IF(AY67&lt;&gt;-999,AY67*$FP67, -999)</f>
        <v>2297518.9485833817</v>
      </c>
      <c r="FT67">
        <f t="shared" ref="FT67:FT130" si="68">-25.871+0.435*(100+83.36-27.092-93.78)</f>
        <v>1.3112800000000142</v>
      </c>
      <c r="FU67">
        <f>IF(AZ67&lt;&gt;-999,AZ67*$FT67, -999)</f>
        <v>1275197.7713123283</v>
      </c>
      <c r="FV67">
        <f>IF(BA67&lt;&gt;-999,BA67*$FT67, -999)</f>
        <v>322267.85550438537</v>
      </c>
      <c r="FW67" s="29">
        <f>IF(BB67&lt;&gt;-999,BB67*$FT67, -999)</f>
        <v>1597465.6268167137</v>
      </c>
      <c r="FX67">
        <f t="shared" ref="FX67:FX130" si="69">-25.245+0.435*(100+83.36-27.092-93.78)</f>
        <v>1.9372800000000119</v>
      </c>
      <c r="FY67">
        <f>IF(BC67&lt;&gt;-999, BC67*$FX67, -999)</f>
        <v>1343700.1986312938</v>
      </c>
      <c r="FZ67">
        <f>IF(BD67&lt;&gt;-999, BD67*$FX67, -999)</f>
        <v>339579.89675751718</v>
      </c>
      <c r="GA67" s="29">
        <f>IF(BE67&lt;&gt;-999, BE67*$FX67, -999)</f>
        <v>1683280.417884805</v>
      </c>
      <c r="GB67">
        <f t="shared" ref="GB67:GB130" si="70">-29.317+0.435*(100+83.36-27.092-93.78)</f>
        <v>-2.1347199999999873</v>
      </c>
      <c r="GC67">
        <f>IF(BF67&lt;&gt;-999,BF67*$GB67, -999)</f>
        <v>-630146.94791724661</v>
      </c>
      <c r="GD67">
        <f>IF(BG67&lt;&gt;-999,BG67*$GB67, -999)</f>
        <v>-159250.83293851803</v>
      </c>
      <c r="GE67" s="29">
        <f>IF(BH67&lt;&gt;-999,BH67*$GB67, -999)</f>
        <v>-789397.78085576475</v>
      </c>
      <c r="GF67">
        <f t="shared" ref="GF67:GF130" si="71">-38.03+0.435*(100+83.36-27.092-93.78)</f>
        <v>-10.847719999999988</v>
      </c>
      <c r="GG67">
        <f>IF(BI67&lt;&gt;-999,BI67*$GF67, -999)</f>
        <v>-12291691.83418579</v>
      </c>
      <c r="GH67">
        <f>IF(BJ67&lt;&gt;-999,BJ67*$GF67, -999)</f>
        <v>-3106356.9516276014</v>
      </c>
      <c r="GI67" s="29">
        <f>IF(BK67&lt;&gt;-999,BK67*$GF67, -999)</f>
        <v>-15398048.785813391</v>
      </c>
      <c r="GJ67" s="30">
        <f t="shared" si="64"/>
        <v>-3142873.6539923828</v>
      </c>
    </row>
    <row r="68" spans="1:192">
      <c r="A68" s="48" t="s">
        <v>138</v>
      </c>
      <c r="B68" s="48" t="s">
        <v>207</v>
      </c>
      <c r="C68" s="49">
        <v>110</v>
      </c>
      <c r="D68" s="50">
        <v>0.84699999999999998</v>
      </c>
      <c r="E68" s="49">
        <v>21.499055702588201</v>
      </c>
      <c r="F68" s="49">
        <v>0.79367137362892604</v>
      </c>
      <c r="G68" s="49">
        <v>39.407061873389701</v>
      </c>
      <c r="H68" s="49">
        <v>0.81994363680525395</v>
      </c>
      <c r="I68" s="42">
        <v>4007.3</v>
      </c>
      <c r="J68" s="43">
        <v>-999</v>
      </c>
      <c r="K68" s="43">
        <f t="shared" si="39"/>
        <v>4007.3</v>
      </c>
      <c r="L68" s="43">
        <v>2212.1999999999998</v>
      </c>
      <c r="M68" s="43">
        <v>-999</v>
      </c>
      <c r="N68" s="43">
        <f t="shared" si="40"/>
        <v>2212.1999999999998</v>
      </c>
      <c r="O68" s="43">
        <v>3653.1</v>
      </c>
      <c r="P68" s="43">
        <v>-999</v>
      </c>
      <c r="Q68" s="43">
        <f t="shared" si="41"/>
        <v>3653.1</v>
      </c>
      <c r="R68" s="43">
        <v>2646.1</v>
      </c>
      <c r="S68" s="43">
        <v>-999</v>
      </c>
      <c r="T68" s="43">
        <f t="shared" si="42"/>
        <v>2646.1</v>
      </c>
      <c r="U68" s="43">
        <v>1460.8</v>
      </c>
      <c r="V68" s="43">
        <v>-999</v>
      </c>
      <c r="W68" s="43">
        <f t="shared" si="43"/>
        <v>1460.8</v>
      </c>
      <c r="X68" s="43">
        <v>2412.1999999999998</v>
      </c>
      <c r="Y68" s="43">
        <v>-999</v>
      </c>
      <c r="Z68" s="43">
        <f t="shared" si="44"/>
        <v>2412.1999999999998</v>
      </c>
      <c r="AA68" s="22">
        <v>51187.6</v>
      </c>
      <c r="AB68">
        <v>-999</v>
      </c>
      <c r="AC68">
        <v>51187.6</v>
      </c>
      <c r="AD68">
        <v>28257.9</v>
      </c>
      <c r="AE68">
        <v>-999</v>
      </c>
      <c r="AF68">
        <v>28257.9</v>
      </c>
      <c r="AG68">
        <v>46663.199999999997</v>
      </c>
      <c r="AH68">
        <v>-999</v>
      </c>
      <c r="AI68">
        <v>46663.199999999997</v>
      </c>
      <c r="AJ68">
        <v>33800.199999999997</v>
      </c>
      <c r="AK68">
        <v>-999</v>
      </c>
      <c r="AL68">
        <v>33800.199999999997</v>
      </c>
      <c r="AM68">
        <v>18659.3</v>
      </c>
      <c r="AN68">
        <v>-999</v>
      </c>
      <c r="AO68">
        <v>18659.3</v>
      </c>
      <c r="AP68">
        <v>30812.7</v>
      </c>
      <c r="AQ68">
        <v>-999</v>
      </c>
      <c r="AR68">
        <v>30812.7</v>
      </c>
      <c r="AS68">
        <v>209380.99</v>
      </c>
      <c r="AT68" s="22">
        <f t="shared" ref="AT68:BF87" si="72">IF(AA68&lt;&gt;-999,AA68*0.5*3.67*0.907185, -999)</f>
        <v>85211.203032510006</v>
      </c>
      <c r="AU68">
        <f t="shared" si="72"/>
        <v>-999</v>
      </c>
      <c r="AV68">
        <f t="shared" si="72"/>
        <v>85211.203032510006</v>
      </c>
      <c r="AW68">
        <f t="shared" si="72"/>
        <v>47040.487426102503</v>
      </c>
      <c r="AX68">
        <f t="shared" si="72"/>
        <v>-999</v>
      </c>
      <c r="AY68">
        <f t="shared" si="72"/>
        <v>47040.487426102503</v>
      </c>
      <c r="AZ68">
        <f t="shared" si="72"/>
        <v>77679.504593819991</v>
      </c>
      <c r="BA68">
        <f t="shared" si="72"/>
        <v>-999</v>
      </c>
      <c r="BB68">
        <f t="shared" si="72"/>
        <v>77679.504593819991</v>
      </c>
      <c r="BC68">
        <f t="shared" si="72"/>
        <v>56266.668191894991</v>
      </c>
      <c r="BD68">
        <f t="shared" si="72"/>
        <v>-999</v>
      </c>
      <c r="BE68">
        <f t="shared" si="72"/>
        <v>56266.668191894991</v>
      </c>
      <c r="BF68">
        <f t="shared" si="72"/>
        <v>31061.847024367496</v>
      </c>
      <c r="BG68">
        <f t="shared" si="65"/>
        <v>-999</v>
      </c>
      <c r="BH68">
        <f t="shared" si="65"/>
        <v>31061.847024367496</v>
      </c>
      <c r="BI68">
        <f t="shared" si="65"/>
        <v>51293.423322832503</v>
      </c>
      <c r="BJ68">
        <f t="shared" si="38"/>
        <v>-999</v>
      </c>
      <c r="BK68">
        <f t="shared" si="38"/>
        <v>51293.423322832503</v>
      </c>
      <c r="BL68">
        <f t="shared" si="38"/>
        <v>348553.28341313027</v>
      </c>
      <c r="BM68" s="22">
        <f>-17.17-(0.1023*E68)+F68*(100-8.576-13.681)</f>
        <v>42.333040201658832</v>
      </c>
      <c r="BN68">
        <f>IF(AT68&lt;&gt;-999,AT68*$BM68, -999)</f>
        <v>3607249.283606959</v>
      </c>
      <c r="BO68">
        <f>IF(AU68&lt;&gt;-999,AU68*$BM68, -999)</f>
        <v>-999</v>
      </c>
      <c r="BP68" s="25">
        <f>IF(AV68&lt;&gt;-999,AV68*$BM68, -999)</f>
        <v>3607249.283606959</v>
      </c>
      <c r="BQ68">
        <f>-19.943-(0.1023*E68)+F68*(100-8.576-13.681)</f>
        <v>39.560040201658829</v>
      </c>
      <c r="BR68">
        <f>IF(AW68&lt;&gt;-999,AW68*$BQ68, -999)</f>
        <v>1860923.5736822416</v>
      </c>
      <c r="BS68">
        <f>IF(AX68&lt;&gt;-999,AX68*$BQ68, -999)</f>
        <v>-999</v>
      </c>
      <c r="BT68" s="25">
        <f>IF(AY68&lt;&gt;-999,AY68*$BQ68, -999)</f>
        <v>1860923.5736822416</v>
      </c>
      <c r="BU68">
        <f>-25.871-(0.1023*E68)+F68*(100-8.576-13.681)</f>
        <v>33.632040201658832</v>
      </c>
      <c r="BV68">
        <f>IF(AZ68&lt;&gt;-999,AZ68*$BU68, -999)</f>
        <v>2612520.2213442959</v>
      </c>
      <c r="BW68">
        <f>IF(BA68&lt;&gt;-999,BA68*$BU68, -999)</f>
        <v>-999</v>
      </c>
      <c r="BX68" s="25">
        <f>IF(BB68&lt;&gt;-999,BB68*$BU68, -999)</f>
        <v>2612520.2213442959</v>
      </c>
      <c r="BY68">
        <f>-25.245-(0.1023*E68)+F68*(100-8.576-13.681)</f>
        <v>34.258040201658829</v>
      </c>
      <c r="BZ68">
        <f>IF(BC68&lt;&gt;-999,BC68*$BY68, -999)</f>
        <v>1927585.7809313368</v>
      </c>
      <c r="CA68">
        <f>IF(BD68&lt;&gt;-999,BD68*$BY68, -999)</f>
        <v>-999</v>
      </c>
      <c r="CB68" s="25">
        <f>IF(BE68&lt;&gt;-999,BE68*$BY68, -999)</f>
        <v>1927585.7809313368</v>
      </c>
      <c r="CC68">
        <f>-29.317-(0.1023*E68)+F68*(100-8.576-13.681)</f>
        <v>30.18604020165883</v>
      </c>
      <c r="CD68">
        <f>IF(BF68&lt;&gt;-999,BF68*$CC68, -999)</f>
        <v>937634.16301533394</v>
      </c>
      <c r="CE68">
        <f>IF(BG68&lt;&gt;-999,BG68*$CC68, -999)</f>
        <v>-999</v>
      </c>
      <c r="CF68" s="25">
        <f>IF(BH68&lt;&gt;-999,BH68*$CC68, -999)</f>
        <v>937634.16301533394</v>
      </c>
      <c r="CG68">
        <f>-38.03-(0.1023*E68)+F68*(100-8.576-13.681)</f>
        <v>21.473040201658826</v>
      </c>
      <c r="CH68">
        <f>IF(BI68&lt;&gt;-999,BI68*$CG68, -999)</f>
        <v>1101425.7410918868</v>
      </c>
      <c r="CI68">
        <f>IF(BJ68&lt;&gt;-999,BJ68*$CG68, -999)</f>
        <v>-999</v>
      </c>
      <c r="CJ68" s="25">
        <f>IF(BK68&lt;&gt;-999,BK68*$CG68, -999)</f>
        <v>1101425.7410918868</v>
      </c>
      <c r="CK68" s="26">
        <f t="shared" si="45"/>
        <v>12047338.763672054</v>
      </c>
      <c r="CL68">
        <f t="shared" si="46"/>
        <v>-45.309562664886307</v>
      </c>
      <c r="CM68">
        <f t="shared" si="47"/>
        <v>11.949652559433225</v>
      </c>
      <c r="CN68">
        <f t="shared" si="48"/>
        <v>-101.57970353666782</v>
      </c>
      <c r="CO68" s="22">
        <f t="shared" si="49"/>
        <v>-40.08</v>
      </c>
      <c r="CP68">
        <f>IF(AT68&lt;&gt;-999,AT68*$CO68, -999)</f>
        <v>-3415265.0175430011</v>
      </c>
      <c r="CQ68">
        <f>IF(AU68&lt;&gt;-999,AU68*$CO68, -999)</f>
        <v>-999</v>
      </c>
      <c r="CR68" s="27">
        <f>IF(AV68&lt;&gt;-999,AV68*$CO68, -999)</f>
        <v>-3415265.0175430011</v>
      </c>
      <c r="CS68">
        <f t="shared" si="50"/>
        <v>-42.853000000000002</v>
      </c>
      <c r="CT68">
        <f>IF(AW68&lt;&gt;-999,AW68*$CS68, -999)</f>
        <v>-2015826.0076707706</v>
      </c>
      <c r="CU68">
        <f>IF(AX68&lt;&gt;-999,AX68*$CS68, -999)</f>
        <v>-999</v>
      </c>
      <c r="CV68" s="27">
        <f>IF(AY68&lt;&gt;-999,AY68*$CS68, -999)</f>
        <v>-2015826.0076707706</v>
      </c>
      <c r="CW68">
        <f t="shared" si="51"/>
        <v>-48.780999999999999</v>
      </c>
      <c r="CX68">
        <f>IF(AZ68&lt;&gt;-999,AZ68*$CO68, -999)</f>
        <v>-3113394.5441203052</v>
      </c>
      <c r="CY68">
        <f>IF(BA68&lt;&gt;-999,BA68*$CO68, -999)</f>
        <v>-999</v>
      </c>
      <c r="CZ68" s="27">
        <f>IF(BB68&lt;&gt;-999,BB68*$CO68, -999)</f>
        <v>-3113394.5441203052</v>
      </c>
      <c r="DA68">
        <f t="shared" si="52"/>
        <v>-48.155000000000001</v>
      </c>
      <c r="DB68">
        <f>IF(BC68&lt;&gt;-999,BC68*$DA68, -999)</f>
        <v>-2709521.4067807035</v>
      </c>
      <c r="DC68">
        <f>IF(BD68&lt;&gt;-999,BD68*$DA68, -999)</f>
        <v>-999</v>
      </c>
      <c r="DD68" s="27">
        <f>IF(BE68&lt;&gt;-999,BE68*$DA68, -999)</f>
        <v>-2709521.4067807035</v>
      </c>
      <c r="DE68">
        <f t="shared" si="53"/>
        <v>-52.227000000000004</v>
      </c>
      <c r="DF68">
        <f>IF(BF68&lt;&gt;-999,BF68*$DE68, -999)</f>
        <v>-1622267.0845416414</v>
      </c>
      <c r="DG68">
        <f>IF(BG68&lt;&gt;-999,BG68*$DE68, -999)</f>
        <v>-999</v>
      </c>
      <c r="DH68" s="27">
        <f>IF(BH68&lt;&gt;-999,BH68*$DE68, -999)</f>
        <v>-1622267.0845416414</v>
      </c>
      <c r="DI68">
        <f t="shared" si="54"/>
        <v>-60.94</v>
      </c>
      <c r="DJ68">
        <f>IF(BI68&lt;&gt;-999,BI68*$DI68, -999)</f>
        <v>-3125821.2172934124</v>
      </c>
      <c r="DK68">
        <f>IF(BJ68&lt;&gt;-999,BJ68*$DI68, -999)</f>
        <v>-999</v>
      </c>
      <c r="DL68" s="27">
        <f>IF(BK68&lt;&gt;-999,BK68*$DI68, -999)</f>
        <v>-3125821.2172934124</v>
      </c>
      <c r="DM68" s="28">
        <f t="shared" si="55"/>
        <v>-16002095.277949832</v>
      </c>
      <c r="DN68" s="22">
        <f t="shared" si="56"/>
        <v>-17.170000000000002</v>
      </c>
      <c r="DO68">
        <f>IF(AT68&lt;&gt;-999,AT68*$DN68, -999)</f>
        <v>-1463076.3560681969</v>
      </c>
      <c r="DP68">
        <f>IF(AU68&lt;&gt;-999,AU68*$DN68, -999)</f>
        <v>-999</v>
      </c>
      <c r="DQ68" s="24">
        <f>IF(AV68&lt;&gt;-999,AV68*$DN68, -999)</f>
        <v>-1463076.3560681969</v>
      </c>
      <c r="DR68">
        <f t="shared" si="57"/>
        <v>-19.943000000000001</v>
      </c>
      <c r="DS68">
        <f>IF(AW68&lt;&gt;-999,AW68*$DR68, -999)</f>
        <v>-938128.44073876226</v>
      </c>
      <c r="DT68">
        <f>IF(AX68&lt;&gt;-999,AX68*$DR68, -999)</f>
        <v>-999</v>
      </c>
      <c r="DU68" s="24">
        <f>IF(AY68&lt;&gt;-999,AY68*$DR68, -999)</f>
        <v>-938128.44073876226</v>
      </c>
      <c r="DV68">
        <f t="shared" si="58"/>
        <v>-25.870999999999999</v>
      </c>
      <c r="DW68">
        <f>IF(AZ68&lt;&gt;-999,AZ68*$DV68, -999)</f>
        <v>-2009646.4633467169</v>
      </c>
      <c r="DX68">
        <f>IF(BA68&lt;&gt;-999,BA68*$DV68, -999)</f>
        <v>-999</v>
      </c>
      <c r="DY68" s="24">
        <f>IF(BB68&lt;&gt;-999,BB68*$DV68, -999)</f>
        <v>-2009646.4633467169</v>
      </c>
      <c r="DZ68">
        <f t="shared" si="59"/>
        <v>-25.245000000000001</v>
      </c>
      <c r="EA68">
        <f>IF(BC68&lt;&gt;-999, BC68*$DZ68, -999)</f>
        <v>-1420452.0385043891</v>
      </c>
      <c r="EB68">
        <f>IF(BD68&lt;&gt;-999, BD68*$DZ68, -999)</f>
        <v>-999</v>
      </c>
      <c r="EC68" s="24">
        <f>IF(BE68&lt;&gt;-999, BE68*$DZ68, -999)</f>
        <v>-1420452.0385043891</v>
      </c>
      <c r="ED68">
        <f t="shared" si="60"/>
        <v>-29.317</v>
      </c>
      <c r="EE68">
        <f>IF(BF68&lt;&gt;-999,BF68*$ED68, -999)</f>
        <v>-910640.16921338195</v>
      </c>
      <c r="EF68">
        <f>IF(BG68&lt;&gt;-999,BG68*$ED68, -999)</f>
        <v>-999</v>
      </c>
      <c r="EG68" s="24">
        <f>IF(BH68&lt;&gt;-999,BH68*$ED68, -999)</f>
        <v>-910640.16921338195</v>
      </c>
      <c r="EH68">
        <f t="shared" si="61"/>
        <v>-38.03</v>
      </c>
      <c r="EI68">
        <f>IF(BI68&lt;&gt;-999,BI68*$EH68, -999)</f>
        <v>-1950688.8889673201</v>
      </c>
      <c r="EJ68">
        <f>IF(BJ68&lt;&gt;-999,BJ68*$EH68, -999)</f>
        <v>-999</v>
      </c>
      <c r="EK68" s="24">
        <f>IF(BK68&lt;&gt;-999,BK68*$EH68, -999)</f>
        <v>-1950688.8889673201</v>
      </c>
      <c r="EL68" s="28">
        <f t="shared" si="62"/>
        <v>-8692632.3568387665</v>
      </c>
      <c r="EM68" s="22">
        <f>-17.17-(0.1023*G68)+H68*(100+102.093-66.644-64.243)</f>
        <v>37.183564172707158</v>
      </c>
      <c r="EN68">
        <f>IF(AT68&lt;&gt;-999,AT68*$EM68, -999)</f>
        <v>3168456.2361929147</v>
      </c>
      <c r="EO68">
        <f>IF(AU68&lt;&gt;-999,AU68*$EM68, -999)</f>
        <v>-999</v>
      </c>
      <c r="EP68" s="23">
        <f>IF(AV68&lt;&gt;-999,AV68*$EM68, -999)</f>
        <v>3168456.2361929147</v>
      </c>
      <c r="EQ68">
        <f>-19.943-(0.1023*G68)+H68*(100+102.093-66.644-64.243)</f>
        <v>34.410564172707154</v>
      </c>
      <c r="ER68">
        <f>IF(AW68&lt;&gt;-999,AW68*$EQ68, -999)</f>
        <v>1618689.7112913241</v>
      </c>
      <c r="ES68">
        <f>IF(AX68&lt;&gt;-999,AX68*$EQ68, -999)</f>
        <v>-999</v>
      </c>
      <c r="ET68" s="23">
        <f>IF(AY68&lt;&gt;-999,AY68*$EQ68, -999)</f>
        <v>1618689.7112913241</v>
      </c>
      <c r="EU68">
        <f>-25.871-(0.1023*G68)+H68*(100+102.093-66.644-64.243)</f>
        <v>28.482564172707157</v>
      </c>
      <c r="EV68">
        <f>IF(AZ68&lt;&gt;-999,AZ68*$EU68, -999)</f>
        <v>2212511.4744975781</v>
      </c>
      <c r="EW68">
        <f>IF(BA68&lt;&gt;-999,BA68*$EU68, -999)</f>
        <v>-999</v>
      </c>
      <c r="EX68" s="23">
        <f>IF(BB68&lt;&gt;-999,BB68*$EU68, -999)</f>
        <v>2212511.4744975781</v>
      </c>
      <c r="EY68">
        <f>-25.245-(0.1023*G68)+H68*(100+102.093-66.644-64.243)</f>
        <v>29.108564172707155</v>
      </c>
      <c r="EZ68">
        <f>IF(BC68&lt;&gt;-999, BC68*$EY68, -999)</f>
        <v>1637841.9218481958</v>
      </c>
      <c r="FA68">
        <f>IF(BD68&lt;&gt;-999, BD68*$EY68, -999)</f>
        <v>-999</v>
      </c>
      <c r="FB68" s="23">
        <f>IF(BE68&lt;&gt;-999, BE68*$EY68, -999)</f>
        <v>1637841.9218481958</v>
      </c>
      <c r="FC68">
        <f>-29.317-(0.1023*G68)+H68*(100+102.093-66.644-64.243)</f>
        <v>25.036564172707159</v>
      </c>
      <c r="FD68">
        <f>IF(BF68&lt;&gt;-999,BF68*$FC68, -999)</f>
        <v>777681.92634838971</v>
      </c>
      <c r="FE68">
        <f>IF(BG68&lt;&gt;-999,BG68*$FC68, -999)</f>
        <v>-999</v>
      </c>
      <c r="FF68" s="23">
        <f>IF(BH68&lt;&gt;-999,BH68*$FC68, -999)</f>
        <v>777681.92634838971</v>
      </c>
      <c r="FG68">
        <f>-38.03-(0.1023*G68)+H68*(100+102.093-66.644-64.243)</f>
        <v>16.323564172707158</v>
      </c>
      <c r="FH68">
        <f>IF(BI68&lt;&gt;-999,BI68*$FG68, -999)</f>
        <v>837291.48724809045</v>
      </c>
      <c r="FI68">
        <f>IF(BJ68&lt;&gt;-999,BJ68*$FG68, -999)</f>
        <v>-999</v>
      </c>
      <c r="FJ68" s="23">
        <f>IF(BK68&lt;&gt;-999,BK68*$FG68, -999)</f>
        <v>837291.48724809045</v>
      </c>
      <c r="FK68" s="28">
        <f t="shared" si="63"/>
        <v>10252472.757426495</v>
      </c>
      <c r="FL68" s="22">
        <f t="shared" si="66"/>
        <v>10.012280000000011</v>
      </c>
      <c r="FM68">
        <f>IF(AT68&lt;&gt;-999,AT68*$FL68, -999)</f>
        <v>853158.4238983402</v>
      </c>
      <c r="FN68">
        <f>IF(AU68&lt;&gt;-999,AU68*$FL68, -999)</f>
        <v>-999</v>
      </c>
      <c r="FO68" s="29">
        <f>IF(AV68&lt;&gt;-999,AV68*$FL68, -999)</f>
        <v>853158.4238983402</v>
      </c>
      <c r="FP68">
        <f t="shared" si="67"/>
        <v>7.2392800000000115</v>
      </c>
      <c r="FQ68">
        <f>IF(AW68&lt;&gt;-999,AW68*$FP68, -999)</f>
        <v>340539.25981403585</v>
      </c>
      <c r="FR68">
        <f>IF(AX68&lt;&gt;-999,AX68*$FP68, -999)</f>
        <v>-999</v>
      </c>
      <c r="FS68" s="29">
        <f>IF(AY68&lt;&gt;-999,AY68*$FP68, -999)</f>
        <v>340539.25981403585</v>
      </c>
      <c r="FT68">
        <f t="shared" si="68"/>
        <v>1.3112800000000142</v>
      </c>
      <c r="FU68">
        <f>IF(AZ68&lt;&gt;-999,AZ68*$FT68, -999)</f>
        <v>101859.58078378538</v>
      </c>
      <c r="FV68">
        <f>IF(BA68&lt;&gt;-999,BA68*$FT68, -999)</f>
        <v>-999</v>
      </c>
      <c r="FW68" s="29">
        <f>IF(BB68&lt;&gt;-999,BB68*$FT68, -999)</f>
        <v>101859.58078378538</v>
      </c>
      <c r="FX68">
        <f t="shared" si="69"/>
        <v>1.9372800000000119</v>
      </c>
      <c r="FY68">
        <f>IF(BC68&lt;&gt;-999, BC68*$FX68, -999)</f>
        <v>109004.290954795</v>
      </c>
      <c r="FZ68">
        <f>IF(BD68&lt;&gt;-999, BD68*$FX68, -999)</f>
        <v>-999</v>
      </c>
      <c r="GA68" s="29">
        <f>IF(BE68&lt;&gt;-999, BE68*$FX68, -999)</f>
        <v>109004.290954795</v>
      </c>
      <c r="GB68">
        <f t="shared" si="70"/>
        <v>-2.1347199999999873</v>
      </c>
      <c r="GC68">
        <f>IF(BF68&lt;&gt;-999,BF68*$GB68, -999)</f>
        <v>-66308.346079857394</v>
      </c>
      <c r="GD68">
        <f>IF(BG68&lt;&gt;-999,BG68*$GB68, -999)</f>
        <v>-999</v>
      </c>
      <c r="GE68" s="29">
        <f>IF(BH68&lt;&gt;-999,BH68*$GB68, -999)</f>
        <v>-66308.346079857394</v>
      </c>
      <c r="GF68">
        <f t="shared" si="71"/>
        <v>-10.847719999999988</v>
      </c>
      <c r="GG68">
        <f>IF(BI68&lt;&gt;-999,BI68*$GF68, -999)</f>
        <v>-556416.69404755603</v>
      </c>
      <c r="GH68">
        <f>IF(BJ68&lt;&gt;-999,BJ68*$GF68, -999)</f>
        <v>-999</v>
      </c>
      <c r="GI68" s="29">
        <f>IF(BK68&lt;&gt;-999,BK68*$GF68, -999)</f>
        <v>-556416.69404755603</v>
      </c>
      <c r="GJ68" s="30">
        <f t="shared" si="64"/>
        <v>781836.51532354299</v>
      </c>
    </row>
    <row r="69" spans="1:192">
      <c r="A69" s="48" t="s">
        <v>161</v>
      </c>
      <c r="B69" s="48" t="s">
        <v>208</v>
      </c>
      <c r="C69" s="49">
        <v>43</v>
      </c>
      <c r="D69" s="50">
        <v>0.84099999999999997</v>
      </c>
      <c r="E69" s="49">
        <v>89.698110876025694</v>
      </c>
      <c r="F69" s="49">
        <v>0.79551364739397601</v>
      </c>
      <c r="G69" s="49">
        <v>116.913905096216</v>
      </c>
      <c r="H69" s="49">
        <v>0.81431895684425604</v>
      </c>
      <c r="I69" s="42">
        <v>34041.1</v>
      </c>
      <c r="J69" s="43">
        <v>62059</v>
      </c>
      <c r="K69" s="43">
        <f t="shared" si="39"/>
        <v>96100.1</v>
      </c>
      <c r="L69" s="43">
        <v>30582.1</v>
      </c>
      <c r="M69" s="43">
        <v>55753</v>
      </c>
      <c r="N69" s="43">
        <f t="shared" si="40"/>
        <v>86335.1</v>
      </c>
      <c r="O69" s="43">
        <v>26167.599999999999</v>
      </c>
      <c r="P69" s="43">
        <v>47705.1</v>
      </c>
      <c r="Q69" s="43">
        <f t="shared" si="41"/>
        <v>73872.7</v>
      </c>
      <c r="R69" s="43">
        <v>7923.2</v>
      </c>
      <c r="S69" s="43">
        <v>14444.6</v>
      </c>
      <c r="T69" s="43">
        <f t="shared" si="42"/>
        <v>22367.8</v>
      </c>
      <c r="U69" s="43">
        <v>7118.1</v>
      </c>
      <c r="V69" s="43">
        <v>12976.8</v>
      </c>
      <c r="W69" s="43">
        <f t="shared" si="43"/>
        <v>20094.900000000001</v>
      </c>
      <c r="X69" s="43">
        <v>6090.6</v>
      </c>
      <c r="Y69" s="43">
        <v>11103.6</v>
      </c>
      <c r="Z69" s="43">
        <f t="shared" si="44"/>
        <v>17194.2</v>
      </c>
      <c r="AA69" s="22">
        <v>333199.2</v>
      </c>
      <c r="AB69">
        <v>479200.3</v>
      </c>
      <c r="AC69">
        <v>812399.6</v>
      </c>
      <c r="AD69">
        <v>299342.09999999998</v>
      </c>
      <c r="AE69">
        <v>430507.7</v>
      </c>
      <c r="AF69">
        <v>729849.8</v>
      </c>
      <c r="AG69">
        <v>256132.4</v>
      </c>
      <c r="AH69">
        <v>368364.3</v>
      </c>
      <c r="AI69">
        <v>624496.69999999995</v>
      </c>
      <c r="AJ69">
        <v>77553.899999999994</v>
      </c>
      <c r="AK69">
        <v>111536.4</v>
      </c>
      <c r="AL69">
        <v>189090.3</v>
      </c>
      <c r="AM69">
        <v>69673.5</v>
      </c>
      <c r="AN69">
        <v>100203</v>
      </c>
      <c r="AO69">
        <v>169876.4</v>
      </c>
      <c r="AP69">
        <v>59616.2</v>
      </c>
      <c r="AQ69">
        <v>85738.8</v>
      </c>
      <c r="AR69">
        <v>145354.9</v>
      </c>
      <c r="AS69">
        <v>2671067.71</v>
      </c>
      <c r="AT69" s="22">
        <f t="shared" si="72"/>
        <v>554671.53532242007</v>
      </c>
      <c r="AU69">
        <f t="shared" si="72"/>
        <v>797717.29982534249</v>
      </c>
      <c r="AV69">
        <f t="shared" si="72"/>
        <v>1352389.00161621</v>
      </c>
      <c r="AW69">
        <f t="shared" si="72"/>
        <v>498310.14658389753</v>
      </c>
      <c r="AX69">
        <f t="shared" si="72"/>
        <v>716659.4845579575</v>
      </c>
      <c r="AY69">
        <f t="shared" si="72"/>
        <v>1214969.6311418551</v>
      </c>
      <c r="AZ69">
        <f t="shared" si="72"/>
        <v>426379.62982449</v>
      </c>
      <c r="BA69">
        <f t="shared" si="72"/>
        <v>613210.33135424252</v>
      </c>
      <c r="BB69">
        <f t="shared" si="72"/>
        <v>1039589.9611787325</v>
      </c>
      <c r="BC69">
        <f t="shared" si="72"/>
        <v>129102.77330570249</v>
      </c>
      <c r="BD69">
        <f t="shared" si="72"/>
        <v>185672.91347738999</v>
      </c>
      <c r="BE69">
        <f t="shared" si="72"/>
        <v>314775.6867830925</v>
      </c>
      <c r="BF69">
        <f t="shared" si="72"/>
        <v>115984.3937689125</v>
      </c>
      <c r="BG69">
        <f t="shared" si="65"/>
        <v>166806.37844842501</v>
      </c>
      <c r="BH69">
        <f t="shared" si="65"/>
        <v>282790.60574888997</v>
      </c>
      <c r="BI69">
        <f t="shared" si="65"/>
        <v>99242.162598495008</v>
      </c>
      <c r="BJ69">
        <f t="shared" si="38"/>
        <v>142728.04926513002</v>
      </c>
      <c r="BK69">
        <f t="shared" si="38"/>
        <v>241970.0453951775</v>
      </c>
      <c r="BL69">
        <f t="shared" si="38"/>
        <v>4446484.9485108024</v>
      </c>
      <c r="BM69" s="22">
        <f>-17.17-(0.1023*E69)+F69*(100-8.576-13.681)</f>
        <v>35.499500746732451</v>
      </c>
      <c r="BN69">
        <f>IF(AT69&lt;&gt;-999,AT69*$BM69, -999)</f>
        <v>19690562.582369488</v>
      </c>
      <c r="BO69">
        <f>IF(AU69&lt;&gt;-999,AU69*$BM69, -999)</f>
        <v>28318565.880831141</v>
      </c>
      <c r="BP69" s="25">
        <f>IF(AV69&lt;&gt;-999,AV69*$BM69, -999)</f>
        <v>48009134.372747399</v>
      </c>
      <c r="BQ69">
        <f>-19.943-(0.1023*E69)+F69*(100-8.576-13.681)</f>
        <v>32.726500746732455</v>
      </c>
      <c r="BR69">
        <f>IF(AW69&lt;&gt;-999,AW69*$BQ69, -999)</f>
        <v>16307947.384282282</v>
      </c>
      <c r="BS69">
        <f>IF(AX69&lt;&gt;-999,AX69*$BQ69, -999)</f>
        <v>23453757.156538893</v>
      </c>
      <c r="BT69" s="25">
        <f>IF(AY69&lt;&gt;-999,AY69*$BQ69, -999)</f>
        <v>39761704.54082118</v>
      </c>
      <c r="BU69">
        <f>-25.871-(0.1023*E69)+F69*(100-8.576-13.681)</f>
        <v>26.798500746732458</v>
      </c>
      <c r="BV69">
        <f>IF(AZ69&lt;&gt;-999,AZ69*$BU69, -999)</f>
        <v>11426334.828243105</v>
      </c>
      <c r="BW69">
        <f>IF(BA69&lt;&gt;-999,BA69*$BU69, -999)</f>
        <v>16433117.522700725</v>
      </c>
      <c r="BX69" s="25">
        <f>IF(BB69&lt;&gt;-999,BB69*$BU69, -999)</f>
        <v>27859452.35094383</v>
      </c>
      <c r="BY69">
        <f>-25.245-(0.1023*E69)+F69*(100-8.576-13.681)</f>
        <v>27.424500746732456</v>
      </c>
      <c r="BZ69">
        <f>IF(BC69&lt;&gt;-999,BC69*$BY69, -999)</f>
        <v>3540579.1029274687</v>
      </c>
      <c r="CA69">
        <f>IF(BD69&lt;&gt;-999,BD69*$BY69, -999)</f>
        <v>5091986.9543086719</v>
      </c>
      <c r="CB69" s="25">
        <f>IF(BE69&lt;&gt;-999,BE69*$BY69, -999)</f>
        <v>8632566.0572361425</v>
      </c>
      <c r="CC69">
        <f>-29.317-(0.1023*E69)+F69*(100-8.576-13.681)</f>
        <v>23.352500746732453</v>
      </c>
      <c r="CD69">
        <f>IF(BF69&lt;&gt;-999,BF69*$CC69, -999)</f>
        <v>2708525.6420978401</v>
      </c>
      <c r="CE69">
        <f>IF(BG69&lt;&gt;-999,BG69*$CC69, -999)</f>
        <v>3895346.077276581</v>
      </c>
      <c r="CF69" s="25">
        <f>IF(BH69&lt;&gt;-999,BH69*$CC69, -999)</f>
        <v>6603867.8319198759</v>
      </c>
      <c r="CG69">
        <f>-38.03-(0.1023*E69)+F69*(100-8.576-13.681)</f>
        <v>14.639500746732452</v>
      </c>
      <c r="CH69">
        <f>IF(BI69&lt;&gt;-999,BI69*$CG69, -999)</f>
        <v>1452855.713468011</v>
      </c>
      <c r="CI69">
        <f>IF(BJ69&lt;&gt;-999,BJ69*$CG69, -999)</f>
        <v>2089467.3837965371</v>
      </c>
      <c r="CJ69" s="25">
        <f>IF(BK69&lt;&gt;-999,BK69*$CG69, -999)</f>
        <v>3542320.6602495862</v>
      </c>
      <c r="CK69" s="26">
        <f t="shared" si="45"/>
        <v>134409045.81391802</v>
      </c>
      <c r="CL69">
        <f t="shared" si="46"/>
        <v>-36.382953456737916</v>
      </c>
      <c r="CM69">
        <f t="shared" si="47"/>
        <v>20.743659202734769</v>
      </c>
      <c r="CN69">
        <f t="shared" si="48"/>
        <v>-92.522782290978213</v>
      </c>
      <c r="CO69" s="22">
        <f t="shared" si="49"/>
        <v>-40.08</v>
      </c>
      <c r="CP69">
        <f>IF(AT69&lt;&gt;-999,AT69*$CO69, -999)</f>
        <v>-22231235.135722596</v>
      </c>
      <c r="CQ69">
        <f>IF(AU69&lt;&gt;-999,AU69*$CO69, -999)</f>
        <v>-31972509.376999725</v>
      </c>
      <c r="CR69" s="27">
        <f>IF(AV69&lt;&gt;-999,AV69*$CO69, -999)</f>
        <v>-54203751.184777692</v>
      </c>
      <c r="CS69">
        <f t="shared" si="50"/>
        <v>-42.853000000000002</v>
      </c>
      <c r="CT69">
        <f>IF(AW69&lt;&gt;-999,AW69*$CS69, -999)</f>
        <v>-21354084.711559761</v>
      </c>
      <c r="CU69">
        <f>IF(AX69&lt;&gt;-999,AX69*$CS69, -999)</f>
        <v>-30711008.891762152</v>
      </c>
      <c r="CV69" s="27">
        <f>IF(AY69&lt;&gt;-999,AY69*$CS69, -999)</f>
        <v>-52065093.603321917</v>
      </c>
      <c r="CW69">
        <f t="shared" si="51"/>
        <v>-48.780999999999999</v>
      </c>
      <c r="CX69">
        <f>IF(AZ69&lt;&gt;-999,AZ69*$CO69, -999)</f>
        <v>-17089295.56336556</v>
      </c>
      <c r="CY69">
        <f>IF(BA69&lt;&gt;-999,BA69*$CO69, -999)</f>
        <v>-24577470.080678038</v>
      </c>
      <c r="CZ69" s="27">
        <f>IF(BB69&lt;&gt;-999,BB69*$CO69, -999)</f>
        <v>-41666765.644043595</v>
      </c>
      <c r="DA69">
        <f t="shared" si="52"/>
        <v>-48.155000000000001</v>
      </c>
      <c r="DB69">
        <f>IF(BC69&lt;&gt;-999,BC69*$DA69, -999)</f>
        <v>-6216944.0485361032</v>
      </c>
      <c r="DC69">
        <f>IF(BD69&lt;&gt;-999,BD69*$DA69, -999)</f>
        <v>-8941079.1485037152</v>
      </c>
      <c r="DD69" s="27">
        <f>IF(BE69&lt;&gt;-999,BE69*$DA69, -999)</f>
        <v>-15158023.19703982</v>
      </c>
      <c r="DE69">
        <f t="shared" si="53"/>
        <v>-52.227000000000004</v>
      </c>
      <c r="DF69">
        <f>IF(BF69&lt;&gt;-999,BF69*$DE69, -999)</f>
        <v>-6057516.9333689939</v>
      </c>
      <c r="DG69">
        <f>IF(BG69&lt;&gt;-999,BG69*$DE69, -999)</f>
        <v>-8711796.7272258941</v>
      </c>
      <c r="DH69" s="27">
        <f>IF(BH69&lt;&gt;-999,BH69*$DE69, -999)</f>
        <v>-14769304.966447277</v>
      </c>
      <c r="DI69">
        <f t="shared" si="54"/>
        <v>-60.94</v>
      </c>
      <c r="DJ69">
        <f>IF(BI69&lt;&gt;-999,BI69*$DI69, -999)</f>
        <v>-6047817.3887522854</v>
      </c>
      <c r="DK69">
        <f>IF(BJ69&lt;&gt;-999,BJ69*$DI69, -999)</f>
        <v>-8697847.322217023</v>
      </c>
      <c r="DL69" s="27">
        <f>IF(BK69&lt;&gt;-999,BK69*$DI69, -999)</f>
        <v>-14745654.566382116</v>
      </c>
      <c r="DM69" s="28">
        <f t="shared" si="55"/>
        <v>-192608593.1620124</v>
      </c>
      <c r="DN69" s="22">
        <f t="shared" si="56"/>
        <v>-17.170000000000002</v>
      </c>
      <c r="DO69">
        <f>IF(AT69&lt;&gt;-999,AT69*$DN69, -999)</f>
        <v>-9523710.2614859529</v>
      </c>
      <c r="DP69">
        <f>IF(AU69&lt;&gt;-999,AU69*$DN69, -999)</f>
        <v>-13696806.038001131</v>
      </c>
      <c r="DQ69" s="24">
        <f>IF(AV69&lt;&gt;-999,AV69*$DN69, -999)</f>
        <v>-23220519.157750327</v>
      </c>
      <c r="DR69">
        <f t="shared" si="57"/>
        <v>-19.943000000000001</v>
      </c>
      <c r="DS69">
        <f>IF(AW69&lt;&gt;-999,AW69*$DR69, -999)</f>
        <v>-9937799.2533226684</v>
      </c>
      <c r="DT69">
        <f>IF(AX69&lt;&gt;-999,AX69*$DR69, -999)</f>
        <v>-14292340.100539347</v>
      </c>
      <c r="DU69" s="24">
        <f>IF(AY69&lt;&gt;-999,AY69*$DR69, -999)</f>
        <v>-24230139.353862017</v>
      </c>
      <c r="DV69">
        <f t="shared" si="58"/>
        <v>-25.870999999999999</v>
      </c>
      <c r="DW69">
        <f>IF(AZ69&lt;&gt;-999,AZ69*$DV69, -999)</f>
        <v>-11030867.40318938</v>
      </c>
      <c r="DX69">
        <f>IF(BA69&lt;&gt;-999,BA69*$DV69, -999)</f>
        <v>-15864364.482465608</v>
      </c>
      <c r="DY69" s="24">
        <f>IF(BB69&lt;&gt;-999,BB69*$DV69, -999)</f>
        <v>-26895231.885654986</v>
      </c>
      <c r="DZ69">
        <f t="shared" si="59"/>
        <v>-25.245000000000001</v>
      </c>
      <c r="EA69">
        <f>IF(BC69&lt;&gt;-999, BC69*$DZ69, -999)</f>
        <v>-3259199.5121024596</v>
      </c>
      <c r="EB69">
        <f>IF(BD69&lt;&gt;-999, BD69*$DZ69, -999)</f>
        <v>-4687312.7007367108</v>
      </c>
      <c r="EC69" s="24">
        <f>IF(BE69&lt;&gt;-999, BE69*$DZ69, -999)</f>
        <v>-7946512.2128391704</v>
      </c>
      <c r="ED69">
        <f t="shared" si="60"/>
        <v>-29.317</v>
      </c>
      <c r="EE69">
        <f>IF(BF69&lt;&gt;-999,BF69*$ED69, -999)</f>
        <v>-3400314.472123208</v>
      </c>
      <c r="EF69">
        <f>IF(BG69&lt;&gt;-999,BG69*$ED69, -999)</f>
        <v>-4890262.5969724758</v>
      </c>
      <c r="EG69" s="24">
        <f>IF(BH69&lt;&gt;-999,BH69*$ED69, -999)</f>
        <v>-8290572.1887402069</v>
      </c>
      <c r="EH69">
        <f t="shared" si="61"/>
        <v>-38.03</v>
      </c>
      <c r="EI69">
        <f>IF(BI69&lt;&gt;-999,BI69*$EH69, -999)</f>
        <v>-3774179.4436207651</v>
      </c>
      <c r="EJ69">
        <f>IF(BJ69&lt;&gt;-999,BJ69*$EH69, -999)</f>
        <v>-5427947.713552895</v>
      </c>
      <c r="EK69" s="24">
        <f>IF(BK69&lt;&gt;-999,BK69*$EH69, -999)</f>
        <v>-9202120.8263786007</v>
      </c>
      <c r="EL69" s="28">
        <f t="shared" si="62"/>
        <v>-99785095.625225306</v>
      </c>
      <c r="EM69" s="22">
        <f>-17.17-(0.1023*G69)+H69*(100+102.093-66.644-64.243)</f>
        <v>28.854103149709211</v>
      </c>
      <c r="EN69">
        <f>IF(AT69&lt;&gt;-999,AT69*$EM69, -999)</f>
        <v>16004549.694400685</v>
      </c>
      <c r="EO69">
        <f>IF(AU69&lt;&gt;-999,AU69*$EM69, -999)</f>
        <v>23017417.25346794</v>
      </c>
      <c r="EP69" s="23">
        <f>IF(AV69&lt;&gt;-999,AV69*$EM69, -999)</f>
        <v>39021971.751166381</v>
      </c>
      <c r="EQ69">
        <f>-19.943-(0.1023*G69)+H69*(100+102.093-66.644-64.243)</f>
        <v>26.081103149709215</v>
      </c>
      <c r="ER69">
        <f>IF(AW69&lt;&gt;-999,AW69*$EQ69, -999)</f>
        <v>12996478.33360135</v>
      </c>
      <c r="ES69">
        <f>IF(AX69&lt;&gt;-999,AX69*$EQ69, -999)</f>
        <v>18691269.939973529</v>
      </c>
      <c r="ET69" s="23">
        <f>IF(AY69&lt;&gt;-999,AY69*$EQ69, -999)</f>
        <v>31687748.273574881</v>
      </c>
      <c r="EU69">
        <f>-25.871-(0.1023*G69)+H69*(100+102.093-66.644-64.243)</f>
        <v>20.153103149709217</v>
      </c>
      <c r="EV69">
        <f>IF(AZ69&lt;&gt;-999,AZ69*$EU69, -999)</f>
        <v>8592872.6607877798</v>
      </c>
      <c r="EW69">
        <f>IF(BA69&lt;&gt;-999,BA69*$EU69, -999)</f>
        <v>12358091.060249418</v>
      </c>
      <c r="EX69" s="23">
        <f>IF(BB69&lt;&gt;-999,BB69*$EU69, -999)</f>
        <v>20950963.721037194</v>
      </c>
      <c r="EY69">
        <f>-25.245-(0.1023*G69)+H69*(100+102.093-66.644-64.243)</f>
        <v>20.779103149709215</v>
      </c>
      <c r="EZ69">
        <f>IF(BC69&lt;&gt;-999, BC69*$EY69, -999)</f>
        <v>2682639.8434327175</v>
      </c>
      <c r="FA69">
        <f>IF(BD69&lt;&gt;-999, BD69*$EY69, -999)</f>
        <v>3858116.621253721</v>
      </c>
      <c r="FB69" s="23">
        <f>IF(BE69&lt;&gt;-999, BE69*$EY69, -999)</f>
        <v>6540756.4646864384</v>
      </c>
      <c r="FC69">
        <f>-29.317-(0.1023*G69)+H69*(100+102.093-66.644-64.243)</f>
        <v>16.707103149709212</v>
      </c>
      <c r="FD69">
        <f>IF(BF69&lt;&gt;-999,BF69*$FC69, -999)</f>
        <v>1937763.2304537115</v>
      </c>
      <c r="FE69">
        <f>IF(BG69&lt;&gt;-999,BG69*$FC69, -999)</f>
        <v>2786851.3707672684</v>
      </c>
      <c r="FF69" s="23">
        <f>IF(BH69&lt;&gt;-999,BH69*$FC69, -999)</f>
        <v>4724611.8200154556</v>
      </c>
      <c r="FG69">
        <f>-38.03-(0.1023*G69)+H69*(100+102.093-66.644-64.243)</f>
        <v>7.9941031497092112</v>
      </c>
      <c r="FH69">
        <f>IF(BI69&lt;&gt;-999,BI69*$FG69, -999)</f>
        <v>793352.08461258258</v>
      </c>
      <c r="FI69">
        <f>IF(BJ69&lt;&gt;-999,BJ69*$FG69, -999)</f>
        <v>1140982.7481822274</v>
      </c>
      <c r="FJ69" s="23">
        <f>IF(BK69&lt;&gt;-999,BK69*$FG69, -999)</f>
        <v>1934333.5020288692</v>
      </c>
      <c r="FK69" s="28">
        <f t="shared" si="63"/>
        <v>104860385.53250922</v>
      </c>
      <c r="FL69" s="22">
        <f t="shared" si="66"/>
        <v>10.012280000000011</v>
      </c>
      <c r="FM69">
        <f>IF(AT69&lt;&gt;-999,AT69*$FL69, -999)</f>
        <v>5553526.7196779661</v>
      </c>
      <c r="FN69">
        <f>IF(AU69&lt;&gt;-999,AU69*$FL69, -999)</f>
        <v>7986968.9666952891</v>
      </c>
      <c r="FO69" s="29">
        <f>IF(AV69&lt;&gt;-999,AV69*$FL69, -999)</f>
        <v>13540497.353101961</v>
      </c>
      <c r="FP69">
        <f t="shared" si="67"/>
        <v>7.2392800000000115</v>
      </c>
      <c r="FQ69">
        <f>IF(AW69&lt;&gt;-999,AW69*$FP69, -999)</f>
        <v>3607406.6779618836</v>
      </c>
      <c r="FR69">
        <f>IF(AX69&lt;&gt;-999,AX69*$FP69, -999)</f>
        <v>5188098.6733707385</v>
      </c>
      <c r="FS69" s="29">
        <f>IF(AY69&lt;&gt;-999,AY69*$FP69, -999)</f>
        <v>8795505.3513326235</v>
      </c>
      <c r="FT69">
        <f t="shared" si="68"/>
        <v>1.3112800000000142</v>
      </c>
      <c r="FU69">
        <f>IF(AZ69&lt;&gt;-999,AZ69*$FT69, -999)</f>
        <v>559103.08099626331</v>
      </c>
      <c r="FV69">
        <f>IF(BA69&lt;&gt;-999,BA69*$FT69, -999)</f>
        <v>804090.4432981998</v>
      </c>
      <c r="FW69" s="29">
        <f>IF(BB69&lt;&gt;-999,BB69*$FT69, -999)</f>
        <v>1363193.524294463</v>
      </c>
      <c r="FX69">
        <f t="shared" si="69"/>
        <v>1.9372800000000119</v>
      </c>
      <c r="FY69">
        <f>IF(BC69&lt;&gt;-999, BC69*$FX69, -999)</f>
        <v>250108.22066967285</v>
      </c>
      <c r="FZ69">
        <f>IF(BD69&lt;&gt;-999, BD69*$FX69, -999)</f>
        <v>359700.42182148027</v>
      </c>
      <c r="GA69" s="29">
        <f>IF(BE69&lt;&gt;-999, BE69*$FX69, -999)</f>
        <v>609808.64249115321</v>
      </c>
      <c r="GB69">
        <f t="shared" si="70"/>
        <v>-2.1347199999999873</v>
      </c>
      <c r="GC69">
        <f>IF(BF69&lt;&gt;-999,BF69*$GB69, -999)</f>
        <v>-247594.20506637142</v>
      </c>
      <c r="GD69">
        <f>IF(BG69&lt;&gt;-999,BG69*$GB69, -999)</f>
        <v>-356084.91220141971</v>
      </c>
      <c r="GE69" s="29">
        <f>IF(BH69&lt;&gt;-999,BH69*$GB69, -999)</f>
        <v>-603678.76190426678</v>
      </c>
      <c r="GF69">
        <f t="shared" si="71"/>
        <v>-10.847719999999988</v>
      </c>
      <c r="GG69">
        <f>IF(BI69&lt;&gt;-999,BI69*$GF69, -999)</f>
        <v>-1076551.1920629451</v>
      </c>
      <c r="GH69">
        <f>IF(BJ69&lt;&gt;-999,BJ69*$GF69, -999)</f>
        <v>-1548273.9145743344</v>
      </c>
      <c r="GI69" s="29">
        <f>IF(BK69&lt;&gt;-999,BK69*$GF69, -999)</f>
        <v>-2624823.3008341719</v>
      </c>
      <c r="GJ69" s="30">
        <f t="shared" si="64"/>
        <v>21080502.808481764</v>
      </c>
    </row>
    <row r="70" spans="1:192">
      <c r="A70" s="48" t="s">
        <v>194</v>
      </c>
      <c r="B70" s="48" t="s">
        <v>143</v>
      </c>
      <c r="C70" s="49">
        <v>159</v>
      </c>
      <c r="D70" s="50">
        <v>0.84099999999999997</v>
      </c>
      <c r="E70" s="49">
        <v>124.12077020047001</v>
      </c>
      <c r="F70" s="49">
        <v>0.77114741455355995</v>
      </c>
      <c r="G70" s="49">
        <v>276.62033409746101</v>
      </c>
      <c r="H70" s="49">
        <v>0.80262225922292796</v>
      </c>
      <c r="I70" s="42">
        <v>24227.1</v>
      </c>
      <c r="J70" s="43">
        <v>-999</v>
      </c>
      <c r="K70" s="43">
        <f t="shared" si="39"/>
        <v>24227.1</v>
      </c>
      <c r="L70" s="43">
        <v>15075.2</v>
      </c>
      <c r="M70" s="43">
        <v>-999</v>
      </c>
      <c r="N70" s="43">
        <f t="shared" si="40"/>
        <v>15075.2</v>
      </c>
      <c r="O70" s="43">
        <v>63315.199999999997</v>
      </c>
      <c r="P70" s="43">
        <v>-999</v>
      </c>
      <c r="Q70" s="43">
        <f t="shared" si="41"/>
        <v>63315.199999999997</v>
      </c>
      <c r="R70" s="43">
        <v>19867.400000000001</v>
      </c>
      <c r="S70" s="43">
        <v>-999</v>
      </c>
      <c r="T70" s="43">
        <f t="shared" si="42"/>
        <v>19867.400000000001</v>
      </c>
      <c r="U70" s="43">
        <v>12362.3</v>
      </c>
      <c r="V70" s="43">
        <v>-999</v>
      </c>
      <c r="W70" s="43">
        <f t="shared" si="43"/>
        <v>12362.3</v>
      </c>
      <c r="X70" s="43">
        <v>51921.4</v>
      </c>
      <c r="Y70" s="43">
        <v>-999</v>
      </c>
      <c r="Z70" s="43">
        <f t="shared" si="44"/>
        <v>51921.4</v>
      </c>
      <c r="AA70" s="22">
        <v>243869.8</v>
      </c>
      <c r="AB70">
        <v>-999</v>
      </c>
      <c r="AC70">
        <v>243869.8</v>
      </c>
      <c r="AD70">
        <v>151746.6</v>
      </c>
      <c r="AE70">
        <v>-999</v>
      </c>
      <c r="AF70">
        <v>151746.6</v>
      </c>
      <c r="AG70">
        <v>637330</v>
      </c>
      <c r="AH70">
        <v>-999</v>
      </c>
      <c r="AI70">
        <v>637330</v>
      </c>
      <c r="AJ70">
        <v>199984.6</v>
      </c>
      <c r="AK70">
        <v>-999</v>
      </c>
      <c r="AL70">
        <v>199984.6</v>
      </c>
      <c r="AM70">
        <v>124439.3</v>
      </c>
      <c r="AN70">
        <v>-999</v>
      </c>
      <c r="AO70">
        <v>124439.3</v>
      </c>
      <c r="AP70">
        <v>522640.5</v>
      </c>
      <c r="AQ70">
        <v>-999</v>
      </c>
      <c r="AR70">
        <v>522640.5</v>
      </c>
      <c r="AS70">
        <v>1880010.78</v>
      </c>
      <c r="AT70" s="22">
        <f t="shared" si="72"/>
        <v>405966.269981355</v>
      </c>
      <c r="AU70">
        <f t="shared" si="72"/>
        <v>-999</v>
      </c>
      <c r="AV70">
        <f t="shared" si="72"/>
        <v>405966.269981355</v>
      </c>
      <c r="AW70">
        <f t="shared" si="72"/>
        <v>252610.20915403499</v>
      </c>
      <c r="AX70">
        <f t="shared" si="72"/>
        <v>-999</v>
      </c>
      <c r="AY70">
        <f t="shared" si="72"/>
        <v>252610.20915403499</v>
      </c>
      <c r="AZ70">
        <f t="shared" si="72"/>
        <v>1060953.35645175</v>
      </c>
      <c r="BA70">
        <f t="shared" si="72"/>
        <v>-999</v>
      </c>
      <c r="BB70">
        <f t="shared" si="72"/>
        <v>1060953.35645175</v>
      </c>
      <c r="BC70">
        <f t="shared" si="72"/>
        <v>332911.25885908498</v>
      </c>
      <c r="BD70">
        <f t="shared" si="72"/>
        <v>-999</v>
      </c>
      <c r="BE70">
        <f t="shared" si="72"/>
        <v>332911.25885908498</v>
      </c>
      <c r="BF70">
        <f t="shared" si="72"/>
        <v>207152.17078986752</v>
      </c>
      <c r="BG70">
        <f t="shared" si="65"/>
        <v>-999</v>
      </c>
      <c r="BH70">
        <f t="shared" si="65"/>
        <v>207152.17078986752</v>
      </c>
      <c r="BI70">
        <f t="shared" si="65"/>
        <v>870031.52635623747</v>
      </c>
      <c r="BJ70">
        <f t="shared" si="38"/>
        <v>-999</v>
      </c>
      <c r="BK70">
        <f t="shared" si="38"/>
        <v>870031.52635623747</v>
      </c>
      <c r="BL70">
        <f t="shared" si="38"/>
        <v>3129624.7582986406</v>
      </c>
      <c r="BM70" s="22">
        <f>-17.17-(0.1023*E70)+F70*(100-8.576-13.681)</f>
        <v>30.083758658129334</v>
      </c>
      <c r="BN70">
        <f>IF(AT70&lt;&gt;-999,AT70*$BM70, -999)</f>
        <v>12212991.289460059</v>
      </c>
      <c r="BO70">
        <f>IF(AU70&lt;&gt;-999,AU70*$BM70, -999)</f>
        <v>-999</v>
      </c>
      <c r="BP70" s="25">
        <f>IF(AV70&lt;&gt;-999,AV70*$BM70, -999)</f>
        <v>12212991.289460059</v>
      </c>
      <c r="BQ70">
        <f>-19.943-(0.1023*E70)+F70*(100-8.576-13.681)</f>
        <v>27.310758658129338</v>
      </c>
      <c r="BR70">
        <f>IF(AW70&lt;&gt;-999,AW70*$BQ70, -999)</f>
        <v>6898976.4567854237</v>
      </c>
      <c r="BS70">
        <f>IF(AX70&lt;&gt;-999,AX70*$BQ70, -999)</f>
        <v>-999</v>
      </c>
      <c r="BT70" s="25">
        <f>IF(AY70&lt;&gt;-999,AY70*$BQ70, -999)</f>
        <v>6898976.4567854237</v>
      </c>
      <c r="BU70">
        <f>-25.871-(0.1023*E70)+F70*(100-8.576-13.681)</f>
        <v>21.38275865812934</v>
      </c>
      <c r="BV70">
        <f>IF(AZ70&lt;&gt;-999,AZ70*$BU70, -999)</f>
        <v>22686109.56854004</v>
      </c>
      <c r="BW70">
        <f>IF(BA70&lt;&gt;-999,BA70*$BU70, -999)</f>
        <v>-999</v>
      </c>
      <c r="BX70" s="25">
        <f>IF(BB70&lt;&gt;-999,BB70*$BU70, -999)</f>
        <v>22686109.56854004</v>
      </c>
      <c r="BY70">
        <f>-25.245-(0.1023*E70)+F70*(100-8.576-13.681)</f>
        <v>22.008758658129331</v>
      </c>
      <c r="BZ70">
        <f>IF(BC70&lt;&gt;-999,BC70*$BY70, -999)</f>
        <v>7326963.5508036213</v>
      </c>
      <c r="CA70">
        <f>IF(BD70&lt;&gt;-999,BD70*$BY70, -999)</f>
        <v>-999</v>
      </c>
      <c r="CB70" s="25">
        <f>IF(BE70&lt;&gt;-999,BE70*$BY70, -999)</f>
        <v>7326963.5508036213</v>
      </c>
      <c r="CC70">
        <f>-29.317-(0.1023*E70)+F70*(100-8.576-13.681)</f>
        <v>17.936758658129335</v>
      </c>
      <c r="CD70">
        <f>IF(BF70&lt;&gt;-999,BF70*$CC70, -999)</f>
        <v>3715638.4929654431</v>
      </c>
      <c r="CE70">
        <f>IF(BG70&lt;&gt;-999,BG70*$CC70, -999)</f>
        <v>-999</v>
      </c>
      <c r="CF70" s="25">
        <f>IF(BH70&lt;&gt;-999,BH70*$CC70, -999)</f>
        <v>3715638.4929654431</v>
      </c>
      <c r="CG70">
        <f>-38.03-(0.1023*E70)+F70*(100-8.576-13.681)</f>
        <v>9.2237586581293343</v>
      </c>
      <c r="CH70">
        <f>IF(BI70&lt;&gt;-999,BI70*$CG70, -999)</f>
        <v>8024960.824073825</v>
      </c>
      <c r="CI70">
        <f>IF(BJ70&lt;&gt;-999,BJ70*$CG70, -999)</f>
        <v>-999</v>
      </c>
      <c r="CJ70" s="25">
        <f>IF(BK70&lt;&gt;-999,BK70*$CG70, -999)</f>
        <v>8024960.824073825</v>
      </c>
      <c r="CK70" s="26">
        <f t="shared" si="45"/>
        <v>60865640.182628423</v>
      </c>
      <c r="CL70">
        <f t="shared" si="46"/>
        <v>-33.669330549211111</v>
      </c>
      <c r="CM70">
        <f t="shared" si="47"/>
        <v>25.262333024230891</v>
      </c>
      <c r="CN70">
        <f t="shared" si="48"/>
        <v>-91.583030520383275</v>
      </c>
      <c r="CO70" s="22">
        <f t="shared" si="49"/>
        <v>-40.08</v>
      </c>
      <c r="CP70">
        <f>IF(AT70&lt;&gt;-999,AT70*$CO70, -999)</f>
        <v>-16271128.100852707</v>
      </c>
      <c r="CQ70">
        <f>IF(AU70&lt;&gt;-999,AU70*$CO70, -999)</f>
        <v>-999</v>
      </c>
      <c r="CR70" s="27">
        <f>IF(AV70&lt;&gt;-999,AV70*$CO70, -999)</f>
        <v>-16271128.100852707</v>
      </c>
      <c r="CS70">
        <f t="shared" si="50"/>
        <v>-42.853000000000002</v>
      </c>
      <c r="CT70">
        <f>IF(AW70&lt;&gt;-999,AW70*$CS70, -999)</f>
        <v>-10825105.292877862</v>
      </c>
      <c r="CU70">
        <f>IF(AX70&lt;&gt;-999,AX70*$CS70, -999)</f>
        <v>-999</v>
      </c>
      <c r="CV70" s="27">
        <f>IF(AY70&lt;&gt;-999,AY70*$CS70, -999)</f>
        <v>-10825105.292877862</v>
      </c>
      <c r="CW70">
        <f t="shared" si="51"/>
        <v>-48.780999999999999</v>
      </c>
      <c r="CX70">
        <f>IF(AZ70&lt;&gt;-999,AZ70*$CO70, -999)</f>
        <v>-42523010.526586138</v>
      </c>
      <c r="CY70">
        <f>IF(BA70&lt;&gt;-999,BA70*$CO70, -999)</f>
        <v>-999</v>
      </c>
      <c r="CZ70" s="27">
        <f>IF(BB70&lt;&gt;-999,BB70*$CO70, -999)</f>
        <v>-42523010.526586138</v>
      </c>
      <c r="DA70">
        <f t="shared" si="52"/>
        <v>-48.155000000000001</v>
      </c>
      <c r="DB70">
        <f>IF(BC70&lt;&gt;-999,BC70*$DA70, -999)</f>
        <v>-16031341.670359237</v>
      </c>
      <c r="DC70">
        <f>IF(BD70&lt;&gt;-999,BD70*$DA70, -999)</f>
        <v>-999</v>
      </c>
      <c r="DD70" s="27">
        <f>IF(BE70&lt;&gt;-999,BE70*$DA70, -999)</f>
        <v>-16031341.670359237</v>
      </c>
      <c r="DE70">
        <f t="shared" si="53"/>
        <v>-52.227000000000004</v>
      </c>
      <c r="DF70">
        <f>IF(BF70&lt;&gt;-999,BF70*$DE70, -999)</f>
        <v>-10818936.423842411</v>
      </c>
      <c r="DG70">
        <f>IF(BG70&lt;&gt;-999,BG70*$DE70, -999)</f>
        <v>-999</v>
      </c>
      <c r="DH70" s="27">
        <f>IF(BH70&lt;&gt;-999,BH70*$DE70, -999)</f>
        <v>-10818936.423842411</v>
      </c>
      <c r="DI70">
        <f t="shared" si="54"/>
        <v>-60.94</v>
      </c>
      <c r="DJ70">
        <f>IF(BI70&lt;&gt;-999,BI70*$DI70, -999)</f>
        <v>-53019721.216149107</v>
      </c>
      <c r="DK70">
        <f>IF(BJ70&lt;&gt;-999,BJ70*$DI70, -999)</f>
        <v>-999</v>
      </c>
      <c r="DL70" s="27">
        <f>IF(BK70&lt;&gt;-999,BK70*$DI70, -999)</f>
        <v>-53019721.216149107</v>
      </c>
      <c r="DM70" s="28">
        <f t="shared" si="55"/>
        <v>-149489243.23066747</v>
      </c>
      <c r="DN70" s="22">
        <f t="shared" si="56"/>
        <v>-17.170000000000002</v>
      </c>
      <c r="DO70">
        <f>IF(AT70&lt;&gt;-999,AT70*$DN70, -999)</f>
        <v>-6970440.8555798661</v>
      </c>
      <c r="DP70">
        <f>IF(AU70&lt;&gt;-999,AU70*$DN70, -999)</f>
        <v>-999</v>
      </c>
      <c r="DQ70" s="24">
        <f>IF(AV70&lt;&gt;-999,AV70*$DN70, -999)</f>
        <v>-6970440.8555798661</v>
      </c>
      <c r="DR70">
        <f t="shared" si="57"/>
        <v>-19.943000000000001</v>
      </c>
      <c r="DS70">
        <f>IF(AW70&lt;&gt;-999,AW70*$DR70, -999)</f>
        <v>-5037805.4011589205</v>
      </c>
      <c r="DT70">
        <f>IF(AX70&lt;&gt;-999,AX70*$DR70, -999)</f>
        <v>-999</v>
      </c>
      <c r="DU70" s="24">
        <f>IF(AY70&lt;&gt;-999,AY70*$DR70, -999)</f>
        <v>-5037805.4011589205</v>
      </c>
      <c r="DV70">
        <f t="shared" si="58"/>
        <v>-25.870999999999999</v>
      </c>
      <c r="DW70">
        <f>IF(AZ70&lt;&gt;-999,AZ70*$DV70, -999)</f>
        <v>-27447924.284763224</v>
      </c>
      <c r="DX70">
        <f>IF(BA70&lt;&gt;-999,BA70*$DV70, -999)</f>
        <v>-999</v>
      </c>
      <c r="DY70" s="24">
        <f>IF(BB70&lt;&gt;-999,BB70*$DV70, -999)</f>
        <v>-27447924.284763224</v>
      </c>
      <c r="DZ70">
        <f t="shared" si="59"/>
        <v>-25.245000000000001</v>
      </c>
      <c r="EA70">
        <f>IF(BC70&lt;&gt;-999, BC70*$DZ70, -999)</f>
        <v>-8404344.7298975997</v>
      </c>
      <c r="EB70">
        <f>IF(BD70&lt;&gt;-999, BD70*$DZ70, -999)</f>
        <v>-999</v>
      </c>
      <c r="EC70" s="24">
        <f>IF(BE70&lt;&gt;-999, BE70*$DZ70, -999)</f>
        <v>-8404344.7298975997</v>
      </c>
      <c r="ED70">
        <f t="shared" si="60"/>
        <v>-29.317</v>
      </c>
      <c r="EE70">
        <f>IF(BF70&lt;&gt;-999,BF70*$ED70, -999)</f>
        <v>-6073080.1910465462</v>
      </c>
      <c r="EF70">
        <f>IF(BG70&lt;&gt;-999,BG70*$ED70, -999)</f>
        <v>-999</v>
      </c>
      <c r="EG70" s="24">
        <f>IF(BH70&lt;&gt;-999,BH70*$ED70, -999)</f>
        <v>-6073080.1910465462</v>
      </c>
      <c r="EH70">
        <f t="shared" si="61"/>
        <v>-38.03</v>
      </c>
      <c r="EI70">
        <f>IF(BI70&lt;&gt;-999,BI70*$EH70, -999)</f>
        <v>-33087298.947327711</v>
      </c>
      <c r="EJ70">
        <f>IF(BJ70&lt;&gt;-999,BJ70*$EH70, -999)</f>
        <v>-999</v>
      </c>
      <c r="EK70" s="24">
        <f>IF(BK70&lt;&gt;-999,BK70*$EH70, -999)</f>
        <v>-33087298.947327711</v>
      </c>
      <c r="EL70" s="28">
        <f t="shared" si="62"/>
        <v>-87020894.409773871</v>
      </c>
      <c r="EM70" s="22">
        <f>-17.17-(0.1023*G70)+H70*(100+102.093-66.644-64.243)</f>
        <v>11.683260412057557</v>
      </c>
      <c r="EN70">
        <f>IF(AT70&lt;&gt;-999,AT70*$EM70, -999)</f>
        <v>4743009.6507038353</v>
      </c>
      <c r="EO70">
        <f>IF(AU70&lt;&gt;-999,AU70*$EM70, -999)</f>
        <v>-999</v>
      </c>
      <c r="EP70" s="23">
        <f>IF(AV70&lt;&gt;-999,AV70*$EM70, -999)</f>
        <v>4743009.6507038353</v>
      </c>
      <c r="EQ70">
        <f>-19.943-(0.1023*G70)+H70*(100+102.093-66.644-64.243)</f>
        <v>8.9102604120575606</v>
      </c>
      <c r="ER70">
        <f>IF(AW70&lt;&gt;-999,AW70*$EQ70, -999)</f>
        <v>2250822.7463067784</v>
      </c>
      <c r="ES70">
        <f>IF(AX70&lt;&gt;-999,AX70*$EQ70, -999)</f>
        <v>-999</v>
      </c>
      <c r="ET70" s="23">
        <f>IF(AY70&lt;&gt;-999,AY70*$EQ70, -999)</f>
        <v>2250822.7463067784</v>
      </c>
      <c r="EU70">
        <f>-25.871-(0.1023*G70)+H70*(100+102.093-66.644-64.243)</f>
        <v>2.9822604120575633</v>
      </c>
      <c r="EV70">
        <f>IF(AZ70&lt;&gt;-999,AZ70*$EU70, -999)</f>
        <v>3164039.1939856508</v>
      </c>
      <c r="EW70">
        <f>IF(BA70&lt;&gt;-999,BA70*$EU70, -999)</f>
        <v>-999</v>
      </c>
      <c r="EX70" s="23">
        <f>IF(BB70&lt;&gt;-999,BB70*$EU70, -999)</f>
        <v>3164039.1939856508</v>
      </c>
      <c r="EY70">
        <f>-25.245-(0.1023*G70)+H70*(100+102.093-66.644-64.243)</f>
        <v>3.608260412057561</v>
      </c>
      <c r="EZ70">
        <f>IF(BC70&lt;&gt;-999, BC70*$EY70, -999)</f>
        <v>1201230.5160694832</v>
      </c>
      <c r="FA70">
        <f>IF(BD70&lt;&gt;-999, BD70*$EY70, -999)</f>
        <v>-999</v>
      </c>
      <c r="FB70" s="23">
        <f>IF(BE70&lt;&gt;-999, BE70*$EY70, -999)</f>
        <v>1201230.5160694832</v>
      </c>
      <c r="FC70">
        <f>-29.317-(0.1023*G70)+H70*(100+102.093-66.644-64.243)</f>
        <v>-0.46373958794243464</v>
      </c>
      <c r="FD70">
        <f>IF(BF70&lt;&gt;-999,BF70*$FC70, -999)</f>
        <v>-96064.662323474011</v>
      </c>
      <c r="FE70">
        <f>IF(BG70&lt;&gt;-999,BG70*$FC70, -999)</f>
        <v>-999</v>
      </c>
      <c r="FF70" s="23">
        <f>IF(BH70&lt;&gt;-999,BH70*$FC70, -999)</f>
        <v>-96064.662323474011</v>
      </c>
      <c r="FG70">
        <f>-38.03-(0.1023*G70)+H70*(100+102.093-66.644-64.243)</f>
        <v>-9.1767395879424427</v>
      </c>
      <c r="FH70">
        <f>IF(BI70&lt;&gt;-999,BI70*$FG70, -999)</f>
        <v>-7984052.7506712731</v>
      </c>
      <c r="FI70">
        <f>IF(BJ70&lt;&gt;-999,BJ70*$FG70, -999)</f>
        <v>-999</v>
      </c>
      <c r="FJ70" s="23">
        <f>IF(BK70&lt;&gt;-999,BK70*$FG70, -999)</f>
        <v>-7984052.7506712731</v>
      </c>
      <c r="FK70" s="28">
        <f t="shared" si="63"/>
        <v>3278984.6940709986</v>
      </c>
      <c r="FL70" s="22">
        <f t="shared" si="66"/>
        <v>10.012280000000011</v>
      </c>
      <c r="FM70">
        <f>IF(AT70&lt;&gt;-999,AT70*$FL70, -999)</f>
        <v>4064647.9656089256</v>
      </c>
      <c r="FN70">
        <f>IF(AU70&lt;&gt;-999,AU70*$FL70, -999)</f>
        <v>-999</v>
      </c>
      <c r="FO70" s="29">
        <f>IF(AV70&lt;&gt;-999,AV70*$FL70, -999)</f>
        <v>4064647.9656089256</v>
      </c>
      <c r="FP70">
        <f t="shared" si="67"/>
        <v>7.2392800000000115</v>
      </c>
      <c r="FQ70">
        <f>IF(AW70&lt;&gt;-999,AW70*$FP70, -999)</f>
        <v>1828716.0349246254</v>
      </c>
      <c r="FR70">
        <f>IF(AX70&lt;&gt;-999,AX70*$FP70, -999)</f>
        <v>-999</v>
      </c>
      <c r="FS70" s="29">
        <f>IF(AY70&lt;&gt;-999,AY70*$FP70, -999)</f>
        <v>1828716.0349246254</v>
      </c>
      <c r="FT70">
        <f t="shared" si="68"/>
        <v>1.3112800000000142</v>
      </c>
      <c r="FU70">
        <f>IF(AZ70&lt;&gt;-999,AZ70*$FT70, -999)</f>
        <v>1391206.9172480658</v>
      </c>
      <c r="FV70">
        <f>IF(BA70&lt;&gt;-999,BA70*$FT70, -999)</f>
        <v>-999</v>
      </c>
      <c r="FW70" s="29">
        <f>IF(BB70&lt;&gt;-999,BB70*$FT70, -999)</f>
        <v>1391206.9172480658</v>
      </c>
      <c r="FX70">
        <f t="shared" si="69"/>
        <v>1.9372800000000119</v>
      </c>
      <c r="FY70">
        <f>IF(BC70&lt;&gt;-999, BC70*$FX70, -999)</f>
        <v>644942.32356253208</v>
      </c>
      <c r="FZ70">
        <f>IF(BD70&lt;&gt;-999, BD70*$FX70, -999)</f>
        <v>-999</v>
      </c>
      <c r="GA70" s="29">
        <f>IF(BE70&lt;&gt;-999, BE70*$FX70, -999)</f>
        <v>644942.32356253208</v>
      </c>
      <c r="GB70">
        <f t="shared" si="70"/>
        <v>-2.1347199999999873</v>
      </c>
      <c r="GC70">
        <f>IF(BF70&lt;&gt;-999,BF70*$GB70, -999)</f>
        <v>-442211.88202854339</v>
      </c>
      <c r="GD70">
        <f>IF(BG70&lt;&gt;-999,BG70*$GB70, -999)</f>
        <v>-999</v>
      </c>
      <c r="GE70" s="29">
        <f>IF(BH70&lt;&gt;-999,BH70*$GB70, -999)</f>
        <v>-442211.88202854339</v>
      </c>
      <c r="GF70">
        <f t="shared" si="71"/>
        <v>-10.847719999999988</v>
      </c>
      <c r="GG70">
        <f>IF(BI70&lt;&gt;-999,BI70*$GF70, -999)</f>
        <v>-9437858.3890850749</v>
      </c>
      <c r="GH70">
        <f>IF(BJ70&lt;&gt;-999,BJ70*$GF70, -999)</f>
        <v>-999</v>
      </c>
      <c r="GI70" s="29">
        <f>IF(BK70&lt;&gt;-999,BK70*$GF70, -999)</f>
        <v>-9437858.3890850749</v>
      </c>
      <c r="GJ70" s="30">
        <f t="shared" si="64"/>
        <v>-1950557.02976947</v>
      </c>
    </row>
    <row r="71" spans="1:192">
      <c r="A71" s="49" t="s">
        <v>151</v>
      </c>
      <c r="B71" s="49" t="s">
        <v>209</v>
      </c>
      <c r="C71" s="49">
        <v>23</v>
      </c>
      <c r="D71" s="50">
        <v>0.83799999999999997</v>
      </c>
      <c r="E71" s="49">
        <v>67.458454915844897</v>
      </c>
      <c r="F71" s="49">
        <v>0.79472962352514498</v>
      </c>
      <c r="G71" s="49">
        <v>133.50291769972699</v>
      </c>
      <c r="H71" s="49">
        <v>0.81285030063876496</v>
      </c>
      <c r="I71" s="42">
        <v>27391.8</v>
      </c>
      <c r="J71" s="43">
        <v>-999</v>
      </c>
      <c r="K71" s="43">
        <f t="shared" si="39"/>
        <v>27391.8</v>
      </c>
      <c r="L71" s="43">
        <v>15478.4</v>
      </c>
      <c r="M71" s="43">
        <v>-999</v>
      </c>
      <c r="N71" s="43">
        <f t="shared" si="40"/>
        <v>15478.4</v>
      </c>
      <c r="O71" s="43">
        <v>12156.2</v>
      </c>
      <c r="P71" s="43">
        <v>-999</v>
      </c>
      <c r="Q71" s="43">
        <f t="shared" si="41"/>
        <v>12156.2</v>
      </c>
      <c r="R71" s="43">
        <v>8837.6</v>
      </c>
      <c r="S71" s="43">
        <v>-999</v>
      </c>
      <c r="T71" s="43">
        <f t="shared" si="42"/>
        <v>8837.6</v>
      </c>
      <c r="U71" s="43">
        <v>4993.8999999999996</v>
      </c>
      <c r="V71" s="43">
        <v>-999</v>
      </c>
      <c r="W71" s="43">
        <f t="shared" si="43"/>
        <v>4993.8999999999996</v>
      </c>
      <c r="X71" s="43">
        <v>3922</v>
      </c>
      <c r="Y71" s="43">
        <v>-999</v>
      </c>
      <c r="Z71" s="43">
        <f t="shared" si="44"/>
        <v>3922</v>
      </c>
      <c r="AA71" s="22">
        <v>1045351.8</v>
      </c>
      <c r="AB71">
        <v>-999</v>
      </c>
      <c r="AC71">
        <v>1045351.8</v>
      </c>
      <c r="AD71">
        <v>590700.9</v>
      </c>
      <c r="AE71">
        <v>-999</v>
      </c>
      <c r="AF71">
        <v>590700.9</v>
      </c>
      <c r="AG71">
        <v>463918.6</v>
      </c>
      <c r="AH71">
        <v>-999</v>
      </c>
      <c r="AI71">
        <v>463918.6</v>
      </c>
      <c r="AJ71">
        <v>337267.9</v>
      </c>
      <c r="AK71">
        <v>-999</v>
      </c>
      <c r="AL71">
        <v>337267.9</v>
      </c>
      <c r="AM71">
        <v>190581.3</v>
      </c>
      <c r="AN71">
        <v>-999</v>
      </c>
      <c r="AO71">
        <v>190581.3</v>
      </c>
      <c r="AP71">
        <v>149676.70000000001</v>
      </c>
      <c r="AQ71">
        <v>-999</v>
      </c>
      <c r="AR71">
        <v>149676.70000000001</v>
      </c>
      <c r="AS71">
        <v>2777497.26</v>
      </c>
      <c r="AT71" s="22">
        <f t="shared" si="72"/>
        <v>1740180.9123733051</v>
      </c>
      <c r="AU71">
        <f t="shared" si="72"/>
        <v>-999</v>
      </c>
      <c r="AV71">
        <f t="shared" si="72"/>
        <v>1740180.9123733051</v>
      </c>
      <c r="AW71">
        <f t="shared" si="72"/>
        <v>983330.61759852746</v>
      </c>
      <c r="AX71">
        <f t="shared" si="72"/>
        <v>-999</v>
      </c>
      <c r="AY71">
        <f t="shared" si="72"/>
        <v>983330.61759852746</v>
      </c>
      <c r="AZ71">
        <f t="shared" si="72"/>
        <v>772278.09108373499</v>
      </c>
      <c r="BA71">
        <f t="shared" si="72"/>
        <v>-999</v>
      </c>
      <c r="BB71">
        <f t="shared" si="72"/>
        <v>772278.09108373499</v>
      </c>
      <c r="BC71">
        <f t="shared" si="72"/>
        <v>561444.63704585249</v>
      </c>
      <c r="BD71">
        <f t="shared" si="72"/>
        <v>-999</v>
      </c>
      <c r="BE71">
        <f t="shared" si="72"/>
        <v>561444.63704585249</v>
      </c>
      <c r="BF71">
        <f t="shared" si="72"/>
        <v>317257.73133531748</v>
      </c>
      <c r="BG71">
        <f t="shared" si="65"/>
        <v>-999</v>
      </c>
      <c r="BH71">
        <f t="shared" si="65"/>
        <v>317257.73133531748</v>
      </c>
      <c r="BI71">
        <f t="shared" si="65"/>
        <v>249164.47875923253</v>
      </c>
      <c r="BJ71">
        <f t="shared" si="38"/>
        <v>-999</v>
      </c>
      <c r="BK71">
        <f t="shared" si="38"/>
        <v>249164.47875923253</v>
      </c>
      <c r="BL71">
        <f t="shared" si="38"/>
        <v>4623656.568077038</v>
      </c>
      <c r="BM71" s="22">
        <f>-17.17-(0.1023*E71)+F71*(100-8.576-13.681)</f>
        <v>37.713665183824418</v>
      </c>
      <c r="BN71">
        <f>IF(AT71&lt;&gt;-999,AT71*$BM71, -999)</f>
        <v>65628600.288528927</v>
      </c>
      <c r="BO71">
        <f>IF(AU71&lt;&gt;-999,AU71*$BM71, -999)</f>
        <v>-999</v>
      </c>
      <c r="BP71" s="25">
        <f>IF(AV71&lt;&gt;-999,AV71*$BM71, -999)</f>
        <v>65628600.288528927</v>
      </c>
      <c r="BQ71">
        <f>-19.943-(0.1023*E71)+F71*(100-8.576-13.681)</f>
        <v>34.940665183824422</v>
      </c>
      <c r="BR71">
        <f>IF(AW71&lt;&gt;-999,AW71*$BQ71, -999)</f>
        <v>34358225.874513432</v>
      </c>
      <c r="BS71">
        <f>IF(AX71&lt;&gt;-999,AX71*$BQ71, -999)</f>
        <v>-999</v>
      </c>
      <c r="BT71" s="25">
        <f>IF(AY71&lt;&gt;-999,AY71*$BQ71, -999)</f>
        <v>34358225.874513432</v>
      </c>
      <c r="BU71">
        <f>-25.871-(0.1023*E71)+F71*(100-8.576-13.681)</f>
        <v>29.012665183824424</v>
      </c>
      <c r="BV71">
        <f>IF(AZ71&lt;&gt;-999,AZ71*$BU71, -999)</f>
        <v>22405845.685415465</v>
      </c>
      <c r="BW71">
        <f>IF(BA71&lt;&gt;-999,BA71*$BU71, -999)</f>
        <v>-999</v>
      </c>
      <c r="BX71" s="25">
        <f>IF(BB71&lt;&gt;-999,BB71*$BU71, -999)</f>
        <v>22405845.685415465</v>
      </c>
      <c r="BY71">
        <f>-25.245-(0.1023*E71)+F71*(100-8.576-13.681)</f>
        <v>29.638665183824422</v>
      </c>
      <c r="BZ71">
        <f>IF(BC71&lt;&gt;-999,BC71*$BY71, -999)</f>
        <v>16640469.616655847</v>
      </c>
      <c r="CA71">
        <f>IF(BD71&lt;&gt;-999,BD71*$BY71, -999)</f>
        <v>-999</v>
      </c>
      <c r="CB71" s="25">
        <f>IF(BE71&lt;&gt;-999,BE71*$BY71, -999)</f>
        <v>16640469.616655847</v>
      </c>
      <c r="CC71">
        <f>-29.317-(0.1023*E71)+F71*(100-8.576-13.681)</f>
        <v>25.566665183824419</v>
      </c>
      <c r="CD71">
        <f>IF(BF71&lt;&gt;-999,BF71*$CC71, -999)</f>
        <v>8111222.1940297829</v>
      </c>
      <c r="CE71">
        <f>IF(BG71&lt;&gt;-999,BG71*$CC71, -999)</f>
        <v>-999</v>
      </c>
      <c r="CF71" s="25">
        <f>IF(BH71&lt;&gt;-999,BH71*$CC71, -999)</f>
        <v>8111222.1940297829</v>
      </c>
      <c r="CG71">
        <f>-38.03-(0.1023*E71)+F71*(100-8.576-13.681)</f>
        <v>16.853665183824425</v>
      </c>
      <c r="CH71">
        <f>IF(BI71&lt;&gt;-999,BI71*$CG71, -999)</f>
        <v>4199334.700710238</v>
      </c>
      <c r="CI71">
        <f>IF(BJ71&lt;&gt;-999,BJ71*$CG71, -999)</f>
        <v>-999</v>
      </c>
      <c r="CJ71" s="25">
        <f>IF(BK71&lt;&gt;-999,BK71*$CG71, -999)</f>
        <v>4199334.700710238</v>
      </c>
      <c r="CK71" s="26">
        <f t="shared" si="45"/>
        <v>151343698.35985368</v>
      </c>
      <c r="CL71">
        <f t="shared" si="46"/>
        <v>-39.303559231577623</v>
      </c>
      <c r="CM71">
        <f t="shared" si="47"/>
        <v>17.879410491410361</v>
      </c>
      <c r="CN71">
        <f t="shared" si="48"/>
        <v>-95.498771638413203</v>
      </c>
      <c r="CO71" s="22">
        <f t="shared" si="49"/>
        <v>-40.08</v>
      </c>
      <c r="CP71">
        <f>IF(AT71&lt;&gt;-999,AT71*$CO71, -999)</f>
        <v>-69746450.967922062</v>
      </c>
      <c r="CQ71">
        <f>IF(AU71&lt;&gt;-999,AU71*$CO71, -999)</f>
        <v>-999</v>
      </c>
      <c r="CR71" s="27">
        <f>IF(AV71&lt;&gt;-999,AV71*$CO71, -999)</f>
        <v>-69746450.967922062</v>
      </c>
      <c r="CS71">
        <f t="shared" si="50"/>
        <v>-42.853000000000002</v>
      </c>
      <c r="CT71">
        <f>IF(AW71&lt;&gt;-999,AW71*$CS71, -999)</f>
        <v>-42138666.955949701</v>
      </c>
      <c r="CU71">
        <f>IF(AX71&lt;&gt;-999,AX71*$CS71, -999)</f>
        <v>-999</v>
      </c>
      <c r="CV71" s="27">
        <f>IF(AY71&lt;&gt;-999,AY71*$CS71, -999)</f>
        <v>-42138666.955949701</v>
      </c>
      <c r="CW71">
        <f t="shared" si="51"/>
        <v>-48.780999999999999</v>
      </c>
      <c r="CX71">
        <f>IF(AZ71&lt;&gt;-999,AZ71*$CO71, -999)</f>
        <v>-30952905.890636098</v>
      </c>
      <c r="CY71">
        <f>IF(BA71&lt;&gt;-999,BA71*$CO71, -999)</f>
        <v>-999</v>
      </c>
      <c r="CZ71" s="27">
        <f>IF(BB71&lt;&gt;-999,BB71*$CO71, -999)</f>
        <v>-30952905.890636098</v>
      </c>
      <c r="DA71">
        <f t="shared" si="52"/>
        <v>-48.155000000000001</v>
      </c>
      <c r="DB71">
        <f>IF(BC71&lt;&gt;-999,BC71*$DA71, -999)</f>
        <v>-27036366.496943027</v>
      </c>
      <c r="DC71">
        <f>IF(BD71&lt;&gt;-999,BD71*$DA71, -999)</f>
        <v>-999</v>
      </c>
      <c r="DD71" s="27">
        <f>IF(BE71&lt;&gt;-999,BE71*$DA71, -999)</f>
        <v>-27036366.496943027</v>
      </c>
      <c r="DE71">
        <f t="shared" si="53"/>
        <v>-52.227000000000004</v>
      </c>
      <c r="DF71">
        <f>IF(BF71&lt;&gt;-999,BF71*$DE71, -999)</f>
        <v>-16569419.534449628</v>
      </c>
      <c r="DG71">
        <f>IF(BG71&lt;&gt;-999,BG71*$DE71, -999)</f>
        <v>-999</v>
      </c>
      <c r="DH71" s="27">
        <f>IF(BH71&lt;&gt;-999,BH71*$DE71, -999)</f>
        <v>-16569419.534449628</v>
      </c>
      <c r="DI71">
        <f t="shared" si="54"/>
        <v>-60.94</v>
      </c>
      <c r="DJ71">
        <f>IF(BI71&lt;&gt;-999,BI71*$DI71, -999)</f>
        <v>-15184083.33558763</v>
      </c>
      <c r="DK71">
        <f>IF(BJ71&lt;&gt;-999,BJ71*$DI71, -999)</f>
        <v>-999</v>
      </c>
      <c r="DL71" s="27">
        <f>IF(BK71&lt;&gt;-999,BK71*$DI71, -999)</f>
        <v>-15184083.33558763</v>
      </c>
      <c r="DM71" s="28">
        <f t="shared" si="55"/>
        <v>-201627893.18148813</v>
      </c>
      <c r="DN71" s="22">
        <f t="shared" si="56"/>
        <v>-17.170000000000002</v>
      </c>
      <c r="DO71">
        <f>IF(AT71&lt;&gt;-999,AT71*$DN71, -999)</f>
        <v>-29878906.265449651</v>
      </c>
      <c r="DP71">
        <f>IF(AU71&lt;&gt;-999,AU71*$DN71, -999)</f>
        <v>-999</v>
      </c>
      <c r="DQ71" s="24">
        <f>IF(AV71&lt;&gt;-999,AV71*$DN71, -999)</f>
        <v>-29878906.265449651</v>
      </c>
      <c r="DR71">
        <f t="shared" si="57"/>
        <v>-19.943000000000001</v>
      </c>
      <c r="DS71">
        <f>IF(AW71&lt;&gt;-999,AW71*$DR71, -999)</f>
        <v>-19610562.506767433</v>
      </c>
      <c r="DT71">
        <f>IF(AX71&lt;&gt;-999,AX71*$DR71, -999)</f>
        <v>-999</v>
      </c>
      <c r="DU71" s="24">
        <f>IF(AY71&lt;&gt;-999,AY71*$DR71, -999)</f>
        <v>-19610562.506767433</v>
      </c>
      <c r="DV71">
        <f t="shared" si="58"/>
        <v>-25.870999999999999</v>
      </c>
      <c r="DW71">
        <f>IF(AZ71&lt;&gt;-999,AZ71*$DV71, -999)</f>
        <v>-19979606.494427308</v>
      </c>
      <c r="DX71">
        <f>IF(BA71&lt;&gt;-999,BA71*$DV71, -999)</f>
        <v>-999</v>
      </c>
      <c r="DY71" s="24">
        <f>IF(BB71&lt;&gt;-999,BB71*$DV71, -999)</f>
        <v>-19979606.494427308</v>
      </c>
      <c r="DZ71">
        <f t="shared" si="59"/>
        <v>-25.245000000000001</v>
      </c>
      <c r="EA71">
        <f>IF(BC71&lt;&gt;-999, BC71*$DZ71, -999)</f>
        <v>-14173669.862222547</v>
      </c>
      <c r="EB71">
        <f>IF(BD71&lt;&gt;-999, BD71*$DZ71, -999)</f>
        <v>-999</v>
      </c>
      <c r="EC71" s="24">
        <f>IF(BE71&lt;&gt;-999, BE71*$DZ71, -999)</f>
        <v>-14173669.862222547</v>
      </c>
      <c r="ED71">
        <f t="shared" si="60"/>
        <v>-29.317</v>
      </c>
      <c r="EE71">
        <f>IF(BF71&lt;&gt;-999,BF71*$ED71, -999)</f>
        <v>-9301044.9095575027</v>
      </c>
      <c r="EF71">
        <f>IF(BG71&lt;&gt;-999,BG71*$ED71, -999)</f>
        <v>-999</v>
      </c>
      <c r="EG71" s="24">
        <f>IF(BH71&lt;&gt;-999,BH71*$ED71, -999)</f>
        <v>-9301044.9095575027</v>
      </c>
      <c r="EH71">
        <f t="shared" si="61"/>
        <v>-38.03</v>
      </c>
      <c r="EI71">
        <f>IF(BI71&lt;&gt;-999,BI71*$EH71, -999)</f>
        <v>-9475725.1272136141</v>
      </c>
      <c r="EJ71">
        <f>IF(BJ71&lt;&gt;-999,BJ71*$EH71, -999)</f>
        <v>-999</v>
      </c>
      <c r="EK71" s="24">
        <f>IF(BK71&lt;&gt;-999,BK71*$EH71, -999)</f>
        <v>-9475725.1272136141</v>
      </c>
      <c r="EL71" s="28">
        <f t="shared" si="62"/>
        <v>-102419515.16563806</v>
      </c>
      <c r="EM71" s="22">
        <f>-17.17-(0.1023*G71)+H71*(100+102.093-66.644-64.243)</f>
        <v>27.052470026601842</v>
      </c>
      <c r="EN71">
        <f>IF(AT71&lt;&gt;-999,AT71*$EM71, -999)</f>
        <v>47076191.972843483</v>
      </c>
      <c r="EO71">
        <f>IF(AU71&lt;&gt;-999,AU71*$EM71, -999)</f>
        <v>-999</v>
      </c>
      <c r="EP71" s="23">
        <f>IF(AV71&lt;&gt;-999,AV71*$EM71, -999)</f>
        <v>47076191.972843483</v>
      </c>
      <c r="EQ71">
        <f>-19.943-(0.1023*G71)+H71*(100+102.093-66.644-64.243)</f>
        <v>24.279470026601842</v>
      </c>
      <c r="ER71">
        <f>IF(AW71&lt;&gt;-999,AW71*$EQ71, -999)</f>
        <v>23874746.256223325</v>
      </c>
      <c r="ES71">
        <f>IF(AX71&lt;&gt;-999,AX71*$EQ71, -999)</f>
        <v>-999</v>
      </c>
      <c r="ET71" s="23">
        <f>IF(AY71&lt;&gt;-999,AY71*$EQ71, -999)</f>
        <v>23874746.256223325</v>
      </c>
      <c r="EU71">
        <f>-25.871-(0.1023*G71)+H71*(100+102.093-66.644-64.243)</f>
        <v>18.351470026601845</v>
      </c>
      <c r="EV71">
        <f>IF(AZ71&lt;&gt;-999,AZ71*$EU71, -999)</f>
        <v>14172438.240724452</v>
      </c>
      <c r="EW71">
        <f>IF(BA71&lt;&gt;-999,BA71*$EU71, -999)</f>
        <v>-999</v>
      </c>
      <c r="EX71" s="23">
        <f>IF(BB71&lt;&gt;-999,BB71*$EU71, -999)</f>
        <v>14172438.240724452</v>
      </c>
      <c r="EY71">
        <f>-25.245-(0.1023*G71)+H71*(100+102.093-66.644-64.243)</f>
        <v>18.977470026601843</v>
      </c>
      <c r="EZ71">
        <f>IF(BC71&lt;&gt;-999, BC71*$EY71, -999)</f>
        <v>10654798.771134017</v>
      </c>
      <c r="FA71">
        <f>IF(BD71&lt;&gt;-999, BD71*$EY71, -999)</f>
        <v>-999</v>
      </c>
      <c r="FB71" s="23">
        <f>IF(BE71&lt;&gt;-999, BE71*$EY71, -999)</f>
        <v>10654798.771134017</v>
      </c>
      <c r="FC71">
        <f>-29.317-(0.1023*G71)+H71*(100+102.093-66.644-64.243)</f>
        <v>14.905470026601847</v>
      </c>
      <c r="FD71">
        <f>IF(BF71&lt;&gt;-999,BF71*$FC71, -999)</f>
        <v>4728875.6051262766</v>
      </c>
      <c r="FE71">
        <f>IF(BG71&lt;&gt;-999,BG71*$FC71, -999)</f>
        <v>-999</v>
      </c>
      <c r="FF71" s="23">
        <f>IF(BH71&lt;&gt;-999,BH71*$FC71, -999)</f>
        <v>4728875.6051262766</v>
      </c>
      <c r="FG71">
        <f>-38.03-(0.1023*G71)+H71*(100+102.093-66.644-64.243)</f>
        <v>6.1924700266018391</v>
      </c>
      <c r="FH71">
        <f>IF(BI71&lt;&gt;-999,BI71*$FG71, -999)</f>
        <v>1542943.5664104181</v>
      </c>
      <c r="FI71">
        <f>IF(BJ71&lt;&gt;-999,BJ71*$FG71, -999)</f>
        <v>-999</v>
      </c>
      <c r="FJ71" s="23">
        <f>IF(BK71&lt;&gt;-999,BK71*$FG71, -999)</f>
        <v>1542943.5664104181</v>
      </c>
      <c r="FK71" s="28">
        <f t="shared" si="63"/>
        <v>102049994.41246198</v>
      </c>
      <c r="FL71" s="22">
        <f t="shared" si="66"/>
        <v>10.012280000000011</v>
      </c>
      <c r="FM71">
        <f>IF(AT71&lt;&gt;-999,AT71*$FL71, -999)</f>
        <v>17423178.545337014</v>
      </c>
      <c r="FN71">
        <f>IF(AU71&lt;&gt;-999,AU71*$FL71, -999)</f>
        <v>-999</v>
      </c>
      <c r="FO71" s="29">
        <f>IF(AV71&lt;&gt;-999,AV71*$FL71, -999)</f>
        <v>17423178.545337014</v>
      </c>
      <c r="FP71">
        <f t="shared" si="67"/>
        <v>7.2392800000000115</v>
      </c>
      <c r="FQ71">
        <f>IF(AW71&lt;&gt;-999,AW71*$FP71, -999)</f>
        <v>7118605.6733686794</v>
      </c>
      <c r="FR71">
        <f>IF(AX71&lt;&gt;-999,AX71*$FP71, -999)</f>
        <v>-999</v>
      </c>
      <c r="FS71" s="29">
        <f>IF(AY71&lt;&gt;-999,AY71*$FP71, -999)</f>
        <v>7118605.6733686794</v>
      </c>
      <c r="FT71">
        <f t="shared" si="68"/>
        <v>1.3112800000000142</v>
      </c>
      <c r="FU71">
        <f>IF(AZ71&lt;&gt;-999,AZ71*$FT71, -999)</f>
        <v>1012672.815276291</v>
      </c>
      <c r="FV71">
        <f>IF(BA71&lt;&gt;-999,BA71*$FT71, -999)</f>
        <v>-999</v>
      </c>
      <c r="FW71" s="29">
        <f>IF(BB71&lt;&gt;-999,BB71*$FT71, -999)</f>
        <v>1012672.815276291</v>
      </c>
      <c r="FX71">
        <f t="shared" si="69"/>
        <v>1.9372800000000119</v>
      </c>
      <c r="FY71">
        <f>IF(BC71&lt;&gt;-999, BC71*$FX71, -999)</f>
        <v>1087675.4664561958</v>
      </c>
      <c r="FZ71">
        <f>IF(BD71&lt;&gt;-999, BD71*$FX71, -999)</f>
        <v>-999</v>
      </c>
      <c r="GA71" s="29">
        <f>IF(BE71&lt;&gt;-999, BE71*$FX71, -999)</f>
        <v>1087675.4664561958</v>
      </c>
      <c r="GB71">
        <f t="shared" si="70"/>
        <v>-2.1347199999999873</v>
      </c>
      <c r="GC71">
        <f>IF(BF71&lt;&gt;-999,BF71*$GB71, -999)</f>
        <v>-677256.42423612496</v>
      </c>
      <c r="GD71">
        <f>IF(BG71&lt;&gt;-999,BG71*$GB71, -999)</f>
        <v>-999</v>
      </c>
      <c r="GE71" s="29">
        <f>IF(BH71&lt;&gt;-999,BH71*$GB71, -999)</f>
        <v>-677256.42423612496</v>
      </c>
      <c r="GF71">
        <f t="shared" si="71"/>
        <v>-10.847719999999988</v>
      </c>
      <c r="GG71">
        <f>IF(BI71&lt;&gt;-999,BI71*$GF71, -999)</f>
        <v>-2702866.4995260988</v>
      </c>
      <c r="GH71">
        <f>IF(BJ71&lt;&gt;-999,BJ71*$GF71, -999)</f>
        <v>-999</v>
      </c>
      <c r="GI71" s="29">
        <f>IF(BK71&lt;&gt;-999,BK71*$GF71, -999)</f>
        <v>-2702866.4995260988</v>
      </c>
      <c r="GJ71" s="30">
        <f t="shared" si="64"/>
        <v>23262009.576675955</v>
      </c>
    </row>
    <row r="72" spans="1:192">
      <c r="A72" s="48" t="s">
        <v>160</v>
      </c>
      <c r="B72" s="48" t="s">
        <v>210</v>
      </c>
      <c r="C72" s="49">
        <v>143</v>
      </c>
      <c r="D72" s="50">
        <v>0.83399999999999996</v>
      </c>
      <c r="E72" s="49">
        <v>182.87520446263301</v>
      </c>
      <c r="F72" s="49">
        <v>0.78191419324960398</v>
      </c>
      <c r="G72" s="49">
        <v>104.407792363765</v>
      </c>
      <c r="H72" s="49">
        <v>0.81603595128325501</v>
      </c>
      <c r="I72" s="42">
        <v>14870.2</v>
      </c>
      <c r="J72" s="43">
        <v>12816</v>
      </c>
      <c r="K72" s="43">
        <f t="shared" si="39"/>
        <v>27686.2</v>
      </c>
      <c r="L72" s="43">
        <v>418.3</v>
      </c>
      <c r="M72" s="43">
        <v>360.5</v>
      </c>
      <c r="N72" s="43">
        <f t="shared" si="40"/>
        <v>778.8</v>
      </c>
      <c r="O72" s="43">
        <v>26284.6</v>
      </c>
      <c r="P72" s="43">
        <v>22653.7</v>
      </c>
      <c r="Q72" s="43">
        <f t="shared" si="41"/>
        <v>48938.3</v>
      </c>
      <c r="R72" s="43">
        <v>7370.4</v>
      </c>
      <c r="S72" s="43">
        <v>6352.2</v>
      </c>
      <c r="T72" s="43">
        <f t="shared" si="42"/>
        <v>13722.599999999999</v>
      </c>
      <c r="U72" s="43">
        <v>207.3</v>
      </c>
      <c r="V72" s="43">
        <v>178.7</v>
      </c>
      <c r="W72" s="43">
        <f t="shared" si="43"/>
        <v>386</v>
      </c>
      <c r="X72" s="43">
        <v>13027.9</v>
      </c>
      <c r="Y72" s="43">
        <v>11228.3</v>
      </c>
      <c r="Z72" s="43">
        <f t="shared" si="44"/>
        <v>24256.199999999997</v>
      </c>
      <c r="AA72" s="22">
        <v>151611.1</v>
      </c>
      <c r="AB72">
        <v>109139</v>
      </c>
      <c r="AC72">
        <v>260750.1</v>
      </c>
      <c r="AD72">
        <v>4264.6000000000004</v>
      </c>
      <c r="AE72">
        <v>3069.9</v>
      </c>
      <c r="AF72">
        <v>7334.5</v>
      </c>
      <c r="AG72">
        <v>267988.59999999998</v>
      </c>
      <c r="AH72">
        <v>192914.6</v>
      </c>
      <c r="AI72">
        <v>460903.2</v>
      </c>
      <c r="AJ72">
        <v>75146</v>
      </c>
      <c r="AK72">
        <v>54094.7</v>
      </c>
      <c r="AL72">
        <v>129240.6</v>
      </c>
      <c r="AM72">
        <v>2113.6999999999998</v>
      </c>
      <c r="AN72">
        <v>1521.6</v>
      </c>
      <c r="AO72">
        <v>3635.3</v>
      </c>
      <c r="AP72">
        <v>132828.4</v>
      </c>
      <c r="AQ72">
        <v>95618</v>
      </c>
      <c r="AR72">
        <v>228446.4</v>
      </c>
      <c r="AS72">
        <v>1090310.1000000001</v>
      </c>
      <c r="AT72" s="22">
        <f t="shared" si="72"/>
        <v>252384.64440767249</v>
      </c>
      <c r="AU72">
        <f t="shared" si="72"/>
        <v>181681.99891702502</v>
      </c>
      <c r="AV72">
        <f t="shared" si="72"/>
        <v>434066.64332469751</v>
      </c>
      <c r="AW72">
        <f t="shared" si="72"/>
        <v>7099.2134120850005</v>
      </c>
      <c r="AX72">
        <f t="shared" si="72"/>
        <v>5110.4148698025001</v>
      </c>
      <c r="AY72">
        <f t="shared" si="72"/>
        <v>12209.628281887499</v>
      </c>
      <c r="AZ72">
        <f t="shared" si="72"/>
        <v>446116.46189698495</v>
      </c>
      <c r="BA72">
        <f t="shared" si="72"/>
        <v>321141.93962083501</v>
      </c>
      <c r="BB72">
        <f t="shared" si="72"/>
        <v>767258.40151781996</v>
      </c>
      <c r="BC72">
        <f t="shared" si="72"/>
        <v>125094.37955835</v>
      </c>
      <c r="BD72">
        <f t="shared" si="72"/>
        <v>90050.6072697825</v>
      </c>
      <c r="BE72">
        <f t="shared" si="72"/>
        <v>215144.82035968502</v>
      </c>
      <c r="BF72">
        <f t="shared" si="72"/>
        <v>3518.6435748075</v>
      </c>
      <c r="BG72">
        <f t="shared" si="65"/>
        <v>2532.9838971600002</v>
      </c>
      <c r="BH72">
        <f t="shared" si="65"/>
        <v>6051.6274719675012</v>
      </c>
      <c r="BI72">
        <f t="shared" si="65"/>
        <v>221117.37531908997</v>
      </c>
      <c r="BJ72">
        <f t="shared" si="38"/>
        <v>159173.80013054999</v>
      </c>
      <c r="BK72">
        <f t="shared" si="38"/>
        <v>380291.17544963997</v>
      </c>
      <c r="BL72">
        <f t="shared" si="38"/>
        <v>1815022.2964056977</v>
      </c>
      <c r="BM72" s="22">
        <f>-17.17-(0.1023*E72)+F72*(100-8.576-13.681)</f>
        <v>24.910221709276605</v>
      </c>
      <c r="BN72">
        <f>IF(AT72&lt;&gt;-999,AT72*$BM72, -999)</f>
        <v>6286957.4482120592</v>
      </c>
      <c r="BO72">
        <f>IF(AU72&lt;&gt;-999,AU72*$BM72, -999)</f>
        <v>4525738.8736076457</v>
      </c>
      <c r="BP72" s="25">
        <f>IF(AV72&lt;&gt;-999,AV72*$BM72, -999)</f>
        <v>10812696.321819704</v>
      </c>
      <c r="BQ72">
        <f>-19.943-(0.1023*E72)+F72*(100-8.576-13.681)</f>
        <v>22.137221709276609</v>
      </c>
      <c r="BR72">
        <f>IF(AW72&lt;&gt;-999,AW72*$BQ72, -999)</f>
        <v>157156.86126479573</v>
      </c>
      <c r="BS72">
        <f>IF(AX72&lt;&gt;-999,AX72*$BQ72, -999)</f>
        <v>113130.3869992019</v>
      </c>
      <c r="BT72" s="25">
        <f>IF(AY72&lt;&gt;-999,AY72*$BQ72, -999)</f>
        <v>270287.24826399761</v>
      </c>
      <c r="BU72">
        <f>-25.871-(0.1023*E72)+F72*(100-8.576-13.681)</f>
        <v>16.209221709276612</v>
      </c>
      <c r="BV72">
        <f>IF(AZ72&lt;&gt;-999,AZ72*$BU72, -999)</f>
        <v>7231200.6390462806</v>
      </c>
      <c r="BW72">
        <f>IF(BA72&lt;&gt;-999,BA72*$BU72, -999)</f>
        <v>5205460.8994612377</v>
      </c>
      <c r="BX72" s="25">
        <f>IF(BB72&lt;&gt;-999,BB72*$BU72, -999)</f>
        <v>12436661.538507519</v>
      </c>
      <c r="BY72">
        <f>-25.245-(0.1023*E72)+F72*(100-8.576-13.681)</f>
        <v>16.83522170927661</v>
      </c>
      <c r="BZ72">
        <f>IF(BC72&lt;&gt;-999,BC72*$BY72, -999)</f>
        <v>2105991.6144492221</v>
      </c>
      <c r="CA72">
        <f>IF(BD72&lt;&gt;-999,BD72*$BY72, -999)</f>
        <v>1516021.9384417844</v>
      </c>
      <c r="CB72" s="25">
        <f>IF(BE72&lt;&gt;-999,BE72*$BY72, -999)</f>
        <v>3622010.7503577857</v>
      </c>
      <c r="CC72">
        <f>-29.317-(0.1023*E72)+F72*(100-8.576-13.681)</f>
        <v>12.763221709276614</v>
      </c>
      <c r="CD72">
        <f>IF(BF72&lt;&gt;-999,BF72*$CC72, -999)</f>
        <v>44909.228061189759</v>
      </c>
      <c r="CE72">
        <f>IF(BG72&lt;&gt;-999,BG72*$CC72, -999)</f>
        <v>32329.035065480595</v>
      </c>
      <c r="CF72" s="25">
        <f>IF(BH72&lt;&gt;-999,BH72*$CC72, -999)</f>
        <v>77238.263126670368</v>
      </c>
      <c r="CG72">
        <f>-38.03-(0.1023*E72)+F72*(100-8.576-13.681)</f>
        <v>4.050221709276606</v>
      </c>
      <c r="CH72">
        <f>IF(BI72&lt;&gt;-999,BI72*$CG72, -999)</f>
        <v>895574.39381564141</v>
      </c>
      <c r="CI72">
        <f>IF(BJ72&lt;&gt;-999,BJ72*$CG72, -999)</f>
        <v>644689.18083680898</v>
      </c>
      <c r="CJ72" s="25">
        <f>IF(BK72&lt;&gt;-999,BK72*$CG72, -999)</f>
        <v>1540263.5746524504</v>
      </c>
      <c r="CK72" s="26">
        <f t="shared" si="45"/>
        <v>28759157.696728129</v>
      </c>
      <c r="CL72">
        <f t="shared" si="46"/>
        <v>-25.212232434848687</v>
      </c>
      <c r="CM72">
        <f t="shared" si="47"/>
        <v>32.907955678289923</v>
      </c>
      <c r="CN72">
        <f t="shared" si="48"/>
        <v>-82.32847407051311</v>
      </c>
      <c r="CO72" s="22">
        <f t="shared" si="49"/>
        <v>-40.08</v>
      </c>
      <c r="CP72">
        <f>IF(AT72&lt;&gt;-999,AT72*$CO72, -999)</f>
        <v>-10115576.547859512</v>
      </c>
      <c r="CQ72">
        <f>IF(AU72&lt;&gt;-999,AU72*$CO72, -999)</f>
        <v>-7281814.5165943624</v>
      </c>
      <c r="CR72" s="27">
        <f>IF(AV72&lt;&gt;-999,AV72*$CO72, -999)</f>
        <v>-17397391.064453874</v>
      </c>
      <c r="CS72">
        <f t="shared" si="50"/>
        <v>-42.853000000000002</v>
      </c>
      <c r="CT72">
        <f>IF(AW72&lt;&gt;-999,AW72*$CS72, -999)</f>
        <v>-304222.59234807856</v>
      </c>
      <c r="CU72">
        <f>IF(AX72&lt;&gt;-999,AX72*$CS72, -999)</f>
        <v>-218996.60841564654</v>
      </c>
      <c r="CV72" s="27">
        <f>IF(AY72&lt;&gt;-999,AY72*$CS72, -999)</f>
        <v>-523219.20076372498</v>
      </c>
      <c r="CW72">
        <f t="shared" si="51"/>
        <v>-48.780999999999999</v>
      </c>
      <c r="CX72">
        <f>IF(AZ72&lt;&gt;-999,AZ72*$CO72, -999)</f>
        <v>-17880347.792831156</v>
      </c>
      <c r="CY72">
        <f>IF(BA72&lt;&gt;-999,BA72*$CO72, -999)</f>
        <v>-12871368.940003067</v>
      </c>
      <c r="CZ72" s="27">
        <f>IF(BB72&lt;&gt;-999,BB72*$CO72, -999)</f>
        <v>-30751716.732834224</v>
      </c>
      <c r="DA72">
        <f t="shared" si="52"/>
        <v>-48.155000000000001</v>
      </c>
      <c r="DB72">
        <f>IF(BC72&lt;&gt;-999,BC72*$DA72, -999)</f>
        <v>-6023919.8476323448</v>
      </c>
      <c r="DC72">
        <f>IF(BD72&lt;&gt;-999,BD72*$DA72, -999)</f>
        <v>-4336386.9930763766</v>
      </c>
      <c r="DD72" s="27">
        <f>IF(BE72&lt;&gt;-999,BE72*$DA72, -999)</f>
        <v>-10360298.824420633</v>
      </c>
      <c r="DE72">
        <f t="shared" si="53"/>
        <v>-52.227000000000004</v>
      </c>
      <c r="DF72">
        <f>IF(BF72&lt;&gt;-999,BF72*$DE72, -999)</f>
        <v>-183768.19798147131</v>
      </c>
      <c r="DG72">
        <f>IF(BG72&lt;&gt;-999,BG72*$DE72, -999)</f>
        <v>-132290.14999697535</v>
      </c>
      <c r="DH72" s="27">
        <f>IF(BH72&lt;&gt;-999,BH72*$DE72, -999)</f>
        <v>-316058.34797844669</v>
      </c>
      <c r="DI72">
        <f t="shared" si="54"/>
        <v>-60.94</v>
      </c>
      <c r="DJ72">
        <f>IF(BI72&lt;&gt;-999,BI72*$DI72, -999)</f>
        <v>-13474892.851945342</v>
      </c>
      <c r="DK72">
        <f>IF(BJ72&lt;&gt;-999,BJ72*$DI72, -999)</f>
        <v>-9700051.3799557164</v>
      </c>
      <c r="DL72" s="27">
        <f>IF(BK72&lt;&gt;-999,BK72*$DI72, -999)</f>
        <v>-23174944.231901057</v>
      </c>
      <c r="DM72" s="28">
        <f t="shared" si="55"/>
        <v>-82523628.402351961</v>
      </c>
      <c r="DN72" s="22">
        <f t="shared" si="56"/>
        <v>-17.170000000000002</v>
      </c>
      <c r="DO72">
        <f>IF(AT72&lt;&gt;-999,AT72*$DN72, -999)</f>
        <v>-4333444.3444797369</v>
      </c>
      <c r="DP72">
        <f>IF(AU72&lt;&gt;-999,AU72*$DN72, -999)</f>
        <v>-3119479.9214053201</v>
      </c>
      <c r="DQ72" s="24">
        <f>IF(AV72&lt;&gt;-999,AV72*$DN72, -999)</f>
        <v>-7452924.2658850569</v>
      </c>
      <c r="DR72">
        <f t="shared" si="57"/>
        <v>-19.943000000000001</v>
      </c>
      <c r="DS72">
        <f>IF(AW72&lt;&gt;-999,AW72*$DR72, -999)</f>
        <v>-141579.61307721116</v>
      </c>
      <c r="DT72">
        <f>IF(AX72&lt;&gt;-999,AX72*$DR72, -999)</f>
        <v>-101917.00374847127</v>
      </c>
      <c r="DU72" s="24">
        <f>IF(AY72&lt;&gt;-999,AY72*$DR72, -999)</f>
        <v>-243496.6168256824</v>
      </c>
      <c r="DV72">
        <f t="shared" si="58"/>
        <v>-25.870999999999999</v>
      </c>
      <c r="DW72">
        <f>IF(AZ72&lt;&gt;-999,AZ72*$DV72, -999)</f>
        <v>-11541478.985736897</v>
      </c>
      <c r="DX72">
        <f>IF(BA72&lt;&gt;-999,BA72*$DV72, -999)</f>
        <v>-8308263.1199306222</v>
      </c>
      <c r="DY72" s="24">
        <f>IF(BB72&lt;&gt;-999,BB72*$DV72, -999)</f>
        <v>-19849742.10566752</v>
      </c>
      <c r="DZ72">
        <f t="shared" si="59"/>
        <v>-25.245000000000001</v>
      </c>
      <c r="EA72">
        <f>IF(BC72&lt;&gt;-999, BC72*$DZ72, -999)</f>
        <v>-3158007.611950546</v>
      </c>
      <c r="EB72">
        <f>IF(BD72&lt;&gt;-999, BD72*$DZ72, -999)</f>
        <v>-2273327.5805256595</v>
      </c>
      <c r="EC72" s="24">
        <f>IF(BE72&lt;&gt;-999, BE72*$DZ72, -999)</f>
        <v>-5431330.9899802487</v>
      </c>
      <c r="ED72">
        <f t="shared" si="60"/>
        <v>-29.317</v>
      </c>
      <c r="EE72">
        <f>IF(BF72&lt;&gt;-999,BF72*$ED72, -999)</f>
        <v>-103156.07368263148</v>
      </c>
      <c r="EF72">
        <f>IF(BG72&lt;&gt;-999,BG72*$ED72, -999)</f>
        <v>-74259.488913039721</v>
      </c>
      <c r="EG72" s="24">
        <f>IF(BH72&lt;&gt;-999,BH72*$ED72, -999)</f>
        <v>-177415.56259567125</v>
      </c>
      <c r="EH72">
        <f t="shared" si="61"/>
        <v>-38.03</v>
      </c>
      <c r="EI72">
        <f>IF(BI72&lt;&gt;-999,BI72*$EH72, -999)</f>
        <v>-8409093.7833849918</v>
      </c>
      <c r="EJ72">
        <f>IF(BJ72&lt;&gt;-999,BJ72*$EH72, -999)</f>
        <v>-6053379.6189648164</v>
      </c>
      <c r="EK72" s="24">
        <f>IF(BK72&lt;&gt;-999,BK72*$EH72, -999)</f>
        <v>-14462473.402349809</v>
      </c>
      <c r="EL72" s="28">
        <f t="shared" si="62"/>
        <v>-47617382.943303987</v>
      </c>
      <c r="EM72" s="22">
        <f>-17.17-(0.1023*G72)+H72*(100+102.093-66.644-64.243)</f>
        <v>30.255738788262313</v>
      </c>
      <c r="EN72">
        <f>IF(AT72&lt;&gt;-999,AT72*$EM72, -999)</f>
        <v>7636083.8753670072</v>
      </c>
      <c r="EO72">
        <f>IF(AU72&lt;&gt;-999,AU72*$EM72, -999)</f>
        <v>5496923.1017628657</v>
      </c>
      <c r="EP72" s="23">
        <f>IF(AV72&lt;&gt;-999,AV72*$EM72, -999)</f>
        <v>13133006.977129873</v>
      </c>
      <c r="EQ72">
        <f>-19.943-(0.1023*G72)+H72*(100+102.093-66.644-64.243)</f>
        <v>27.482738788262314</v>
      </c>
      <c r="ER72">
        <f>IF(AW72&lt;&gt;-999,AW72*$EQ72, -999)</f>
        <v>195105.8278064605</v>
      </c>
      <c r="ES72">
        <f>IF(AX72&lt;&gt;-999,AX72*$EQ72, -999)</f>
        <v>140448.19696643366</v>
      </c>
      <c r="ET72" s="23">
        <f>IF(AY72&lt;&gt;-999,AY72*$EQ72, -999)</f>
        <v>335554.0247728941</v>
      </c>
      <c r="EU72">
        <f>-25.871-(0.1023*G72)+H72*(100+102.093-66.644-64.243)</f>
        <v>21.55473878826232</v>
      </c>
      <c r="EV72">
        <f>IF(AZ72&lt;&gt;-999,AZ72*$EU72, -999)</f>
        <v>9615923.8053332902</v>
      </c>
      <c r="EW72">
        <f>IF(BA72&lt;&gt;-999,BA72*$EU72, -999)</f>
        <v>6922130.6224830085</v>
      </c>
      <c r="EX72" s="23">
        <f>IF(BB72&lt;&gt;-999,BB72*$EU72, -999)</f>
        <v>16538054.4278163</v>
      </c>
      <c r="EY72">
        <f>-25.245-(0.1023*G72)+H72*(100+102.093-66.644-64.243)</f>
        <v>22.18073878826231</v>
      </c>
      <c r="EZ72">
        <f>IF(BC72&lt;&gt;-999, BC72*$EY72, -999)</f>
        <v>2774685.7568635019</v>
      </c>
      <c r="FA72">
        <f>IF(BD72&lt;&gt;-999, BD72*$EY72, -999)</f>
        <v>1997388.9975754407</v>
      </c>
      <c r="FB72" s="23">
        <f>IF(BE72&lt;&gt;-999, BE72*$EY72, -999)</f>
        <v>4772071.0620457921</v>
      </c>
      <c r="FC72">
        <f>-29.317-(0.1023*G72)+H72*(100+102.093-66.644-64.243)</f>
        <v>18.108738788262315</v>
      </c>
      <c r="FD72">
        <f>IF(BF72&lt;&gt;-999,BF72*$FC72, -999)</f>
        <v>63718.197385186548</v>
      </c>
      <c r="FE72">
        <f>IF(BG72&lt;&gt;-999,BG72*$FC72, -999)</f>
        <v>45869.143748545139</v>
      </c>
      <c r="FF72" s="23">
        <f>IF(BH72&lt;&gt;-999,BH72*$FC72, -999)</f>
        <v>109587.34113373171</v>
      </c>
      <c r="FG72">
        <f>-38.03-(0.1023*G72)+H72*(100+102.093-66.644-64.243)</f>
        <v>9.3957387882623138</v>
      </c>
      <c r="FH72">
        <f>IF(BI72&lt;&gt;-999,BI72*$FG72, -999)</f>
        <v>2077561.1000443297</v>
      </c>
      <c r="FI72">
        <f>IF(BJ72&lt;&gt;-999,BJ72*$FG72, -999)</f>
        <v>1495555.4479617216</v>
      </c>
      <c r="FJ72" s="23">
        <f>IF(BK72&lt;&gt;-999,BK72*$FG72, -999)</f>
        <v>3573116.5480060512</v>
      </c>
      <c r="FK72" s="28">
        <f t="shared" si="63"/>
        <v>38461390.380904637</v>
      </c>
      <c r="FL72" s="22">
        <f t="shared" si="66"/>
        <v>10.012280000000011</v>
      </c>
      <c r="FM72">
        <f>IF(AT72&lt;&gt;-999,AT72*$FL72, -999)</f>
        <v>2526945.7275100541</v>
      </c>
      <c r="FN72">
        <f>IF(AU72&lt;&gt;-999,AU72*$FL72, -999)</f>
        <v>1819051.0441169534</v>
      </c>
      <c r="FO72" s="29">
        <f>IF(AV72&lt;&gt;-999,AV72*$FL72, -999)</f>
        <v>4345996.7716270071</v>
      </c>
      <c r="FP72">
        <f t="shared" si="67"/>
        <v>7.2392800000000115</v>
      </c>
      <c r="FQ72">
        <f>IF(AW72&lt;&gt;-999,AW72*$FP72, -999)</f>
        <v>51393.193669838787</v>
      </c>
      <c r="FR72">
        <f>IF(AX72&lt;&gt;-999,AX72*$FP72, -999)</f>
        <v>36995.724158663899</v>
      </c>
      <c r="FS72" s="29">
        <f>IF(AY72&lt;&gt;-999,AY72*$FP72, -999)</f>
        <v>88388.917828502672</v>
      </c>
      <c r="FT72">
        <f t="shared" si="68"/>
        <v>1.3112800000000142</v>
      </c>
      <c r="FU72">
        <f>IF(AZ72&lt;&gt;-999,AZ72*$FT72, -999)</f>
        <v>584983.59415628482</v>
      </c>
      <c r="FV72">
        <f>IF(BA72&lt;&gt;-999,BA72*$FT72, -999)</f>
        <v>421107.00258601311</v>
      </c>
      <c r="FW72" s="29">
        <f>IF(BB72&lt;&gt;-999,BB72*$FT72, -999)</f>
        <v>1006090.5967422979</v>
      </c>
      <c r="FX72">
        <f t="shared" si="69"/>
        <v>1.9372800000000119</v>
      </c>
      <c r="FY72">
        <f>IF(BC72&lt;&gt;-999, BC72*$FX72, -999)</f>
        <v>242342.83963080178</v>
      </c>
      <c r="FZ72">
        <f>IF(BD72&lt;&gt;-999, BD72*$FX72, -999)</f>
        <v>174453.24045160532</v>
      </c>
      <c r="GA72" s="29">
        <f>IF(BE72&lt;&gt;-999, BE72*$FX72, -999)</f>
        <v>416795.75758641318</v>
      </c>
      <c r="GB72">
        <f t="shared" si="70"/>
        <v>-2.1347199999999873</v>
      </c>
      <c r="GC72">
        <f>IF(BF72&lt;&gt;-999,BF72*$GB72, -999)</f>
        <v>-7511.3188120130217</v>
      </c>
      <c r="GD72">
        <f>IF(BG72&lt;&gt;-999,BG72*$GB72, -999)</f>
        <v>-5407.2113849453635</v>
      </c>
      <c r="GE72" s="29">
        <f>IF(BH72&lt;&gt;-999,BH72*$GB72, -999)</f>
        <v>-12918.530196958387</v>
      </c>
      <c r="GF72">
        <f t="shared" si="71"/>
        <v>-10.847719999999988</v>
      </c>
      <c r="GG72">
        <f>IF(BI72&lt;&gt;-999,BI72*$GF72, -999)</f>
        <v>-2398619.374596396</v>
      </c>
      <c r="GH72">
        <f>IF(BJ72&lt;&gt;-999,BJ72*$GF72, -999)</f>
        <v>-1726672.8151521678</v>
      </c>
      <c r="GI72" s="29">
        <f>IF(BK72&lt;&gt;-999,BK72*$GF72, -999)</f>
        <v>-4125292.1897485638</v>
      </c>
      <c r="GJ72" s="30">
        <f t="shared" si="64"/>
        <v>1719061.3238386987</v>
      </c>
    </row>
    <row r="73" spans="1:192">
      <c r="A73" s="48" t="s">
        <v>138</v>
      </c>
      <c r="B73" s="48" t="s">
        <v>211</v>
      </c>
      <c r="C73" s="49">
        <v>132</v>
      </c>
      <c r="D73" s="50">
        <v>0.83</v>
      </c>
      <c r="E73" s="49">
        <v>143.40690417841699</v>
      </c>
      <c r="F73" s="49">
        <v>0.78572892634464497</v>
      </c>
      <c r="G73" s="49">
        <v>27.729451640928701</v>
      </c>
      <c r="H73" s="49">
        <v>0.82144864496679004</v>
      </c>
      <c r="I73" s="42">
        <v>84016.3</v>
      </c>
      <c r="J73" s="43">
        <v>36987.199999999997</v>
      </c>
      <c r="K73" s="43">
        <f t="shared" si="39"/>
        <v>121003.5</v>
      </c>
      <c r="L73" s="43">
        <v>40971.5</v>
      </c>
      <c r="M73" s="43">
        <v>18037.2</v>
      </c>
      <c r="N73" s="43">
        <f t="shared" si="40"/>
        <v>59008.7</v>
      </c>
      <c r="O73" s="43">
        <v>60799.4</v>
      </c>
      <c r="P73" s="43">
        <v>26766.3</v>
      </c>
      <c r="Q73" s="43">
        <f t="shared" si="41"/>
        <v>87565.7</v>
      </c>
      <c r="R73" s="43">
        <v>57668.6</v>
      </c>
      <c r="S73" s="43">
        <v>25388</v>
      </c>
      <c r="T73" s="43">
        <f t="shared" si="42"/>
        <v>83056.600000000006</v>
      </c>
      <c r="U73" s="43">
        <v>28122.799999999999</v>
      </c>
      <c r="V73" s="43">
        <v>12380.7</v>
      </c>
      <c r="W73" s="43">
        <f t="shared" si="43"/>
        <v>40503.5</v>
      </c>
      <c r="X73" s="43">
        <v>41732.6</v>
      </c>
      <c r="Y73" s="43">
        <v>18372.3</v>
      </c>
      <c r="Z73" s="43">
        <f t="shared" si="44"/>
        <v>60104.899999999994</v>
      </c>
      <c r="AA73" s="22">
        <v>1982737</v>
      </c>
      <c r="AB73">
        <v>442890.8</v>
      </c>
      <c r="AC73">
        <v>2425627.7000000002</v>
      </c>
      <c r="AD73">
        <v>966904.7</v>
      </c>
      <c r="AE73">
        <v>215980.79999999999</v>
      </c>
      <c r="AF73">
        <v>1182885.5</v>
      </c>
      <c r="AG73">
        <v>1434832.6</v>
      </c>
      <c r="AH73">
        <v>320503.5</v>
      </c>
      <c r="AI73">
        <v>1755336.1</v>
      </c>
      <c r="AJ73">
        <v>1360947.8</v>
      </c>
      <c r="AK73">
        <v>303999.59999999998</v>
      </c>
      <c r="AL73">
        <v>1664947.4</v>
      </c>
      <c r="AM73">
        <v>663682</v>
      </c>
      <c r="AN73">
        <v>148248.9</v>
      </c>
      <c r="AO73">
        <v>811930.9</v>
      </c>
      <c r="AP73">
        <v>984867.1</v>
      </c>
      <c r="AQ73">
        <v>219993.1</v>
      </c>
      <c r="AR73">
        <v>1204860.2</v>
      </c>
      <c r="AS73">
        <v>9045587.9000000004</v>
      </c>
      <c r="AT73" s="22">
        <f t="shared" si="72"/>
        <v>3300631.5019080751</v>
      </c>
      <c r="AU73">
        <f t="shared" si="72"/>
        <v>737273.43888033007</v>
      </c>
      <c r="AV73">
        <f t="shared" si="72"/>
        <v>4037904.7743199575</v>
      </c>
      <c r="AW73">
        <f t="shared" si="72"/>
        <v>1609591.2428945324</v>
      </c>
      <c r="AX73">
        <f t="shared" si="72"/>
        <v>359539.88465808</v>
      </c>
      <c r="AY73">
        <f t="shared" si="72"/>
        <v>1969131.1275526127</v>
      </c>
      <c r="AZ73">
        <f t="shared" si="72"/>
        <v>2388543.5534438849</v>
      </c>
      <c r="BA73">
        <f t="shared" si="72"/>
        <v>533537.20063316252</v>
      </c>
      <c r="BB73">
        <f t="shared" si="72"/>
        <v>2922080.754077048</v>
      </c>
      <c r="BC73">
        <f t="shared" si="72"/>
        <v>2265548.6739454051</v>
      </c>
      <c r="BD73">
        <f t="shared" si="72"/>
        <v>506063.41452620993</v>
      </c>
      <c r="BE73">
        <f t="shared" si="72"/>
        <v>2771612.0884716148</v>
      </c>
      <c r="BF73">
        <f t="shared" si="72"/>
        <v>1104821.12173695</v>
      </c>
      <c r="BG73">
        <f t="shared" si="65"/>
        <v>246787.64226582751</v>
      </c>
      <c r="BH73">
        <f t="shared" si="65"/>
        <v>1351608.7640027774</v>
      </c>
      <c r="BI73">
        <f t="shared" si="65"/>
        <v>1639492.9713082723</v>
      </c>
      <c r="BJ73">
        <f t="shared" si="38"/>
        <v>366219.09817712253</v>
      </c>
      <c r="BK73">
        <f t="shared" si="38"/>
        <v>2005712.0694853947</v>
      </c>
      <c r="BL73">
        <f t="shared" si="38"/>
        <v>15058049.744377853</v>
      </c>
      <c r="BM73" s="22">
        <f>-17.17-(0.1023*E73)+F73*(100-8.576-13.681)</f>
        <v>29.244397623359681</v>
      </c>
      <c r="BN73">
        <f>IF(AT73&lt;&gt;-999,AT73*$BM73, -999)</f>
        <v>96524980.049986601</v>
      </c>
      <c r="BO73">
        <f>IF(AU73&lt;&gt;-999,AU73*$BM73, -999)</f>
        <v>21561117.603758145</v>
      </c>
      <c r="BP73" s="25">
        <f>IF(AV73&lt;&gt;-999,AV73*$BM73, -999)</f>
        <v>118086092.78547527</v>
      </c>
      <c r="BQ73">
        <f>-19.943-(0.1023*E73)+F73*(100-8.576-13.681)</f>
        <v>26.471397623359678</v>
      </c>
      <c r="BR73">
        <f>IF(AW73&lt;&gt;-999,AW73*$BQ73, -999)</f>
        <v>42608129.801738873</v>
      </c>
      <c r="BS73">
        <f>IF(AX73&lt;&gt;-999,AX73*$BQ73, -999)</f>
        <v>9517523.2482409123</v>
      </c>
      <c r="BT73" s="25">
        <f>IF(AY73&lt;&gt;-999,AY73*$BQ73, -999)</f>
        <v>52125653.049979791</v>
      </c>
      <c r="BU73">
        <f>-25.871-(0.1023*E73)+F73*(100-8.576-13.681)</f>
        <v>20.543397623359681</v>
      </c>
      <c r="BV73">
        <f>IF(AZ73&lt;&gt;-999,AZ73*$BU73, -999)</f>
        <v>49068799.959110193</v>
      </c>
      <c r="BW73">
        <f>IF(BA73&lt;&gt;-999,BA73*$BU73, -999)</f>
        <v>10960666.859461289</v>
      </c>
      <c r="BX73" s="25">
        <f>IF(BB73&lt;&gt;-999,BB73*$BU73, -999)</f>
        <v>60029466.818571493</v>
      </c>
      <c r="BY73">
        <f>-25.245-(0.1023*E73)+F73*(100-8.576-13.681)</f>
        <v>21.169397623359679</v>
      </c>
      <c r="BZ73">
        <f>IF(BC73&lt;&gt;-999,BC73*$BY73, -999)</f>
        <v>47960300.713825531</v>
      </c>
      <c r="CA73">
        <f>IF(BD73&lt;&gt;-999,BD73*$BY73, -999)</f>
        <v>10713057.644740433</v>
      </c>
      <c r="CB73" s="25">
        <f>IF(BE73&lt;&gt;-999,BE73*$BY73, -999)</f>
        <v>58673358.358565956</v>
      </c>
      <c r="CC73">
        <f>-29.317-(0.1023*E73)+F73*(100-8.576-13.681)</f>
        <v>17.097397623359683</v>
      </c>
      <c r="CD73">
        <f>IF(BF73&lt;&gt;-999,BF73*$CC73, -999)</f>
        <v>18889566.021022908</v>
      </c>
      <c r="CE73">
        <f>IF(BG73&lt;&gt;-999,BG73*$CC73, -999)</f>
        <v>4219426.4483502991</v>
      </c>
      <c r="CF73" s="25">
        <f>IF(BH73&lt;&gt;-999,BH73*$CC73, -999)</f>
        <v>23108992.469373204</v>
      </c>
      <c r="CG73">
        <f>-38.03-(0.1023*E73)+F73*(100-8.576-13.681)</f>
        <v>8.384397623359682</v>
      </c>
      <c r="CH73">
        <f>IF(BI73&lt;&gt;-999,BI73*$CG73, -999)</f>
        <v>13746160.972151982</v>
      </c>
      <c r="CI73">
        <f>IF(BJ73&lt;&gt;-999,BJ73*$CG73, -999)</f>
        <v>3070526.5363851921</v>
      </c>
      <c r="CJ73" s="25">
        <f>IF(BK73&lt;&gt;-999,BK73*$CG73, -999)</f>
        <v>16816687.508537173</v>
      </c>
      <c r="CK73" s="26">
        <f t="shared" si="45"/>
        <v>328840250.99050295</v>
      </c>
      <c r="CL73">
        <f t="shared" si="46"/>
        <v>-30.120445099299204</v>
      </c>
      <c r="CM73">
        <f t="shared" si="47"/>
        <v>27.717568083464066</v>
      </c>
      <c r="CN73">
        <f t="shared" si="48"/>
        <v>-86.959385989214653</v>
      </c>
      <c r="CO73" s="22">
        <f t="shared" si="49"/>
        <v>-40.08</v>
      </c>
      <c r="CP73">
        <f>IF(AT73&lt;&gt;-999,AT73*$CO73, -999)</f>
        <v>-132289310.59647565</v>
      </c>
      <c r="CQ73">
        <f>IF(AU73&lt;&gt;-999,AU73*$CO73, -999)</f>
        <v>-29549919.430323627</v>
      </c>
      <c r="CR73" s="27">
        <f>IF(AV73&lt;&gt;-999,AV73*$CO73, -999)</f>
        <v>-161839223.3547439</v>
      </c>
      <c r="CS73">
        <f t="shared" si="50"/>
        <v>-42.853000000000002</v>
      </c>
      <c r="CT73">
        <f>IF(AW73&lt;&gt;-999,AW73*$CS73, -999)</f>
        <v>-68975813.531759396</v>
      </c>
      <c r="CU73">
        <f>IF(AX73&lt;&gt;-999,AX73*$CS73, -999)</f>
        <v>-15407362.677252702</v>
      </c>
      <c r="CV73" s="27">
        <f>IF(AY73&lt;&gt;-999,AY73*$CS73, -999)</f>
        <v>-84383176.209012121</v>
      </c>
      <c r="CW73">
        <f t="shared" si="51"/>
        <v>-48.780999999999999</v>
      </c>
      <c r="CX73">
        <f>IF(AZ73&lt;&gt;-999,AZ73*$CO73, -999)</f>
        <v>-95732825.622030899</v>
      </c>
      <c r="CY73">
        <f>IF(BA73&lt;&gt;-999,BA73*$CO73, -999)</f>
        <v>-21384171.001377154</v>
      </c>
      <c r="CZ73" s="27">
        <f>IF(BB73&lt;&gt;-999,BB73*$CO73, -999)</f>
        <v>-117116996.62340808</v>
      </c>
      <c r="DA73">
        <f t="shared" si="52"/>
        <v>-48.155000000000001</v>
      </c>
      <c r="DB73">
        <f>IF(BC73&lt;&gt;-999,BC73*$DA73, -999)</f>
        <v>-109097496.39384098</v>
      </c>
      <c r="DC73">
        <f>IF(BD73&lt;&gt;-999,BD73*$DA73, -999)</f>
        <v>-24369483.726509638</v>
      </c>
      <c r="DD73" s="27">
        <f>IF(BE73&lt;&gt;-999,BE73*$DA73, -999)</f>
        <v>-133466980.12035061</v>
      </c>
      <c r="DE73">
        <f t="shared" si="53"/>
        <v>-52.227000000000004</v>
      </c>
      <c r="DF73">
        <f>IF(BF73&lt;&gt;-999,BF73*$DE73, -999)</f>
        <v>-57701492.724955693</v>
      </c>
      <c r="DG73">
        <f>IF(BG73&lt;&gt;-999,BG73*$DE73, -999)</f>
        <v>-12888978.192617374</v>
      </c>
      <c r="DH73" s="27">
        <f>IF(BH73&lt;&gt;-999,BH73*$DE73, -999)</f>
        <v>-70590470.917573065</v>
      </c>
      <c r="DI73">
        <f t="shared" si="54"/>
        <v>-60.94</v>
      </c>
      <c r="DJ73">
        <f>IF(BI73&lt;&gt;-999,BI73*$DI73, -999)</f>
        <v>-99910701.671526119</v>
      </c>
      <c r="DK73">
        <f>IF(BJ73&lt;&gt;-999,BJ73*$DI73, -999)</f>
        <v>-22317391.842913847</v>
      </c>
      <c r="DL73" s="27">
        <f>IF(BK73&lt;&gt;-999,BK73*$DI73, -999)</f>
        <v>-122228093.51443996</v>
      </c>
      <c r="DM73" s="28">
        <f t="shared" si="55"/>
        <v>-689624940.7395277</v>
      </c>
      <c r="DN73" s="22">
        <f t="shared" si="56"/>
        <v>-17.170000000000002</v>
      </c>
      <c r="DO73">
        <f>IF(AT73&lt;&gt;-999,AT73*$DN73, -999)</f>
        <v>-56671842.887761652</v>
      </c>
      <c r="DP73">
        <f>IF(AU73&lt;&gt;-999,AU73*$DN73, -999)</f>
        <v>-12658984.945575269</v>
      </c>
      <c r="DQ73" s="24">
        <f>IF(AV73&lt;&gt;-999,AV73*$DN73, -999)</f>
        <v>-69330824.97507368</v>
      </c>
      <c r="DR73">
        <f t="shared" si="57"/>
        <v>-19.943000000000001</v>
      </c>
      <c r="DS73">
        <f>IF(AW73&lt;&gt;-999,AW73*$DR73, -999)</f>
        <v>-32100078.157045662</v>
      </c>
      <c r="DT73">
        <f>IF(AX73&lt;&gt;-999,AX73*$DR73, -999)</f>
        <v>-7170303.9197360901</v>
      </c>
      <c r="DU73" s="24">
        <f>IF(AY73&lt;&gt;-999,AY73*$DR73, -999)</f>
        <v>-39270382.076781757</v>
      </c>
      <c r="DV73">
        <f t="shared" si="58"/>
        <v>-25.870999999999999</v>
      </c>
      <c r="DW73">
        <f>IF(AZ73&lt;&gt;-999,AZ73*$DV73, -999)</f>
        <v>-61794010.271146744</v>
      </c>
      <c r="DX73">
        <f>IF(BA73&lt;&gt;-999,BA73*$DV73, -999)</f>
        <v>-13803140.917580547</v>
      </c>
      <c r="DY73" s="24">
        <f>IF(BB73&lt;&gt;-999,BB73*$DV73, -999)</f>
        <v>-75597151.188727304</v>
      </c>
      <c r="DZ73">
        <f t="shared" si="59"/>
        <v>-25.245000000000001</v>
      </c>
      <c r="EA73">
        <f>IF(BC73&lt;&gt;-999, BC73*$DZ73, -999)</f>
        <v>-57193776.273751751</v>
      </c>
      <c r="EB73">
        <f>IF(BD73&lt;&gt;-999, BD73*$DZ73, -999)</f>
        <v>-12775570.89971417</v>
      </c>
      <c r="EC73" s="24">
        <f>IF(BE73&lt;&gt;-999, BE73*$DZ73, -999)</f>
        <v>-69969347.173465922</v>
      </c>
      <c r="ED73">
        <f t="shared" si="60"/>
        <v>-29.317</v>
      </c>
      <c r="EE73">
        <f>IF(BF73&lt;&gt;-999,BF73*$ED73, -999)</f>
        <v>-32390040.825962164</v>
      </c>
      <c r="EF73">
        <f>IF(BG73&lt;&gt;-999,BG73*$ED73, -999)</f>
        <v>-7235073.3083072649</v>
      </c>
      <c r="EG73" s="24">
        <f>IF(BH73&lt;&gt;-999,BH73*$ED73, -999)</f>
        <v>-39625114.134269424</v>
      </c>
      <c r="EH73">
        <f t="shared" si="61"/>
        <v>-38.03</v>
      </c>
      <c r="EI73">
        <f>IF(BI73&lt;&gt;-999,BI73*$EH73, -999)</f>
        <v>-62349917.698853597</v>
      </c>
      <c r="EJ73">
        <f>IF(BJ73&lt;&gt;-999,BJ73*$EH73, -999)</f>
        <v>-13927312.30367597</v>
      </c>
      <c r="EK73" s="24">
        <f>IF(BK73&lt;&gt;-999,BK73*$EH73, -999)</f>
        <v>-76277230.002529562</v>
      </c>
      <c r="EL73" s="28">
        <f t="shared" si="62"/>
        <v>-370070049.55084765</v>
      </c>
      <c r="EM73" s="22">
        <f>-17.17-(0.1023*G73)+H73*(100+102.093-66.644-64.243)</f>
        <v>38.485349310638256</v>
      </c>
      <c r="EN73">
        <f>IF(AT73&lt;&gt;-999,AT73*$EM73, -999)</f>
        <v>127025956.29662885</v>
      </c>
      <c r="EO73">
        <f>IF(AU73&lt;&gt;-999,AU73*$EM73, -999)</f>
        <v>28374225.832765006</v>
      </c>
      <c r="EP73" s="23">
        <f>IF(AV73&lt;&gt;-999,AV73*$EM73, -999)</f>
        <v>155400175.72279748</v>
      </c>
      <c r="EQ73">
        <f>-19.943-(0.1023*G73)+H73*(100+102.093-66.644-64.243)</f>
        <v>35.71234931063826</v>
      </c>
      <c r="ER73">
        <f>IF(AW73&lt;&gt;-999,AW73*$EQ73, -999)</f>
        <v>57482284.71359393</v>
      </c>
      <c r="ES73">
        <f>IF(AX73&lt;&gt;-999,AX73*$EQ73, -999)</f>
        <v>12840013.952015942</v>
      </c>
      <c r="ET73" s="23">
        <f>IF(AY73&lt;&gt;-999,AY73*$EQ73, -999)</f>
        <v>70322298.665609881</v>
      </c>
      <c r="EU73">
        <f>-25.871-(0.1023*G73)+H73*(100+102.093-66.644-64.243)</f>
        <v>29.784349310638262</v>
      </c>
      <c r="EV73">
        <f>IF(AZ73&lt;&gt;-999,AZ73*$EU73, -999)</f>
        <v>71141215.539445847</v>
      </c>
      <c r="EW73">
        <f>IF(BA73&lt;&gt;-999,BA73*$EU73, -999)</f>
        <v>15891058.353878202</v>
      </c>
      <c r="EX73" s="23">
        <f>IF(BB73&lt;&gt;-999,BB73*$EU73, -999)</f>
        <v>87032273.893324062</v>
      </c>
      <c r="EY73">
        <f>-25.245-(0.1023*G73)+H73*(100+102.093-66.644-64.243)</f>
        <v>30.41034931063826</v>
      </c>
      <c r="EZ73">
        <f>IF(BC73&lt;&gt;-999, BC73*$EY73, -999)</f>
        <v>68896126.554933071</v>
      </c>
      <c r="FA73">
        <f>IF(BD73&lt;&gt;-999, BD73*$EY73, -999)</f>
        <v>15389565.209076373</v>
      </c>
      <c r="FB73" s="23">
        <f>IF(BE73&lt;&gt;-999, BE73*$EY73, -999)</f>
        <v>84285691.764009431</v>
      </c>
      <c r="FC73">
        <f>-29.317-(0.1023*G73)+H73*(100+102.093-66.644-64.243)</f>
        <v>26.338349310638264</v>
      </c>
      <c r="FD73">
        <f>IF(BF73&lt;&gt;-999,BF73*$FC73, -999)</f>
        <v>29099164.63007899</v>
      </c>
      <c r="FE73">
        <f>IF(BG73&lt;&gt;-999,BG73*$FC73, -999)</f>
        <v>6499979.1275462005</v>
      </c>
      <c r="FF73" s="23">
        <f>IF(BH73&lt;&gt;-999,BH73*$FC73, -999)</f>
        <v>35599143.757625192</v>
      </c>
      <c r="FG73">
        <f>-38.03-(0.1023*G73)+H73*(100+102.093-66.644-64.243)</f>
        <v>17.625349310638256</v>
      </c>
      <c r="FH73">
        <f>IF(BI73&lt;&gt;-999,BI73*$FG73, -999)</f>
        <v>28896636.311644524</v>
      </c>
      <c r="FI73">
        <f>IF(BJ73&lt;&gt;-999,BJ73*$FG73, -999)</f>
        <v>6454739.5295987111</v>
      </c>
      <c r="FJ73" s="23">
        <f>IF(BK73&lt;&gt;-999,BK73*$FG73, -999)</f>
        <v>35351375.84124323</v>
      </c>
      <c r="FK73" s="28">
        <f t="shared" si="63"/>
        <v>467990959.64460927</v>
      </c>
      <c r="FL73" s="22">
        <f t="shared" si="66"/>
        <v>10.012280000000011</v>
      </c>
      <c r="FM73">
        <f>IF(AT73&lt;&gt;-999,AT73*$FL73, -999)</f>
        <v>33046846.77392422</v>
      </c>
      <c r="FN73">
        <f>IF(AU73&lt;&gt;-999,AU73*$FL73, -999)</f>
        <v>7381788.1066327598</v>
      </c>
      <c r="FO73" s="29">
        <f>IF(AV73&lt;&gt;-999,AV73*$FL73, -999)</f>
        <v>40428633.213828266</v>
      </c>
      <c r="FP73">
        <f t="shared" si="67"/>
        <v>7.2392800000000115</v>
      </c>
      <c r="FQ73">
        <f>IF(AW73&lt;&gt;-999,AW73*$FP73, -999)</f>
        <v>11652281.69286155</v>
      </c>
      <c r="FR73">
        <f>IF(AX73&lt;&gt;-999,AX73*$FP73, -999)</f>
        <v>2602809.8962075496</v>
      </c>
      <c r="FS73" s="29">
        <f>IF(AY73&lt;&gt;-999,AY73*$FP73, -999)</f>
        <v>14255091.5890691</v>
      </c>
      <c r="FT73">
        <f t="shared" si="68"/>
        <v>1.3112800000000142</v>
      </c>
      <c r="FU73">
        <f>IF(AZ73&lt;&gt;-999,AZ73*$FT73, -999)</f>
        <v>3132049.3907599314</v>
      </c>
      <c r="FV73">
        <f>IF(BA73&lt;&gt;-999,BA73*$FT73, -999)</f>
        <v>699616.66044626094</v>
      </c>
      <c r="FW73" s="29">
        <f>IF(BB73&lt;&gt;-999,BB73*$FT73, -999)</f>
        <v>3831666.0512061929</v>
      </c>
      <c r="FX73">
        <f t="shared" si="69"/>
        <v>1.9372800000000119</v>
      </c>
      <c r="FY73">
        <f>IF(BC73&lt;&gt;-999, BC73*$FX73, -999)</f>
        <v>4389002.1350609809</v>
      </c>
      <c r="FZ73">
        <f>IF(BD73&lt;&gt;-999, BD73*$FX73, -999)</f>
        <v>980386.53169334203</v>
      </c>
      <c r="GA73" s="29">
        <f>IF(BE73&lt;&gt;-999, BE73*$FX73, -999)</f>
        <v>5369388.6667543231</v>
      </c>
      <c r="GB73">
        <f t="shared" si="70"/>
        <v>-2.1347199999999873</v>
      </c>
      <c r="GC73">
        <f>IF(BF73&lt;&gt;-999,BF73*$GB73, -999)</f>
        <v>-2358483.7449942878</v>
      </c>
      <c r="GD73">
        <f>IF(BG73&lt;&gt;-999,BG73*$GB73, -999)</f>
        <v>-526822.51569770416</v>
      </c>
      <c r="GE73" s="29">
        <f>IF(BH73&lt;&gt;-999,BH73*$GB73, -999)</f>
        <v>-2885306.260691992</v>
      </c>
      <c r="GF73">
        <f t="shared" si="71"/>
        <v>-10.847719999999988</v>
      </c>
      <c r="GG73">
        <f>IF(BI73&lt;&gt;-999,BI73*$GF73, -999)</f>
        <v>-17784760.694720153</v>
      </c>
      <c r="GH73">
        <f>IF(BJ73&lt;&gt;-999,BJ73*$GF73, -999)</f>
        <v>-3972642.2356779315</v>
      </c>
      <c r="GI73" s="29">
        <f>IF(BK73&lt;&gt;-999,BK73*$GF73, -999)</f>
        <v>-21757402.930398084</v>
      </c>
      <c r="GJ73" s="30">
        <f t="shared" si="64"/>
        <v>39242070.329767801</v>
      </c>
    </row>
    <row r="74" spans="1:192">
      <c r="A74" s="48" t="s">
        <v>160</v>
      </c>
      <c r="B74" s="48" t="s">
        <v>212</v>
      </c>
      <c r="C74" s="49">
        <v>128</v>
      </c>
      <c r="D74" s="50">
        <v>0.82599999999999996</v>
      </c>
      <c r="E74" s="49">
        <v>188.700527387232</v>
      </c>
      <c r="F74" s="49">
        <v>0.78178319568611199</v>
      </c>
      <c r="G74" s="49">
        <v>110.927831695669</v>
      </c>
      <c r="H74" s="49">
        <v>0.81492768562110895</v>
      </c>
      <c r="I74" s="42">
        <v>5865.7</v>
      </c>
      <c r="J74" s="43">
        <v>-999</v>
      </c>
      <c r="K74" s="43">
        <f t="shared" si="39"/>
        <v>5865.7</v>
      </c>
      <c r="L74" s="43">
        <v>5807.3</v>
      </c>
      <c r="M74" s="43">
        <v>-999</v>
      </c>
      <c r="N74" s="43">
        <f t="shared" si="40"/>
        <v>5807.3</v>
      </c>
      <c r="O74" s="43">
        <v>11917.8</v>
      </c>
      <c r="P74" s="43">
        <v>-999</v>
      </c>
      <c r="Q74" s="43">
        <f t="shared" si="41"/>
        <v>11917.8</v>
      </c>
      <c r="R74" s="43">
        <v>18955.900000000001</v>
      </c>
      <c r="S74" s="43">
        <v>-999</v>
      </c>
      <c r="T74" s="43">
        <f t="shared" si="42"/>
        <v>18955.900000000001</v>
      </c>
      <c r="U74" s="43">
        <v>18767.2</v>
      </c>
      <c r="V74" s="43">
        <v>-999</v>
      </c>
      <c r="W74" s="43">
        <f t="shared" si="43"/>
        <v>18767.2</v>
      </c>
      <c r="X74" s="43">
        <v>38514.199999999997</v>
      </c>
      <c r="Y74" s="43">
        <v>-999</v>
      </c>
      <c r="Z74" s="43">
        <f t="shared" si="44"/>
        <v>38514.199999999997</v>
      </c>
      <c r="AA74" s="22">
        <v>69437.899999999994</v>
      </c>
      <c r="AB74">
        <v>-999</v>
      </c>
      <c r="AC74">
        <v>69437.899999999994</v>
      </c>
      <c r="AD74">
        <v>68746.899999999994</v>
      </c>
      <c r="AE74">
        <v>-999</v>
      </c>
      <c r="AF74">
        <v>68746.899999999994</v>
      </c>
      <c r="AG74">
        <v>141082.5</v>
      </c>
      <c r="AH74">
        <v>-999</v>
      </c>
      <c r="AI74">
        <v>141082.5</v>
      </c>
      <c r="AJ74">
        <v>224399.3</v>
      </c>
      <c r="AK74">
        <v>-999</v>
      </c>
      <c r="AL74">
        <v>224399.3</v>
      </c>
      <c r="AM74">
        <v>222166.3</v>
      </c>
      <c r="AN74">
        <v>-999</v>
      </c>
      <c r="AO74">
        <v>222166.3</v>
      </c>
      <c r="AP74">
        <v>455930</v>
      </c>
      <c r="AQ74">
        <v>-999</v>
      </c>
      <c r="AR74">
        <v>455930</v>
      </c>
      <c r="AS74">
        <v>1181762.97</v>
      </c>
      <c r="AT74" s="22">
        <f t="shared" si="72"/>
        <v>115592.19410660249</v>
      </c>
      <c r="AU74">
        <f t="shared" si="72"/>
        <v>-999</v>
      </c>
      <c r="AV74">
        <f t="shared" si="72"/>
        <v>115592.19410660249</v>
      </c>
      <c r="AW74">
        <f t="shared" si="72"/>
        <v>114441.89713437749</v>
      </c>
      <c r="AX74">
        <f t="shared" si="72"/>
        <v>-999</v>
      </c>
      <c r="AY74">
        <f t="shared" si="72"/>
        <v>114441.89713437749</v>
      </c>
      <c r="AZ74">
        <f t="shared" si="72"/>
        <v>234857.8474441875</v>
      </c>
      <c r="BA74">
        <f t="shared" si="72"/>
        <v>-999</v>
      </c>
      <c r="BB74">
        <f t="shared" si="72"/>
        <v>234857.8474441875</v>
      </c>
      <c r="BC74">
        <f t="shared" si="72"/>
        <v>373554.0309108675</v>
      </c>
      <c r="BD74">
        <f t="shared" si="72"/>
        <v>-999</v>
      </c>
      <c r="BE74">
        <f t="shared" si="72"/>
        <v>373554.0309108675</v>
      </c>
      <c r="BF74">
        <f t="shared" si="72"/>
        <v>369836.7904781925</v>
      </c>
      <c r="BG74">
        <f t="shared" si="65"/>
        <v>-999</v>
      </c>
      <c r="BH74">
        <f t="shared" si="65"/>
        <v>369836.7904781925</v>
      </c>
      <c r="BI74">
        <f t="shared" si="65"/>
        <v>758979.59268674999</v>
      </c>
      <c r="BJ74">
        <f t="shared" si="38"/>
        <v>-999</v>
      </c>
      <c r="BK74">
        <f t="shared" si="38"/>
        <v>758979.59268674999</v>
      </c>
      <c r="BL74">
        <f t="shared" si="38"/>
        <v>1967262.4692888907</v>
      </c>
      <c r="BM74" s="22">
        <f>-17.17-(0.1023*E74)+F74*(100-8.576-13.681)</f>
        <v>24.304107030511581</v>
      </c>
      <c r="BN74">
        <f>IF(AT74&lt;&gt;-999,AT74*$BM74, -999)</f>
        <v>2809365.0574585367</v>
      </c>
      <c r="BO74">
        <f>IF(AU74&lt;&gt;-999,AU74*$BM74, -999)</f>
        <v>-999</v>
      </c>
      <c r="BP74" s="25">
        <f>IF(AV74&lt;&gt;-999,AV74*$BM74, -999)</f>
        <v>2809365.0574585367</v>
      </c>
      <c r="BQ74">
        <f>-19.943-(0.1023*E74)+F74*(100-8.576-13.681)</f>
        <v>21.531107030511578</v>
      </c>
      <c r="BR74">
        <f>IF(AW74&lt;&gt;-999,AW74*$BQ74, -999)</f>
        <v>2464060.7359750778</v>
      </c>
      <c r="BS74">
        <f>IF(AX74&lt;&gt;-999,AX74*$BQ74, -999)</f>
        <v>-999</v>
      </c>
      <c r="BT74" s="25">
        <f>IF(AY74&lt;&gt;-999,AY74*$BQ74, -999)</f>
        <v>2464060.7359750778</v>
      </c>
      <c r="BU74">
        <f>-25.871-(0.1023*E74)+F74*(100-8.576-13.681)</f>
        <v>15.60310703051158</v>
      </c>
      <c r="BV74">
        <f>IF(AZ74&lt;&gt;-999,AZ74*$BU74, -999)</f>
        <v>3664512.1306272182</v>
      </c>
      <c r="BW74">
        <f>IF(BA74&lt;&gt;-999,BA74*$BU74, -999)</f>
        <v>-999</v>
      </c>
      <c r="BX74" s="25">
        <f>IF(BB74&lt;&gt;-999,BB74*$BU74, -999)</f>
        <v>3664512.1306272182</v>
      </c>
      <c r="BY74">
        <f>-25.245-(0.1023*E74)+F74*(100-8.576-13.681)</f>
        <v>16.229107030511578</v>
      </c>
      <c r="BZ74">
        <f>IF(BC74&lt;&gt;-999,BC74*$BY74, -999)</f>
        <v>6062448.3493314991</v>
      </c>
      <c r="CA74">
        <f>IF(BD74&lt;&gt;-999,BD74*$BY74, -999)</f>
        <v>-999</v>
      </c>
      <c r="CB74" s="25">
        <f>IF(BE74&lt;&gt;-999,BE74*$BY74, -999)</f>
        <v>6062448.3493314991</v>
      </c>
      <c r="CC74">
        <f>-29.317-(0.1023*E74)+F74*(100-8.576-13.681)</f>
        <v>12.157107030511575</v>
      </c>
      <c r="CD74">
        <f>IF(BF74&lt;&gt;-999,BF74*$CC74, -999)</f>
        <v>4496145.4456642708</v>
      </c>
      <c r="CE74">
        <f>IF(BG74&lt;&gt;-999,BG74*$CC74, -999)</f>
        <v>-999</v>
      </c>
      <c r="CF74" s="25">
        <f>IF(BH74&lt;&gt;-999,BH74*$CC74, -999)</f>
        <v>4496145.4456642708</v>
      </c>
      <c r="CG74">
        <f>-38.03-(0.1023*E74)+F74*(100-8.576-13.681)</f>
        <v>3.4441070305115815</v>
      </c>
      <c r="CH74">
        <f>IF(BI74&lt;&gt;-999,BI74*$CG74, -999)</f>
        <v>2614006.9511872521</v>
      </c>
      <c r="CI74">
        <f>IF(BJ74&lt;&gt;-999,BJ74*$CG74, -999)</f>
        <v>-999</v>
      </c>
      <c r="CJ74" s="25">
        <f>IF(BK74&lt;&gt;-999,BK74*$CG74, -999)</f>
        <v>2614006.9511872521</v>
      </c>
      <c r="CK74" s="26">
        <f t="shared" si="45"/>
        <v>22110538.670243856</v>
      </c>
      <c r="CL74">
        <f t="shared" si="46"/>
        <v>-24.457915656679617</v>
      </c>
      <c r="CM74">
        <f t="shared" si="47"/>
        <v>33.672011221726059</v>
      </c>
      <c r="CN74">
        <f t="shared" si="48"/>
        <v>-81.583727833807941</v>
      </c>
      <c r="CO74" s="22">
        <f t="shared" si="49"/>
        <v>-40.08</v>
      </c>
      <c r="CP74">
        <f>IF(AT74&lt;&gt;-999,AT74*$CO74, -999)</f>
        <v>-4632935.1397926277</v>
      </c>
      <c r="CQ74">
        <f>IF(AU74&lt;&gt;-999,AU74*$CO74, -999)</f>
        <v>-999</v>
      </c>
      <c r="CR74" s="27">
        <f>IF(AV74&lt;&gt;-999,AV74*$CO74, -999)</f>
        <v>-4632935.1397926277</v>
      </c>
      <c r="CS74">
        <f t="shared" si="50"/>
        <v>-42.853000000000002</v>
      </c>
      <c r="CT74">
        <f>IF(AW74&lt;&gt;-999,AW74*$CS74, -999)</f>
        <v>-4904178.6178994784</v>
      </c>
      <c r="CU74">
        <f>IF(AX74&lt;&gt;-999,AX74*$CS74, -999)</f>
        <v>-999</v>
      </c>
      <c r="CV74" s="27">
        <f>IF(AY74&lt;&gt;-999,AY74*$CS74, -999)</f>
        <v>-4904178.6178994784</v>
      </c>
      <c r="CW74">
        <f t="shared" si="51"/>
        <v>-48.780999999999999</v>
      </c>
      <c r="CX74">
        <f>IF(AZ74&lt;&gt;-999,AZ74*$CO74, -999)</f>
        <v>-9413102.5255630352</v>
      </c>
      <c r="CY74">
        <f>IF(BA74&lt;&gt;-999,BA74*$CO74, -999)</f>
        <v>-999</v>
      </c>
      <c r="CZ74" s="27">
        <f>IF(BB74&lt;&gt;-999,BB74*$CO74, -999)</f>
        <v>-9413102.5255630352</v>
      </c>
      <c r="DA74">
        <f t="shared" si="52"/>
        <v>-48.155000000000001</v>
      </c>
      <c r="DB74">
        <f>IF(BC74&lt;&gt;-999,BC74*$DA74, -999)</f>
        <v>-17988494.358512826</v>
      </c>
      <c r="DC74">
        <f>IF(BD74&lt;&gt;-999,BD74*$DA74, -999)</f>
        <v>-999</v>
      </c>
      <c r="DD74" s="27">
        <f>IF(BE74&lt;&gt;-999,BE74*$DA74, -999)</f>
        <v>-17988494.358512826</v>
      </c>
      <c r="DE74">
        <f t="shared" si="53"/>
        <v>-52.227000000000004</v>
      </c>
      <c r="DF74">
        <f>IF(BF74&lt;&gt;-999,BF74*$DE74, -999)</f>
        <v>-19315466.056304563</v>
      </c>
      <c r="DG74">
        <f>IF(BG74&lt;&gt;-999,BG74*$DE74, -999)</f>
        <v>-999</v>
      </c>
      <c r="DH74" s="27">
        <f>IF(BH74&lt;&gt;-999,BH74*$DE74, -999)</f>
        <v>-19315466.056304563</v>
      </c>
      <c r="DI74">
        <f t="shared" si="54"/>
        <v>-60.94</v>
      </c>
      <c r="DJ74">
        <f>IF(BI74&lt;&gt;-999,BI74*$DI74, -999)</f>
        <v>-46252216.378330544</v>
      </c>
      <c r="DK74">
        <f>IF(BJ74&lt;&gt;-999,BJ74*$DI74, -999)</f>
        <v>-999</v>
      </c>
      <c r="DL74" s="27">
        <f>IF(BK74&lt;&gt;-999,BK74*$DI74, -999)</f>
        <v>-46252216.378330544</v>
      </c>
      <c r="DM74" s="28">
        <f t="shared" si="55"/>
        <v>-102506393.07640307</v>
      </c>
      <c r="DN74" s="22">
        <f t="shared" si="56"/>
        <v>-17.170000000000002</v>
      </c>
      <c r="DO74">
        <f>IF(AT74&lt;&gt;-999,AT74*$DN74, -999)</f>
        <v>-1984717.972810365</v>
      </c>
      <c r="DP74">
        <f>IF(AU74&lt;&gt;-999,AU74*$DN74, -999)</f>
        <v>-999</v>
      </c>
      <c r="DQ74" s="24">
        <f>IF(AV74&lt;&gt;-999,AV74*$DN74, -999)</f>
        <v>-1984717.972810365</v>
      </c>
      <c r="DR74">
        <f t="shared" si="57"/>
        <v>-19.943000000000001</v>
      </c>
      <c r="DS74">
        <f>IF(AW74&lt;&gt;-999,AW74*$DR74, -999)</f>
        <v>-2282314.7545508905</v>
      </c>
      <c r="DT74">
        <f>IF(AX74&lt;&gt;-999,AX74*$DR74, -999)</f>
        <v>-999</v>
      </c>
      <c r="DU74" s="24">
        <f>IF(AY74&lt;&gt;-999,AY74*$DR74, -999)</f>
        <v>-2282314.7545508905</v>
      </c>
      <c r="DV74">
        <f t="shared" si="58"/>
        <v>-25.870999999999999</v>
      </c>
      <c r="DW74">
        <f>IF(AZ74&lt;&gt;-999,AZ74*$DV74, -999)</f>
        <v>-6076007.3712285748</v>
      </c>
      <c r="DX74">
        <f>IF(BA74&lt;&gt;-999,BA74*$DV74, -999)</f>
        <v>-999</v>
      </c>
      <c r="DY74" s="24">
        <f>IF(BB74&lt;&gt;-999,BB74*$DV74, -999)</f>
        <v>-6076007.3712285748</v>
      </c>
      <c r="DZ74">
        <f t="shared" si="59"/>
        <v>-25.245000000000001</v>
      </c>
      <c r="EA74">
        <f>IF(BC74&lt;&gt;-999, BC74*$DZ74, -999)</f>
        <v>-9430371.5103448499</v>
      </c>
      <c r="EB74">
        <f>IF(BD74&lt;&gt;-999, BD74*$DZ74, -999)</f>
        <v>-999</v>
      </c>
      <c r="EC74" s="24">
        <f>IF(BE74&lt;&gt;-999, BE74*$DZ74, -999)</f>
        <v>-9430371.5103448499</v>
      </c>
      <c r="ED74">
        <f t="shared" si="60"/>
        <v>-29.317</v>
      </c>
      <c r="EE74">
        <f>IF(BF74&lt;&gt;-999,BF74*$ED74, -999)</f>
        <v>-10842505.18644917</v>
      </c>
      <c r="EF74">
        <f>IF(BG74&lt;&gt;-999,BG74*$ED74, -999)</f>
        <v>-999</v>
      </c>
      <c r="EG74" s="24">
        <f>IF(BH74&lt;&gt;-999,BH74*$ED74, -999)</f>
        <v>-10842505.18644917</v>
      </c>
      <c r="EH74">
        <f t="shared" si="61"/>
        <v>-38.03</v>
      </c>
      <c r="EI74">
        <f>IF(BI74&lt;&gt;-999,BI74*$EH74, -999)</f>
        <v>-28863993.909877103</v>
      </c>
      <c r="EJ74">
        <f>IF(BJ74&lt;&gt;-999,BJ74*$EH74, -999)</f>
        <v>-999</v>
      </c>
      <c r="EK74" s="24">
        <f>IF(BK74&lt;&gt;-999,BK74*$EH74, -999)</f>
        <v>-28863993.909877103</v>
      </c>
      <c r="EL74" s="28">
        <f t="shared" si="62"/>
        <v>-59479910.705260947</v>
      </c>
      <c r="EM74" s="22">
        <f>-17.17-(0.1023*G74)+H74*(100+102.093-66.644-64.243)</f>
        <v>29.509823599869762</v>
      </c>
      <c r="EN74">
        <f>IF(AT74&lt;&gt;-999,AT74*$EM74, -999)</f>
        <v>3411105.2576077445</v>
      </c>
      <c r="EO74">
        <f>IF(AU74&lt;&gt;-999,AU74*$EM74, -999)</f>
        <v>-999</v>
      </c>
      <c r="EP74" s="23">
        <f>IF(AV74&lt;&gt;-999,AV74*$EM74, -999)</f>
        <v>3411105.2576077445</v>
      </c>
      <c r="EQ74">
        <f>-19.943-(0.1023*G74)+H74*(100+102.093-66.644-64.243)</f>
        <v>26.736823599869759</v>
      </c>
      <c r="ER74">
        <f>IF(AW74&lt;&gt;-999,AW74*$EQ74, -999)</f>
        <v>3059812.8161162916</v>
      </c>
      <c r="ES74">
        <f>IF(AX74&lt;&gt;-999,AX74*$EQ74, -999)</f>
        <v>-999</v>
      </c>
      <c r="ET74" s="23">
        <f>IF(AY74&lt;&gt;-999,AY74*$EQ74, -999)</f>
        <v>3059812.8161162916</v>
      </c>
      <c r="EU74">
        <f>-25.871-(0.1023*G74)+H74*(100+102.093-66.644-64.243)</f>
        <v>20.808823599869761</v>
      </c>
      <c r="EV74">
        <f>IF(AZ74&lt;&gt;-999,AZ74*$EU74, -999)</f>
        <v>4887115.5185112208</v>
      </c>
      <c r="EW74">
        <f>IF(BA74&lt;&gt;-999,BA74*$EU74, -999)</f>
        <v>-999</v>
      </c>
      <c r="EX74" s="23">
        <f>IF(BB74&lt;&gt;-999,BB74*$EU74, -999)</f>
        <v>4887115.5185112208</v>
      </c>
      <c r="EY74">
        <f>-25.245-(0.1023*G74)+H74*(100+102.093-66.644-64.243)</f>
        <v>21.434823599869759</v>
      </c>
      <c r="EZ74">
        <f>IF(BC74&lt;&gt;-999, BC74*$EY74, -999)</f>
        <v>8007064.75759474</v>
      </c>
      <c r="FA74">
        <f>IF(BD74&lt;&gt;-999, BD74*$EY74, -999)</f>
        <v>-999</v>
      </c>
      <c r="FB74" s="23">
        <f>IF(BE74&lt;&gt;-999, BE74*$EY74, -999)</f>
        <v>8007064.75759474</v>
      </c>
      <c r="FC74">
        <f>-29.317-(0.1023*G74)+H74*(100+102.093-66.644-64.243)</f>
        <v>17.362823599869763</v>
      </c>
      <c r="FD74">
        <f>IF(BF74&lt;&gt;-999,BF74*$FC74, -999)</f>
        <v>6421410.9538148502</v>
      </c>
      <c r="FE74">
        <f>IF(BG74&lt;&gt;-999,BG74*$FC74, -999)</f>
        <v>-999</v>
      </c>
      <c r="FF74" s="23">
        <f>IF(BH74&lt;&gt;-999,BH74*$FC74, -999)</f>
        <v>6421410.9538148502</v>
      </c>
      <c r="FG74">
        <f>-38.03-(0.1023*G74)+H74*(100+102.093-66.644-64.243)</f>
        <v>8.6498235998697623</v>
      </c>
      <c r="FH74">
        <f>IF(BI74&lt;&gt;-999,BI74*$FG74, -999)</f>
        <v>6565039.5926413899</v>
      </c>
      <c r="FI74">
        <f>IF(BJ74&lt;&gt;-999,BJ74*$FG74, -999)</f>
        <v>-999</v>
      </c>
      <c r="FJ74" s="23">
        <f>IF(BK74&lt;&gt;-999,BK74*$FG74, -999)</f>
        <v>6565039.5926413899</v>
      </c>
      <c r="FK74" s="28">
        <f t="shared" si="63"/>
        <v>32351548.896286234</v>
      </c>
      <c r="FL74" s="22">
        <f t="shared" si="66"/>
        <v>10.012280000000011</v>
      </c>
      <c r="FM74">
        <f>IF(AT74&lt;&gt;-999,AT74*$FL74, -999)</f>
        <v>1157341.4132096553</v>
      </c>
      <c r="FN74">
        <f>IF(AU74&lt;&gt;-999,AU74*$FL74, -999)</f>
        <v>-999</v>
      </c>
      <c r="FO74" s="29">
        <f>IF(AV74&lt;&gt;-999,AV74*$FL74, -999)</f>
        <v>1157341.4132096553</v>
      </c>
      <c r="FP74">
        <f t="shared" si="67"/>
        <v>7.2392800000000115</v>
      </c>
      <c r="FQ74">
        <f>IF(AW74&lt;&gt;-999,AW74*$FP74, -999)</f>
        <v>828476.93708695762</v>
      </c>
      <c r="FR74">
        <f>IF(AX74&lt;&gt;-999,AX74*$FP74, -999)</f>
        <v>-999</v>
      </c>
      <c r="FS74" s="29">
        <f>IF(AY74&lt;&gt;-999,AY74*$FP74, -999)</f>
        <v>828476.93708695762</v>
      </c>
      <c r="FT74">
        <f t="shared" si="68"/>
        <v>1.3112800000000142</v>
      </c>
      <c r="FU74">
        <f>IF(AZ74&lt;&gt;-999,AZ74*$FT74, -999)</f>
        <v>307964.39819661755</v>
      </c>
      <c r="FV74">
        <f>IF(BA74&lt;&gt;-999,BA74*$FT74, -999)</f>
        <v>-999</v>
      </c>
      <c r="FW74" s="29">
        <f>IF(BB74&lt;&gt;-999,BB74*$FT74, -999)</f>
        <v>307964.39819661755</v>
      </c>
      <c r="FX74">
        <f t="shared" si="69"/>
        <v>1.9372800000000119</v>
      </c>
      <c r="FY74">
        <f>IF(BC74&lt;&gt;-999, BC74*$FX74, -999)</f>
        <v>723678.75300300983</v>
      </c>
      <c r="FZ74">
        <f>IF(BD74&lt;&gt;-999, BD74*$FX74, -999)</f>
        <v>-999</v>
      </c>
      <c r="GA74" s="29">
        <f>IF(BE74&lt;&gt;-999, BE74*$FX74, -999)</f>
        <v>723678.75300300983</v>
      </c>
      <c r="GB74">
        <f t="shared" si="70"/>
        <v>-2.1347199999999873</v>
      </c>
      <c r="GC74">
        <f>IF(BF74&lt;&gt;-999,BF74*$GB74, -999)</f>
        <v>-789497.99336960237</v>
      </c>
      <c r="GD74">
        <f>IF(BG74&lt;&gt;-999,BG74*$GB74, -999)</f>
        <v>-999</v>
      </c>
      <c r="GE74" s="29">
        <f>IF(BH74&lt;&gt;-999,BH74*$GB74, -999)</f>
        <v>-789497.99336960237</v>
      </c>
      <c r="GF74">
        <f t="shared" si="71"/>
        <v>-10.847719999999988</v>
      </c>
      <c r="GG74">
        <f>IF(BI74&lt;&gt;-999,BI74*$GF74, -999)</f>
        <v>-8233198.1071799025</v>
      </c>
      <c r="GH74">
        <f>IF(BJ74&lt;&gt;-999,BJ74*$GF74, -999)</f>
        <v>-999</v>
      </c>
      <c r="GI74" s="29">
        <f>IF(BK74&lt;&gt;-999,BK74*$GF74, -999)</f>
        <v>-8233198.1071799025</v>
      </c>
      <c r="GJ74" s="30">
        <f t="shared" si="64"/>
        <v>-6005234.5990532646</v>
      </c>
    </row>
    <row r="75" spans="1:192">
      <c r="A75" s="48" t="s">
        <v>138</v>
      </c>
      <c r="B75" s="48" t="s">
        <v>213</v>
      </c>
      <c r="C75" s="49">
        <v>170</v>
      </c>
      <c r="D75" s="50">
        <v>0.82299999999999995</v>
      </c>
      <c r="E75" s="49">
        <v>197.012434532806</v>
      </c>
      <c r="F75" s="49">
        <v>0.74071122507131304</v>
      </c>
      <c r="G75" s="49">
        <v>172.68819236867199</v>
      </c>
      <c r="H75" s="49">
        <v>0.81126816414311598</v>
      </c>
      <c r="I75" s="42">
        <v>17862.099999999999</v>
      </c>
      <c r="J75" s="43">
        <v>165134.9</v>
      </c>
      <c r="K75" s="43">
        <f t="shared" si="39"/>
        <v>182997</v>
      </c>
      <c r="L75" s="43">
        <v>11339</v>
      </c>
      <c r="M75" s="43">
        <v>104828.7</v>
      </c>
      <c r="N75" s="43">
        <f t="shared" si="40"/>
        <v>116167.7</v>
      </c>
      <c r="O75" s="43">
        <v>19489.3</v>
      </c>
      <c r="P75" s="43">
        <v>180178.1</v>
      </c>
      <c r="Q75" s="43">
        <f t="shared" si="41"/>
        <v>199667.4</v>
      </c>
      <c r="R75" s="43">
        <v>28865.9</v>
      </c>
      <c r="S75" s="43">
        <v>266865.40000000002</v>
      </c>
      <c r="T75" s="43">
        <f t="shared" si="42"/>
        <v>295731.30000000005</v>
      </c>
      <c r="U75" s="43">
        <v>18324.3</v>
      </c>
      <c r="V75" s="43">
        <v>169407.9</v>
      </c>
      <c r="W75" s="43">
        <f t="shared" si="43"/>
        <v>187732.19999999998</v>
      </c>
      <c r="X75" s="43">
        <v>31495.5</v>
      </c>
      <c r="Y75" s="43">
        <v>291175.90000000002</v>
      </c>
      <c r="Z75" s="43">
        <f t="shared" si="44"/>
        <v>322671.40000000002</v>
      </c>
      <c r="AA75" s="22">
        <v>577362.69999999995</v>
      </c>
      <c r="AB75">
        <v>6865923.7999999998</v>
      </c>
      <c r="AC75">
        <v>7443286.5</v>
      </c>
      <c r="AD75">
        <v>366513.6</v>
      </c>
      <c r="AE75">
        <v>4358533.7</v>
      </c>
      <c r="AF75">
        <v>4725047.3</v>
      </c>
      <c r="AG75">
        <v>629958.19999999995</v>
      </c>
      <c r="AH75">
        <v>7491383.7000000002</v>
      </c>
      <c r="AI75">
        <v>8121341.9000000004</v>
      </c>
      <c r="AJ75">
        <v>933044.1</v>
      </c>
      <c r="AK75">
        <v>11095642.1</v>
      </c>
      <c r="AL75">
        <v>12028686.199999999</v>
      </c>
      <c r="AM75">
        <v>592302.5</v>
      </c>
      <c r="AN75">
        <v>7043586.7000000002</v>
      </c>
      <c r="AO75">
        <v>7635889.2000000002</v>
      </c>
      <c r="AP75">
        <v>1018040.9</v>
      </c>
      <c r="AQ75">
        <v>12106413.5</v>
      </c>
      <c r="AR75">
        <v>13124454.300000001</v>
      </c>
      <c r="AS75">
        <v>53078705.469999999</v>
      </c>
      <c r="AT75" s="22">
        <f t="shared" si="72"/>
        <v>961126.72313408239</v>
      </c>
      <c r="AU75">
        <f t="shared" si="72"/>
        <v>11429596.756393004</v>
      </c>
      <c r="AV75">
        <f t="shared" si="72"/>
        <v>12390723.479527086</v>
      </c>
      <c r="AW75">
        <f t="shared" si="72"/>
        <v>610129.49979635992</v>
      </c>
      <c r="AX75">
        <f t="shared" si="72"/>
        <v>7255583.3841543077</v>
      </c>
      <c r="AY75">
        <f t="shared" si="72"/>
        <v>7865712.8839506665</v>
      </c>
      <c r="AZ75">
        <f t="shared" si="72"/>
        <v>1048681.6354389449</v>
      </c>
      <c r="BA75">
        <f t="shared" si="72"/>
        <v>12470790.141658058</v>
      </c>
      <c r="BB75">
        <f t="shared" si="72"/>
        <v>13519471.777097004</v>
      </c>
      <c r="BC75">
        <f t="shared" si="72"/>
        <v>1553224.0277603476</v>
      </c>
      <c r="BD75">
        <f t="shared" si="72"/>
        <v>18470743.144026399</v>
      </c>
      <c r="BE75">
        <f t="shared" si="72"/>
        <v>20023967.171786744</v>
      </c>
      <c r="BF75">
        <f t="shared" si="72"/>
        <v>985996.77625368745</v>
      </c>
      <c r="BG75">
        <f t="shared" si="65"/>
        <v>11725349.427806482</v>
      </c>
      <c r="BH75">
        <f t="shared" si="65"/>
        <v>12711346.204060171</v>
      </c>
      <c r="BI75">
        <f t="shared" si="65"/>
        <v>1694716.8811450277</v>
      </c>
      <c r="BJ75">
        <f t="shared" si="38"/>
        <v>20153358.601380415</v>
      </c>
      <c r="BK75">
        <f t="shared" si="38"/>
        <v>21848075.316056993</v>
      </c>
      <c r="BL75">
        <f t="shared" si="38"/>
        <v>88359296.949006587</v>
      </c>
      <c r="BM75" s="22">
        <f>-17.17-(0.1023*E75)+F75*(100-8.576-13.681)</f>
        <v>20.260740718013047</v>
      </c>
      <c r="BN75">
        <f>IF(AT75&lt;&gt;-999,AT75*$BM75, -999)</f>
        <v>19473139.334573153</v>
      </c>
      <c r="BO75">
        <f>IF(AU75&lt;&gt;-999,AU75*$BM75, -999)</f>
        <v>231572096.39272159</v>
      </c>
      <c r="BP75" s="25">
        <f>IF(AV75&lt;&gt;-999,AV75*$BM75, -999)</f>
        <v>251045235.72729471</v>
      </c>
      <c r="BQ75">
        <f>-19.943-(0.1023*E75)+F75*(100-8.576-13.681)</f>
        <v>17.487740718013043</v>
      </c>
      <c r="BR75">
        <f>IF(AW75&lt;&gt;-999,AW75*$BQ75, -999)</f>
        <v>10669786.496849734</v>
      </c>
      <c r="BS75">
        <f>IF(AX75&lt;&gt;-999,AX75*$BQ75, -999)</f>
        <v>126883760.98001416</v>
      </c>
      <c r="BT75" s="25">
        <f>IF(AY75&lt;&gt;-999,AY75*$BQ75, -999)</f>
        <v>137553547.47686386</v>
      </c>
      <c r="BU75">
        <f>-25.871-(0.1023*E75)+F75*(100-8.576-13.681)</f>
        <v>11.559740718013046</v>
      </c>
      <c r="BV75">
        <f>IF(AZ75&lt;&gt;-999,AZ75*$BU75, -999)</f>
        <v>12122487.801416084</v>
      </c>
      <c r="BW75">
        <f>IF(BA75&lt;&gt;-999,BA75*$BU75, -999)</f>
        <v>144159100.58632034</v>
      </c>
      <c r="BX75" s="25">
        <f>IF(BB75&lt;&gt;-999,BB75*$BU75, -999)</f>
        <v>156281588.38773644</v>
      </c>
      <c r="BY75">
        <f>-25.245-(0.1023*E75)+F75*(100-8.576-13.681)</f>
        <v>12.185740718013044</v>
      </c>
      <c r="BZ75">
        <f>IF(BC75&lt;&gt;-999,BC75*$BY75, -999)</f>
        <v>18927185.279275488</v>
      </c>
      <c r="CA75">
        <f>IF(BD75&lt;&gt;-999,BD75*$BY75, -999)</f>
        <v>225079686.82212275</v>
      </c>
      <c r="CB75" s="25">
        <f>IF(BE75&lt;&gt;-999,BE75*$BY75, -999)</f>
        <v>244006872.10139823</v>
      </c>
      <c r="CC75">
        <f>-29.317-(0.1023*E75)+F75*(100-8.576-13.681)</f>
        <v>8.113740718013041</v>
      </c>
      <c r="CD75">
        <f>IF(BF75&lt;&gt;-999,BF75*$CC75, -999)</f>
        <v>8000122.1913191378</v>
      </c>
      <c r="CE75">
        <f>IF(BG75&lt;&gt;-999,BG75*$CC75, -999)</f>
        <v>95136445.085324362</v>
      </c>
      <c r="CF75" s="25">
        <f>IF(BH75&lt;&gt;-999,BH75*$CC75, -999)</f>
        <v>103136567.27664351</v>
      </c>
      <c r="CG75">
        <f>-38.03-(0.1023*E75)+F75*(100-8.576-13.681)</f>
        <v>-0.59925928198695289</v>
      </c>
      <c r="CH75">
        <f>IF(BI75&lt;&gt;-999,BI75*$CG75, -999)</f>
        <v>-1015574.8213661375</v>
      </c>
      <c r="CI75">
        <f>IF(BJ75&lt;&gt;-999,BJ75*$CG75, -999)</f>
        <v>-12077087.205088809</v>
      </c>
      <c r="CJ75" s="25">
        <f>IF(BK75&lt;&gt;-999,BK75*$CG75, -999)</f>
        <v>-13092661.926697182</v>
      </c>
      <c r="CK75" s="26">
        <f t="shared" si="45"/>
        <v>878931149.04323959</v>
      </c>
      <c r="CL75">
        <f t="shared" si="46"/>
        <v>-25.900266610695297</v>
      </c>
      <c r="CM75">
        <f t="shared" si="47"/>
        <v>35.452928078131947</v>
      </c>
      <c r="CN75">
        <f t="shared" si="48"/>
        <v>-86.193669070878471</v>
      </c>
      <c r="CO75" s="22">
        <f t="shared" si="49"/>
        <v>-40.08</v>
      </c>
      <c r="CP75">
        <f>IF(AT75&lt;&gt;-999,AT75*$CO75, -999)</f>
        <v>-38521959.063214019</v>
      </c>
      <c r="CQ75">
        <f>IF(AU75&lt;&gt;-999,AU75*$CO75, -999)</f>
        <v>-458098237.99623162</v>
      </c>
      <c r="CR75" s="27">
        <f>IF(AV75&lt;&gt;-999,AV75*$CO75, -999)</f>
        <v>-496620197.05944556</v>
      </c>
      <c r="CS75">
        <f t="shared" si="50"/>
        <v>-42.853000000000002</v>
      </c>
      <c r="CT75">
        <f>IF(AW75&lt;&gt;-999,AW75*$CS75, -999)</f>
        <v>-26145879.454773411</v>
      </c>
      <c r="CU75">
        <f>IF(AX75&lt;&gt;-999,AX75*$CS75, -999)</f>
        <v>-310923514.76116455</v>
      </c>
      <c r="CV75" s="27">
        <f>IF(AY75&lt;&gt;-999,AY75*$CS75, -999)</f>
        <v>-337069394.21593791</v>
      </c>
      <c r="CW75">
        <f t="shared" si="51"/>
        <v>-48.780999999999999</v>
      </c>
      <c r="CX75">
        <f>IF(AZ75&lt;&gt;-999,AZ75*$CO75, -999)</f>
        <v>-42031159.948392913</v>
      </c>
      <c r="CY75">
        <f>IF(BA75&lt;&gt;-999,BA75*$CO75, -999)</f>
        <v>-499829268.87765497</v>
      </c>
      <c r="CZ75" s="27">
        <f>IF(BB75&lt;&gt;-999,BB75*$CO75, -999)</f>
        <v>-541860428.8260479</v>
      </c>
      <c r="DA75">
        <f t="shared" si="52"/>
        <v>-48.155000000000001</v>
      </c>
      <c r="DB75">
        <f>IF(BC75&lt;&gt;-999,BC75*$DA75, -999)</f>
        <v>-74795503.056799546</v>
      </c>
      <c r="DC75">
        <f>IF(BD75&lt;&gt;-999,BD75*$DA75, -999)</f>
        <v>-889458636.1005913</v>
      </c>
      <c r="DD75" s="27">
        <f>IF(BE75&lt;&gt;-999,BE75*$DA75, -999)</f>
        <v>-964254139.15739071</v>
      </c>
      <c r="DE75">
        <f t="shared" si="53"/>
        <v>-52.227000000000004</v>
      </c>
      <c r="DF75">
        <f>IF(BF75&lt;&gt;-999,BF75*$DE75, -999)</f>
        <v>-51495653.633401342</v>
      </c>
      <c r="DG75">
        <f>IF(BG75&lt;&gt;-999,BG75*$DE75, -999)</f>
        <v>-612379824.56604922</v>
      </c>
      <c r="DH75" s="27">
        <f>IF(BH75&lt;&gt;-999,BH75*$DE75, -999)</f>
        <v>-663875478.19945061</v>
      </c>
      <c r="DI75">
        <f t="shared" si="54"/>
        <v>-60.94</v>
      </c>
      <c r="DJ75">
        <f>IF(BI75&lt;&gt;-999,BI75*$DI75, -999)</f>
        <v>-103276046.73697798</v>
      </c>
      <c r="DK75">
        <f>IF(BJ75&lt;&gt;-999,BJ75*$DI75, -999)</f>
        <v>-1228145673.1681225</v>
      </c>
      <c r="DL75" s="27">
        <f>IF(BK75&lt;&gt;-999,BK75*$DI75, -999)</f>
        <v>-1331421709.7605131</v>
      </c>
      <c r="DM75" s="28">
        <f t="shared" si="55"/>
        <v>-4335101347.2187853</v>
      </c>
      <c r="DN75" s="22">
        <f t="shared" si="56"/>
        <v>-17.170000000000002</v>
      </c>
      <c r="DO75">
        <f>IF(AT75&lt;&gt;-999,AT75*$DN75, -999)</f>
        <v>-16502545.836212195</v>
      </c>
      <c r="DP75">
        <f>IF(AU75&lt;&gt;-999,AU75*$DN75, -999)</f>
        <v>-196246176.3072679</v>
      </c>
      <c r="DQ75" s="24">
        <f>IF(AV75&lt;&gt;-999,AV75*$DN75, -999)</f>
        <v>-212748722.14348009</v>
      </c>
      <c r="DR75">
        <f t="shared" si="57"/>
        <v>-19.943000000000001</v>
      </c>
      <c r="DS75">
        <f>IF(AW75&lt;&gt;-999,AW75*$DR75, -999)</f>
        <v>-12167812.614438806</v>
      </c>
      <c r="DT75">
        <f>IF(AX75&lt;&gt;-999,AX75*$DR75, -999)</f>
        <v>-144698099.43018937</v>
      </c>
      <c r="DU75" s="24">
        <f>IF(AY75&lt;&gt;-999,AY75*$DR75, -999)</f>
        <v>-156865912.04462814</v>
      </c>
      <c r="DV75">
        <f t="shared" si="58"/>
        <v>-25.870999999999999</v>
      </c>
      <c r="DW75">
        <f>IF(AZ75&lt;&gt;-999,AZ75*$DV75, -999)</f>
        <v>-27130442.590440944</v>
      </c>
      <c r="DX75">
        <f>IF(BA75&lt;&gt;-999,BA75*$DV75, -999)</f>
        <v>-322631811.75483561</v>
      </c>
      <c r="DY75" s="24">
        <f>IF(BB75&lt;&gt;-999,BB75*$DV75, -999)</f>
        <v>-349762254.34527653</v>
      </c>
      <c r="DZ75">
        <f t="shared" si="59"/>
        <v>-25.245000000000001</v>
      </c>
      <c r="EA75">
        <f>IF(BC75&lt;&gt;-999, BC75*$DZ75, -999)</f>
        <v>-39211140.580809973</v>
      </c>
      <c r="EB75">
        <f>IF(BD75&lt;&gt;-999, BD75*$DZ75, -999)</f>
        <v>-466293910.67094648</v>
      </c>
      <c r="EC75" s="24">
        <f>IF(BE75&lt;&gt;-999, BE75*$DZ75, -999)</f>
        <v>-505505051.25175637</v>
      </c>
      <c r="ED75">
        <f t="shared" si="60"/>
        <v>-29.317</v>
      </c>
      <c r="EE75">
        <f>IF(BF75&lt;&gt;-999,BF75*$ED75, -999)</f>
        <v>-28906467.489429355</v>
      </c>
      <c r="EF75">
        <f>IF(BG75&lt;&gt;-999,BG75*$ED75, -999)</f>
        <v>-343752069.17500263</v>
      </c>
      <c r="EG75" s="24">
        <f>IF(BH75&lt;&gt;-999,BH75*$ED75, -999)</f>
        <v>-372658536.66443205</v>
      </c>
      <c r="EH75">
        <f t="shared" si="61"/>
        <v>-38.03</v>
      </c>
      <c r="EI75">
        <f>IF(BI75&lt;&gt;-999,BI75*$EH75, -999)</f>
        <v>-64450082.989945404</v>
      </c>
      <c r="EJ75">
        <f>IF(BJ75&lt;&gt;-999,BJ75*$EH75, -999)</f>
        <v>-766432227.61049724</v>
      </c>
      <c r="EK75" s="24">
        <f>IF(BK75&lt;&gt;-999,BK75*$EH75, -999)</f>
        <v>-830882304.26964748</v>
      </c>
      <c r="EL75" s="28">
        <f t="shared" si="62"/>
        <v>-2428422780.7192206</v>
      </c>
      <c r="EM75" s="22">
        <f>-17.17-(0.1023*G75)+H75*(100+102.093-66.644-64.243)</f>
        <v>22.931158816659583</v>
      </c>
      <c r="EN75">
        <f>IF(AT75&lt;&gt;-999,AT75*$EM75, -999)</f>
        <v>22039749.531123247</v>
      </c>
      <c r="EO75">
        <f>IF(AU75&lt;&gt;-999,AU75*$EM75, -999)</f>
        <v>262093898.43122521</v>
      </c>
      <c r="EP75" s="23">
        <f>IF(AV75&lt;&gt;-999,AV75*$EM75, -999)</f>
        <v>284133647.96234846</v>
      </c>
      <c r="EQ75">
        <f>-19.943-(0.1023*G75)+H75*(100+102.093-66.644-64.243)</f>
        <v>20.158158816659586</v>
      </c>
      <c r="ER75">
        <f>IF(AW75&lt;&gt;-999,AW75*$EQ75, -999)</f>
        <v>12299087.355624096</v>
      </c>
      <c r="ES75">
        <f>IF(AX75&lt;&gt;-999,AX75*$EQ75, -999)</f>
        <v>146259202.16529897</v>
      </c>
      <c r="ET75" s="23">
        <f>IF(AY75&lt;&gt;-999,AY75*$EQ75, -999)</f>
        <v>158558289.52092302</v>
      </c>
      <c r="EU75">
        <f>-25.871-(0.1023*G75)+H75*(100+102.093-66.644-64.243)</f>
        <v>14.230158816659589</v>
      </c>
      <c r="EV75">
        <f>IF(AZ75&lt;&gt;-999,AZ75*$EU75, -999)</f>
        <v>14922906.2204105</v>
      </c>
      <c r="EW75">
        <f>IF(BA75&lt;&gt;-999,BA75*$EU75, -999)</f>
        <v>177461324.28502691</v>
      </c>
      <c r="EX75" s="23">
        <f>IF(BB75&lt;&gt;-999,BB75*$EU75, -999)</f>
        <v>192384230.5054374</v>
      </c>
      <c r="EY75">
        <f>-25.245-(0.1023*G75)+H75*(100+102.093-66.644-64.243)</f>
        <v>14.856158816659587</v>
      </c>
      <c r="EZ75">
        <f>IF(BC75&lt;&gt;-999, BC75*$EY75, -999)</f>
        <v>23074942.834259402</v>
      </c>
      <c r="FA75">
        <f>IF(BD75&lt;&gt;-999, BD75*$EY75, -999)</f>
        <v>274404293.60938239</v>
      </c>
      <c r="FB75" s="23">
        <f>IF(BE75&lt;&gt;-999, BE75*$EY75, -999)</f>
        <v>297479236.44364178</v>
      </c>
      <c r="FC75">
        <f>-29.317-(0.1023*G75)+H75*(100+102.093-66.644-64.243)</f>
        <v>10.784158816659591</v>
      </c>
      <c r="FD75">
        <f>IF(BF75&lt;&gt;-999,BF75*$FC75, -999)</f>
        <v>10633145.827834139</v>
      </c>
      <c r="FE75">
        <f>IF(BG75&lt;&gt;-999,BG75*$FC75, -999)</f>
        <v>126448030.41029376</v>
      </c>
      <c r="FF75" s="23">
        <f>IF(BH75&lt;&gt;-999,BH75*$FC75, -999)</f>
        <v>137081176.23812792</v>
      </c>
      <c r="FG75">
        <f>-38.03-(0.1023*G75)+H75*(100+102.093-66.644-64.243)</f>
        <v>2.0711588166595831</v>
      </c>
      <c r="FH75">
        <f>IF(BI75&lt;&gt;-999,BI75*$FG75, -999)</f>
        <v>3510027.8101253551</v>
      </c>
      <c r="FI75">
        <f>IF(BJ75&lt;&gt;-999,BJ75*$FG75, -999)</f>
        <v>41740806.352551289</v>
      </c>
      <c r="FJ75" s="23">
        <f>IF(BK75&lt;&gt;-999,BK75*$FG75, -999)</f>
        <v>45250833.817894049</v>
      </c>
      <c r="FK75" s="28">
        <f t="shared" si="63"/>
        <v>1114887414.4883726</v>
      </c>
      <c r="FL75" s="22">
        <f t="shared" si="66"/>
        <v>10.012280000000011</v>
      </c>
      <c r="FM75">
        <f>IF(AT75&lt;&gt;-999,AT75*$FL75, -999)</f>
        <v>9623069.8675009217</v>
      </c>
      <c r="FN75">
        <f>IF(AU75&lt;&gt;-999,AU75*$FL75, -999)</f>
        <v>114436323.01209867</v>
      </c>
      <c r="FO75" s="29">
        <f>IF(AV75&lt;&gt;-999,AV75*$FL75, -999)</f>
        <v>124059392.87959959</v>
      </c>
      <c r="FP75">
        <f t="shared" si="67"/>
        <v>7.2392800000000115</v>
      </c>
      <c r="FQ75">
        <f>IF(AW75&lt;&gt;-999,AW75*$FP75, -999)</f>
        <v>4416898.2852857998</v>
      </c>
      <c r="FR75">
        <f>IF(AX75&lt;&gt;-999,AX75*$FP75, -999)</f>
        <v>52525199.681240678</v>
      </c>
      <c r="FS75" s="29">
        <f>IF(AY75&lt;&gt;-999,AY75*$FP75, -999)</f>
        <v>56942097.966526471</v>
      </c>
      <c r="FT75">
        <f t="shared" si="68"/>
        <v>1.3112800000000142</v>
      </c>
      <c r="FU75">
        <f>IF(AZ75&lt;&gt;-999,AZ75*$FT75, -999)</f>
        <v>1375115.2549183946</v>
      </c>
      <c r="FV75">
        <f>IF(BA75&lt;&gt;-999,BA75*$FT75, -999)</f>
        <v>16352697.696953556</v>
      </c>
      <c r="FW75" s="29">
        <f>IF(BB75&lt;&gt;-999,BB75*$FT75, -999)</f>
        <v>17727812.95187195</v>
      </c>
      <c r="FX75">
        <f t="shared" si="69"/>
        <v>1.9372800000000119</v>
      </c>
      <c r="FY75">
        <f>IF(BC75&lt;&gt;-999, BC75*$FX75, -999)</f>
        <v>3009029.8444995848</v>
      </c>
      <c r="FZ75">
        <f>IF(BD75&lt;&gt;-999, BD75*$FX75, -999)</f>
        <v>35783001.278059684</v>
      </c>
      <c r="GA75" s="29">
        <f>IF(BE75&lt;&gt;-999, BE75*$FX75, -999)</f>
        <v>38792031.122559264</v>
      </c>
      <c r="GB75">
        <f t="shared" si="70"/>
        <v>-2.1347199999999873</v>
      </c>
      <c r="GC75">
        <f>IF(BF75&lt;&gt;-999,BF75*$GB75, -999)</f>
        <v>-2104827.0382042592</v>
      </c>
      <c r="GD75">
        <f>IF(BG75&lt;&gt;-999,BG75*$GB75, -999)</f>
        <v>-25030337.930526905</v>
      </c>
      <c r="GE75" s="29">
        <f>IF(BH75&lt;&gt;-999,BH75*$GB75, -999)</f>
        <v>-27135164.968731165</v>
      </c>
      <c r="GF75">
        <f t="shared" si="71"/>
        <v>-10.847719999999988</v>
      </c>
      <c r="GG75">
        <f>IF(BI75&lt;&gt;-999,BI75*$GF75, -999)</f>
        <v>-18383814.205934521</v>
      </c>
      <c r="GH75">
        <f>IF(BJ75&lt;&gt;-999,BJ75*$GF75, -999)</f>
        <v>-218617991.16736612</v>
      </c>
      <c r="GI75" s="29">
        <f>IF(BK75&lt;&gt;-999,BK75*$GF75, -999)</f>
        <v>-237001803.56749749</v>
      </c>
      <c r="GJ75" s="30">
        <f t="shared" si="64"/>
        <v>-26615633.615671396</v>
      </c>
    </row>
    <row r="76" spans="1:192">
      <c r="A76" s="48" t="s">
        <v>142</v>
      </c>
      <c r="B76" s="48" t="s">
        <v>214</v>
      </c>
      <c r="C76" s="49">
        <v>93</v>
      </c>
      <c r="D76" s="50">
        <v>0.81899999999999995</v>
      </c>
      <c r="E76" s="49">
        <v>127.83831142801699</v>
      </c>
      <c r="F76" s="49">
        <v>0.79008802294347502</v>
      </c>
      <c r="G76" s="49">
        <v>103.627326214457</v>
      </c>
      <c r="H76" s="49">
        <v>0.81609625454322698</v>
      </c>
      <c r="I76" s="42">
        <v>4824.3</v>
      </c>
      <c r="J76" s="43">
        <v>21262.6</v>
      </c>
      <c r="K76" s="43">
        <f t="shared" si="39"/>
        <v>26086.899999999998</v>
      </c>
      <c r="L76" s="43">
        <v>3079.1</v>
      </c>
      <c r="M76" s="43">
        <v>13571</v>
      </c>
      <c r="N76" s="43">
        <f t="shared" si="40"/>
        <v>16650.099999999999</v>
      </c>
      <c r="O76" s="43">
        <v>9437.7999999999993</v>
      </c>
      <c r="P76" s="43">
        <v>41596.199999999997</v>
      </c>
      <c r="Q76" s="43">
        <f t="shared" si="41"/>
        <v>51034</v>
      </c>
      <c r="R76" s="43">
        <v>2198.5</v>
      </c>
      <c r="S76" s="43">
        <v>9689.6</v>
      </c>
      <c r="T76" s="43">
        <f t="shared" si="42"/>
        <v>11888.1</v>
      </c>
      <c r="U76" s="43">
        <v>1403.2</v>
      </c>
      <c r="V76" s="43">
        <v>6184.4</v>
      </c>
      <c r="W76" s="43">
        <f t="shared" si="43"/>
        <v>7587.5999999999995</v>
      </c>
      <c r="X76" s="43">
        <v>4300.8999999999996</v>
      </c>
      <c r="Y76" s="43">
        <v>18955.8</v>
      </c>
      <c r="Z76" s="43">
        <f t="shared" si="44"/>
        <v>23256.699999999997</v>
      </c>
      <c r="AA76" s="22">
        <v>18376</v>
      </c>
      <c r="AB76">
        <v>78374.600000000006</v>
      </c>
      <c r="AC76">
        <v>96750.6</v>
      </c>
      <c r="AD76">
        <v>11728.6</v>
      </c>
      <c r="AE76">
        <v>50023.1</v>
      </c>
      <c r="AF76">
        <v>61751.7</v>
      </c>
      <c r="AG76">
        <v>35949.199999999997</v>
      </c>
      <c r="AH76">
        <v>153324.9</v>
      </c>
      <c r="AI76">
        <v>189274.1</v>
      </c>
      <c r="AJ76">
        <v>8374.1</v>
      </c>
      <c r="AK76">
        <v>35716.1</v>
      </c>
      <c r="AL76">
        <v>44090.2</v>
      </c>
      <c r="AM76">
        <v>5344.9</v>
      </c>
      <c r="AN76">
        <v>22796</v>
      </c>
      <c r="AO76">
        <v>28140.9</v>
      </c>
      <c r="AP76">
        <v>16382.4</v>
      </c>
      <c r="AQ76">
        <v>69871.7</v>
      </c>
      <c r="AR76">
        <v>86254.1</v>
      </c>
      <c r="AS76">
        <v>506261.51</v>
      </c>
      <c r="AT76" s="22">
        <f t="shared" si="72"/>
        <v>30590.241912599999</v>
      </c>
      <c r="AU76">
        <f t="shared" si="72"/>
        <v>130468.979854335</v>
      </c>
      <c r="AV76">
        <f t="shared" si="72"/>
        <v>161059.22176693499</v>
      </c>
      <c r="AW76">
        <f t="shared" si="72"/>
        <v>19524.418333484999</v>
      </c>
      <c r="AX76">
        <f t="shared" si="72"/>
        <v>83272.677961372508</v>
      </c>
      <c r="AY76">
        <f t="shared" si="72"/>
        <v>102797.09629485749</v>
      </c>
      <c r="AZ76">
        <f t="shared" si="72"/>
        <v>59844.075128669996</v>
      </c>
      <c r="BA76">
        <f t="shared" si="72"/>
        <v>255237.58066092746</v>
      </c>
      <c r="BB76">
        <f t="shared" si="72"/>
        <v>315081.65578959754</v>
      </c>
      <c r="BC76">
        <f t="shared" si="72"/>
        <v>13940.2342620975</v>
      </c>
      <c r="BD76">
        <f t="shared" si="72"/>
        <v>59456.0371775475</v>
      </c>
      <c r="BE76">
        <f t="shared" si="72"/>
        <v>73396.271439644988</v>
      </c>
      <c r="BF76">
        <f t="shared" si="72"/>
        <v>8897.5720504274996</v>
      </c>
      <c r="BG76">
        <f t="shared" si="65"/>
        <v>37948.147292099995</v>
      </c>
      <c r="BH76">
        <f t="shared" si="65"/>
        <v>46845.719342527504</v>
      </c>
      <c r="BI76">
        <f t="shared" si="65"/>
        <v>27271.526943239998</v>
      </c>
      <c r="BJ76">
        <f t="shared" si="38"/>
        <v>116314.3342318575</v>
      </c>
      <c r="BK76">
        <f t="shared" si="38"/>
        <v>143585.86117509753</v>
      </c>
      <c r="BL76">
        <f t="shared" si="38"/>
        <v>842765.67598705727</v>
      </c>
      <c r="BM76" s="22">
        <f>-17.17-(0.1023*E76)+F76*(100-8.576-13.681)</f>
        <v>31.175953908608442</v>
      </c>
      <c r="BN76">
        <f>IF(AT76&lt;&gt;-999,AT76*$BM76, -999)</f>
        <v>953679.97192039969</v>
      </c>
      <c r="BO76">
        <f>IF(AU76&lt;&gt;-999,AU76*$BM76, -999)</f>
        <v>4067494.9024419114</v>
      </c>
      <c r="BP76" s="25">
        <f>IF(AV76&lt;&gt;-999,AV76*$BM76, -999)</f>
        <v>5021174.8743623104</v>
      </c>
      <c r="BQ76">
        <f>-19.943-(0.1023*E76)+F76*(100-8.576-13.681)</f>
        <v>28.402953908608445</v>
      </c>
      <c r="BR76">
        <f>IF(AW76&lt;&gt;-999,AW76*$BQ76, -999)</f>
        <v>554551.15401836415</v>
      </c>
      <c r="BS76">
        <f>IF(AX76&lt;&gt;-999,AX76*$BQ76, -999)</f>
        <v>2365190.0339832576</v>
      </c>
      <c r="BT76" s="25">
        <f>IF(AY76&lt;&gt;-999,AY76*$BQ76, -999)</f>
        <v>2919741.188001621</v>
      </c>
      <c r="BU76">
        <f>-25.871-(0.1023*E76)+F76*(100-8.576-13.681)</f>
        <v>22.474953908608448</v>
      </c>
      <c r="BV76">
        <f>IF(AZ76&lt;&gt;-999,AZ76*$BU76, -999)</f>
        <v>1344992.8302201594</v>
      </c>
      <c r="BW76">
        <f>IF(BA76&lt;&gt;-999,BA76*$BU76, -999)</f>
        <v>5736452.8610990755</v>
      </c>
      <c r="BX76" s="25">
        <f>IF(BB76&lt;&gt;-999,BB76*$BU76, -999)</f>
        <v>7081445.6913192365</v>
      </c>
      <c r="BY76">
        <f>-25.245-(0.1023*E76)+F76*(100-8.576-13.681)</f>
        <v>23.100953908608439</v>
      </c>
      <c r="BZ76">
        <f>IF(BC76&lt;&gt;-999,BC76*$BY76, -999)</f>
        <v>322032.70916391851</v>
      </c>
      <c r="CA76">
        <f>IF(BD76&lt;&gt;-999,BD76*$BY76, -999)</f>
        <v>1373491.1744270346</v>
      </c>
      <c r="CB76" s="25">
        <f>IF(BE76&lt;&gt;-999,BE76*$BY76, -999)</f>
        <v>1695523.8835909527</v>
      </c>
      <c r="CC76">
        <f>-29.317-(0.1023*E76)+F76*(100-8.576-13.681)</f>
        <v>19.028953908608443</v>
      </c>
      <c r="CD76">
        <f>IF(BF76&lt;&gt;-999,BF76*$CC76, -999)</f>
        <v>169311.4884461076</v>
      </c>
      <c r="CE76">
        <f>IF(BG76&lt;&gt;-999,BG76*$CC76, -999)</f>
        <v>722113.54573845514</v>
      </c>
      <c r="CF76" s="25">
        <f>IF(BH76&lt;&gt;-999,BH76*$CC76, -999)</f>
        <v>891425.03418456286</v>
      </c>
      <c r="CG76">
        <f>-38.03-(0.1023*E76)+F76*(100-8.576-13.681)</f>
        <v>10.315953908608442</v>
      </c>
      <c r="CH76">
        <f>IF(BI76&lt;&gt;-999,BI76*$CG76, -999)</f>
        <v>281331.8149638371</v>
      </c>
      <c r="CI76">
        <f>IF(BJ76&lt;&gt;-999,BJ76*$CG76, -999)</f>
        <v>1199893.3108463192</v>
      </c>
      <c r="CJ76" s="25">
        <f>IF(BK76&lt;&gt;-999,BK76*$CG76, -999)</f>
        <v>1481225.1258101566</v>
      </c>
      <c r="CK76" s="26">
        <f t="shared" si="45"/>
        <v>19090535.797268841</v>
      </c>
      <c r="CL76">
        <f t="shared" si="46"/>
        <v>-31.847276358549621</v>
      </c>
      <c r="CM76">
        <f t="shared" si="47"/>
        <v>25.67163125720506</v>
      </c>
      <c r="CN76">
        <f t="shared" si="48"/>
        <v>-88.372623792141965</v>
      </c>
      <c r="CO76" s="22">
        <f t="shared" si="49"/>
        <v>-40.08</v>
      </c>
      <c r="CP76">
        <f>IF(AT76&lt;&gt;-999,AT76*$CO76, -999)</f>
        <v>-1226056.8958570079</v>
      </c>
      <c r="CQ76">
        <f>IF(AU76&lt;&gt;-999,AU76*$CO76, -999)</f>
        <v>-5229196.7125617471</v>
      </c>
      <c r="CR76" s="27">
        <f>IF(AV76&lt;&gt;-999,AV76*$CO76, -999)</f>
        <v>-6455253.6084187543</v>
      </c>
      <c r="CS76">
        <f t="shared" si="50"/>
        <v>-42.853000000000002</v>
      </c>
      <c r="CT76">
        <f>IF(AW76&lt;&gt;-999,AW76*$CS76, -999)</f>
        <v>-836679.89884483267</v>
      </c>
      <c r="CU76">
        <f>IF(AX76&lt;&gt;-999,AX76*$CS76, -999)</f>
        <v>-3568484.0686786962</v>
      </c>
      <c r="CV76" s="27">
        <f>IF(AY76&lt;&gt;-999,AY76*$CS76, -999)</f>
        <v>-4405163.9675235283</v>
      </c>
      <c r="CW76">
        <f t="shared" si="51"/>
        <v>-48.780999999999999</v>
      </c>
      <c r="CX76">
        <f>IF(AZ76&lt;&gt;-999,AZ76*$CO76, -999)</f>
        <v>-2398550.5311570931</v>
      </c>
      <c r="CY76">
        <f>IF(BA76&lt;&gt;-999,BA76*$CO76, -999)</f>
        <v>-10229922.232889973</v>
      </c>
      <c r="CZ76" s="27">
        <f>IF(BB76&lt;&gt;-999,BB76*$CO76, -999)</f>
        <v>-12628472.764047069</v>
      </c>
      <c r="DA76">
        <f t="shared" si="52"/>
        <v>-48.155000000000001</v>
      </c>
      <c r="DB76">
        <f>IF(BC76&lt;&gt;-999,BC76*$DA76, -999)</f>
        <v>-671291.98089130514</v>
      </c>
      <c r="DC76">
        <f>IF(BD76&lt;&gt;-999,BD76*$DA76, -999)</f>
        <v>-2863105.4702848</v>
      </c>
      <c r="DD76" s="27">
        <f>IF(BE76&lt;&gt;-999,BE76*$DA76, -999)</f>
        <v>-3534397.4511761046</v>
      </c>
      <c r="DE76">
        <f t="shared" si="53"/>
        <v>-52.227000000000004</v>
      </c>
      <c r="DF76">
        <f>IF(BF76&lt;&gt;-999,BF76*$DE76, -999)</f>
        <v>-464693.49547767703</v>
      </c>
      <c r="DG76">
        <f>IF(BG76&lt;&gt;-999,BG76*$DE76, -999)</f>
        <v>-1981917.8886245065</v>
      </c>
      <c r="DH76" s="27">
        <f>IF(BH76&lt;&gt;-999,BH76*$DE76, -999)</f>
        <v>-2446611.3841021843</v>
      </c>
      <c r="DI76">
        <f t="shared" si="54"/>
        <v>-60.94</v>
      </c>
      <c r="DJ76">
        <f>IF(BI76&lt;&gt;-999,BI76*$DI76, -999)</f>
        <v>-1661926.8519210455</v>
      </c>
      <c r="DK76">
        <f>IF(BJ76&lt;&gt;-999,BJ76*$DI76, -999)</f>
        <v>-7088195.5280893957</v>
      </c>
      <c r="DL76" s="27">
        <f>IF(BK76&lt;&gt;-999,BK76*$DI76, -999)</f>
        <v>-8750122.3800104428</v>
      </c>
      <c r="DM76" s="28">
        <f t="shared" si="55"/>
        <v>-38220021.555278078</v>
      </c>
      <c r="DN76" s="22">
        <f t="shared" si="56"/>
        <v>-17.170000000000002</v>
      </c>
      <c r="DO76">
        <f>IF(AT76&lt;&gt;-999,AT76*$DN76, -999)</f>
        <v>-525234.45363934198</v>
      </c>
      <c r="DP76">
        <f>IF(AU76&lt;&gt;-999,AU76*$DN76, -999)</f>
        <v>-2240152.3840989321</v>
      </c>
      <c r="DQ76" s="24">
        <f>IF(AV76&lt;&gt;-999,AV76*$DN76, -999)</f>
        <v>-2765386.8377382741</v>
      </c>
      <c r="DR76">
        <f t="shared" si="57"/>
        <v>-19.943000000000001</v>
      </c>
      <c r="DS76">
        <f>IF(AW76&lt;&gt;-999,AW76*$DR76, -999)</f>
        <v>-389375.47482469137</v>
      </c>
      <c r="DT76">
        <f>IF(AX76&lt;&gt;-999,AX76*$DR76, -999)</f>
        <v>-1660707.016583652</v>
      </c>
      <c r="DU76" s="24">
        <f>IF(AY76&lt;&gt;-999,AY76*$DR76, -999)</f>
        <v>-2050082.491408343</v>
      </c>
      <c r="DV76">
        <f t="shared" si="58"/>
        <v>-25.870999999999999</v>
      </c>
      <c r="DW76">
        <f>IF(AZ76&lt;&gt;-999,AZ76*$DV76, -999)</f>
        <v>-1548226.0676538213</v>
      </c>
      <c r="DX76">
        <f>IF(BA76&lt;&gt;-999,BA76*$DV76, -999)</f>
        <v>-6603251.4492788538</v>
      </c>
      <c r="DY76" s="24">
        <f>IF(BB76&lt;&gt;-999,BB76*$DV76, -999)</f>
        <v>-8151477.5169326775</v>
      </c>
      <c r="DZ76">
        <f t="shared" si="59"/>
        <v>-25.245000000000001</v>
      </c>
      <c r="EA76">
        <f>IF(BC76&lt;&gt;-999, BC76*$DZ76, -999)</f>
        <v>-351921.21394665138</v>
      </c>
      <c r="EB76">
        <f>IF(BD76&lt;&gt;-999, BD76*$DZ76, -999)</f>
        <v>-1500967.6585471868</v>
      </c>
      <c r="EC76" s="24">
        <f>IF(BE76&lt;&gt;-999, BE76*$DZ76, -999)</f>
        <v>-1852888.8724938377</v>
      </c>
      <c r="ED76">
        <f t="shared" si="60"/>
        <v>-29.317</v>
      </c>
      <c r="EE76">
        <f>IF(BF76&lt;&gt;-999,BF76*$ED76, -999)</f>
        <v>-260850.11980238301</v>
      </c>
      <c r="EF76">
        <f>IF(BG76&lt;&gt;-999,BG76*$ED76, -999)</f>
        <v>-1112525.8341624956</v>
      </c>
      <c r="EG76" s="24">
        <f>IF(BH76&lt;&gt;-999,BH76*$ED76, -999)</f>
        <v>-1373375.9539648788</v>
      </c>
      <c r="EH76">
        <f t="shared" si="61"/>
        <v>-38.03</v>
      </c>
      <c r="EI76">
        <f>IF(BI76&lt;&gt;-999,BI76*$EH76, -999)</f>
        <v>-1037136.1696514172</v>
      </c>
      <c r="EJ76">
        <f>IF(BJ76&lt;&gt;-999,BJ76*$EH76, -999)</f>
        <v>-4423434.1308375411</v>
      </c>
      <c r="EK76" s="24">
        <f>IF(BK76&lt;&gt;-999,BK76*$EH76, -999)</f>
        <v>-5460570.3004889591</v>
      </c>
      <c r="EL76" s="28">
        <f t="shared" si="62"/>
        <v>-21653781.973026969</v>
      </c>
      <c r="EM76" s="22">
        <f>-17.17-(0.1023*G76)+H76*(100+102.093-66.644-64.243)</f>
        <v>30.339874429266082</v>
      </c>
      <c r="EN76">
        <f>IF(AT76&lt;&gt;-999,AT76*$EM76, -999)</f>
        <v>928104.09838915628</v>
      </c>
      <c r="EO76">
        <f>IF(AU76&lt;&gt;-999,AU76*$EM76, -999)</f>
        <v>3958412.4656949705</v>
      </c>
      <c r="EP76" s="23">
        <f>IF(AV76&lt;&gt;-999,AV76*$EM76, -999)</f>
        <v>4886516.5640841266</v>
      </c>
      <c r="EQ76">
        <f>-19.943-(0.1023*G76)+H76*(100+102.093-66.644-64.243)</f>
        <v>27.566874429266083</v>
      </c>
      <c r="ER76">
        <f>IF(AW76&lt;&gt;-999,AW76*$EQ76, -999)</f>
        <v>538227.18850364152</v>
      </c>
      <c r="ES76">
        <f>IF(AX76&lt;&gt;-999,AX76*$EQ76, -999)</f>
        <v>2295567.456749869</v>
      </c>
      <c r="ET76" s="23">
        <f>IF(AY76&lt;&gt;-999,AY76*$EQ76, -999)</f>
        <v>2833794.6452535102</v>
      </c>
      <c r="EU76">
        <f>-25.871-(0.1023*G76)+H76*(100+102.093-66.644-64.243)</f>
        <v>21.638874429266089</v>
      </c>
      <c r="EV76">
        <f>IF(AZ76&lt;&gt;-999,AZ76*$EU76, -999)</f>
        <v>1294958.4270448559</v>
      </c>
      <c r="EW76">
        <f>IF(BA76&lt;&gt;-999,BA76*$EU76, -999)</f>
        <v>5523053.957551484</v>
      </c>
      <c r="EX76" s="23">
        <f>IF(BB76&lt;&gt;-999,BB76*$EU76, -999)</f>
        <v>6818012.3845963422</v>
      </c>
      <c r="EY76">
        <f>-25.245-(0.1023*G76)+H76*(100+102.093-66.644-64.243)</f>
        <v>22.264874429266079</v>
      </c>
      <c r="EZ76">
        <f>IF(BC76&lt;&gt;-999, BC76*$EY76, -999)</f>
        <v>310377.5653601535</v>
      </c>
      <c r="FA76">
        <f>IF(BD76&lt;&gt;-999, BD76*$EY76, -999)</f>
        <v>1323781.2018198706</v>
      </c>
      <c r="FB76" s="23">
        <f>IF(BE76&lt;&gt;-999, BE76*$EY76, -999)</f>
        <v>1634158.7671800239</v>
      </c>
      <c r="FC76">
        <f>-29.317-(0.1023*G76)+H76*(100+102.093-66.644-64.243)</f>
        <v>18.192874429266084</v>
      </c>
      <c r="FD76">
        <f>IF(BF76&lt;&gt;-999,BF76*$FC76, -999)</f>
        <v>161872.41103877506</v>
      </c>
      <c r="FE76">
        <f>IF(BG76&lt;&gt;-999,BG76*$FC76, -999)</f>
        <v>690385.87850846897</v>
      </c>
      <c r="FF76" s="23">
        <f>IF(BH76&lt;&gt;-999,BH76*$FC76, -999)</f>
        <v>852258.2895472442</v>
      </c>
      <c r="FG76">
        <f>-38.03-(0.1023*G76)+H76*(100+102.093-66.644-64.243)</f>
        <v>9.4798744292660828</v>
      </c>
      <c r="FH76">
        <f>IF(BI76&lt;&gt;-999,BI76*$FG76, -999)</f>
        <v>258530.65091626189</v>
      </c>
      <c r="FI76">
        <f>IF(BJ76&lt;&gt;-999,BJ76*$FG76, -999)</f>
        <v>1102645.2828416945</v>
      </c>
      <c r="FJ76" s="23">
        <f>IF(BK76&lt;&gt;-999,BK76*$FG76, -999)</f>
        <v>1361175.9337579566</v>
      </c>
      <c r="FK76" s="28">
        <f t="shared" si="63"/>
        <v>18385916.584419206</v>
      </c>
      <c r="FL76" s="22">
        <f t="shared" si="66"/>
        <v>10.012280000000011</v>
      </c>
      <c r="FM76">
        <f>IF(AT76&lt;&gt;-999,AT76*$FL76, -999)</f>
        <v>306278.06729668705</v>
      </c>
      <c r="FN76">
        <f>IF(AU76&lt;&gt;-999,AU76*$FL76, -999)</f>
        <v>1306291.9576159627</v>
      </c>
      <c r="FO76" s="29">
        <f>IF(AV76&lt;&gt;-999,AV76*$FL76, -999)</f>
        <v>1612570.0249126498</v>
      </c>
      <c r="FP76">
        <f t="shared" si="67"/>
        <v>7.2392800000000115</v>
      </c>
      <c r="FQ76">
        <f>IF(AW76&lt;&gt;-999,AW76*$FP76, -999)</f>
        <v>141342.73115323149</v>
      </c>
      <c r="FR76">
        <f>IF(AX76&lt;&gt;-999,AX76*$FP76, -999)</f>
        <v>602834.2321122057</v>
      </c>
      <c r="FS76" s="29">
        <f>IF(AY76&lt;&gt;-999,AY76*$FP76, -999)</f>
        <v>744176.96326543705</v>
      </c>
      <c r="FT76">
        <f t="shared" si="68"/>
        <v>1.3112800000000142</v>
      </c>
      <c r="FU76">
        <f>IF(AZ76&lt;&gt;-999,AZ76*$FT76, -999)</f>
        <v>78472.338834723239</v>
      </c>
      <c r="FV76">
        <f>IF(BA76&lt;&gt;-999,BA76*$FT76, -999)</f>
        <v>334687.9347690646</v>
      </c>
      <c r="FW76" s="29">
        <f>IF(BB76&lt;&gt;-999,BB76*$FT76, -999)</f>
        <v>413160.27360378794</v>
      </c>
      <c r="FX76">
        <f t="shared" si="69"/>
        <v>1.9372800000000119</v>
      </c>
      <c r="FY76">
        <f>IF(BC76&lt;&gt;-999, BC76*$FX76, -999)</f>
        <v>27006.137031276408</v>
      </c>
      <c r="FZ76">
        <f>IF(BD76&lt;&gt;-999, BD76*$FX76, -999)</f>
        <v>115182.99170331993</v>
      </c>
      <c r="GA76" s="29">
        <f>IF(BE76&lt;&gt;-999, BE76*$FX76, -999)</f>
        <v>142189.12873459631</v>
      </c>
      <c r="GB76">
        <f t="shared" si="70"/>
        <v>-2.1347199999999873</v>
      </c>
      <c r="GC76">
        <f>IF(BF76&lt;&gt;-999,BF76*$GB76, -999)</f>
        <v>-18993.825007488478</v>
      </c>
      <c r="GD76">
        <f>IF(BG76&lt;&gt;-999,BG76*$GB76, -999)</f>
        <v>-81008.668987391226</v>
      </c>
      <c r="GE76" s="29">
        <f>IF(BH76&lt;&gt;-999,BH76*$GB76, -999)</f>
        <v>-100002.49399487971</v>
      </c>
      <c r="GF76">
        <f t="shared" si="71"/>
        <v>-10.847719999999988</v>
      </c>
      <c r="GG76">
        <f>IF(BI76&lt;&gt;-999,BI76*$GF76, -999)</f>
        <v>-295833.88825272309</v>
      </c>
      <c r="GH76">
        <f>IF(BJ76&lt;&gt;-999,BJ76*$GF76, -999)</f>
        <v>-1261745.3297336039</v>
      </c>
      <c r="GI76" s="29">
        <f>IF(BK76&lt;&gt;-999,BK76*$GF76, -999)</f>
        <v>-1557579.2179863271</v>
      </c>
      <c r="GJ76" s="30">
        <f t="shared" si="64"/>
        <v>1254514.6785352645</v>
      </c>
    </row>
    <row r="77" spans="1:192">
      <c r="A77" s="49" t="s">
        <v>153</v>
      </c>
      <c r="B77" s="49" t="s">
        <v>215</v>
      </c>
      <c r="C77" s="49">
        <v>10</v>
      </c>
      <c r="D77" s="50">
        <v>0.81499999999999995</v>
      </c>
      <c r="E77" s="49">
        <v>156.23593566267601</v>
      </c>
      <c r="F77" s="49">
        <v>0.78422150183806805</v>
      </c>
      <c r="G77" s="49">
        <v>168.01719324687201</v>
      </c>
      <c r="H77" s="49">
        <v>0.811207483169882</v>
      </c>
      <c r="I77" s="42">
        <v>48304.2</v>
      </c>
      <c r="J77" s="43">
        <v>116658</v>
      </c>
      <c r="K77" s="43">
        <f t="shared" si="39"/>
        <v>164962.20000000001</v>
      </c>
      <c r="L77" s="43">
        <v>22771.9</v>
      </c>
      <c r="M77" s="43">
        <v>54995.7</v>
      </c>
      <c r="N77" s="43">
        <f t="shared" si="40"/>
        <v>77767.600000000006</v>
      </c>
      <c r="O77" s="43">
        <v>40626.9</v>
      </c>
      <c r="P77" s="43">
        <v>98116.7</v>
      </c>
      <c r="Q77" s="43">
        <f t="shared" si="41"/>
        <v>138743.6</v>
      </c>
      <c r="R77" s="43">
        <v>13152.4</v>
      </c>
      <c r="S77" s="43">
        <v>31764</v>
      </c>
      <c r="T77" s="43">
        <f t="shared" si="42"/>
        <v>44916.4</v>
      </c>
      <c r="U77" s="43">
        <v>6200.4</v>
      </c>
      <c r="V77" s="43">
        <v>14974.4</v>
      </c>
      <c r="W77" s="43">
        <f t="shared" si="43"/>
        <v>21174.799999999999</v>
      </c>
      <c r="X77" s="43">
        <v>11062</v>
      </c>
      <c r="Y77" s="43">
        <v>26715.5</v>
      </c>
      <c r="Z77" s="43">
        <f t="shared" si="44"/>
        <v>37777.5</v>
      </c>
      <c r="AA77" s="22">
        <v>1474060.9</v>
      </c>
      <c r="AB77">
        <v>2104470.4</v>
      </c>
      <c r="AC77">
        <v>3578531.3</v>
      </c>
      <c r="AD77">
        <v>694911.8</v>
      </c>
      <c r="AE77">
        <v>992103.7</v>
      </c>
      <c r="AF77">
        <v>1687015.5</v>
      </c>
      <c r="AG77">
        <v>1239776.8999999999</v>
      </c>
      <c r="AH77">
        <v>1769990.5</v>
      </c>
      <c r="AI77">
        <v>3009767.4</v>
      </c>
      <c r="AJ77">
        <v>401362.3</v>
      </c>
      <c r="AK77">
        <v>573012.4</v>
      </c>
      <c r="AL77">
        <v>974374.7</v>
      </c>
      <c r="AM77">
        <v>189213</v>
      </c>
      <c r="AN77">
        <v>270133.40000000002</v>
      </c>
      <c r="AO77">
        <v>459346.3</v>
      </c>
      <c r="AP77">
        <v>337570.7</v>
      </c>
      <c r="AQ77">
        <v>481939</v>
      </c>
      <c r="AR77">
        <v>819509.7</v>
      </c>
      <c r="AS77">
        <v>10528544.84</v>
      </c>
      <c r="AT77" s="22">
        <f t="shared" si="72"/>
        <v>2453846.2954345276</v>
      </c>
      <c r="AU77">
        <f t="shared" si="72"/>
        <v>3503279.2029770399</v>
      </c>
      <c r="AV77">
        <f t="shared" si="72"/>
        <v>5957125.498411567</v>
      </c>
      <c r="AW77">
        <f t="shared" si="72"/>
        <v>1156808.8849543051</v>
      </c>
      <c r="AX77">
        <f t="shared" si="72"/>
        <v>1651539.6269800575</v>
      </c>
      <c r="AY77">
        <f t="shared" si="72"/>
        <v>2808348.5119343624</v>
      </c>
      <c r="AZ77">
        <f t="shared" si="72"/>
        <v>2063837.3578936271</v>
      </c>
      <c r="BA77">
        <f t="shared" si="72"/>
        <v>2946475.7062474876</v>
      </c>
      <c r="BB77">
        <f t="shared" si="72"/>
        <v>5010313.0641411142</v>
      </c>
      <c r="BC77">
        <f t="shared" si="72"/>
        <v>668141.58966029249</v>
      </c>
      <c r="BD77">
        <f t="shared" si="72"/>
        <v>953884.84626249003</v>
      </c>
      <c r="BE77">
        <f t="shared" si="72"/>
        <v>1622026.4359227824</v>
      </c>
      <c r="BF77">
        <f t="shared" si="72"/>
        <v>314979.94356817502</v>
      </c>
      <c r="BG77">
        <f t="shared" si="65"/>
        <v>449686.87715896504</v>
      </c>
      <c r="BH77">
        <f t="shared" si="65"/>
        <v>764666.6542586924</v>
      </c>
      <c r="BI77">
        <f t="shared" si="65"/>
        <v>561948.70350488252</v>
      </c>
      <c r="BJ77">
        <f t="shared" si="38"/>
        <v>802276.37119702494</v>
      </c>
      <c r="BK77">
        <f t="shared" si="38"/>
        <v>1364225.0747019076</v>
      </c>
      <c r="BL77">
        <f t="shared" si="38"/>
        <v>17526705.13948936</v>
      </c>
      <c r="BM77" s="22">
        <f>-17.17-(0.1023*E77)+F77*(100-8.576-13.681)</f>
        <v>27.814795999105172</v>
      </c>
      <c r="BN77">
        <f>IF(AT77&lt;&gt;-999,AT77*$BM77, -999)</f>
        <v>68253234.120671347</v>
      </c>
      <c r="BO77">
        <f>IF(AU77&lt;&gt;-999,AU77*$BM77, -999)</f>
        <v>97442996.358714119</v>
      </c>
      <c r="BP77" s="25">
        <f>IF(AV77&lt;&gt;-999,AV77*$BM77, -999)</f>
        <v>165696230.47938547</v>
      </c>
      <c r="BQ77">
        <f>-19.943-(0.1023*E77)+F77*(100-8.576-13.681)</f>
        <v>25.041795999105169</v>
      </c>
      <c r="BR77">
        <f>IF(AW77&lt;&gt;-999,AW77*$BQ77, -999)</f>
        <v>28968572.106978029</v>
      </c>
      <c r="BS77">
        <f>IF(AX77&lt;&gt;-999,AX77*$BQ77, -999)</f>
        <v>41357518.423272848</v>
      </c>
      <c r="BT77" s="25">
        <f>IF(AY77&lt;&gt;-999,AY77*$BQ77, -999)</f>
        <v>70326090.530250862</v>
      </c>
      <c r="BU77">
        <f>-25.871-(0.1023*E77)+F77*(100-8.576-13.681)</f>
        <v>19.113795999105172</v>
      </c>
      <c r="BV77">
        <f>IF(AZ77&lt;&gt;-999,AZ77*$BU77, -999)</f>
        <v>39447766.234110996</v>
      </c>
      <c r="BW77">
        <f>IF(BA77&lt;&gt;-999,BA77*$BU77, -999)</f>
        <v>56318335.565533809</v>
      </c>
      <c r="BX77" s="25">
        <f>IF(BB77&lt;&gt;-999,BB77*$BU77, -999)</f>
        <v>95766101.799644798</v>
      </c>
      <c r="BY77">
        <f>-25.245-(0.1023*E77)+F77*(100-8.576-13.681)</f>
        <v>19.739795999105169</v>
      </c>
      <c r="BZ77">
        <f>IF(BC77&lt;&gt;-999,BC77*$BY77, -999)</f>
        <v>13188978.678412009</v>
      </c>
      <c r="CA77">
        <f>IF(BD77&lt;&gt;-999,BD77*$BY77, -999)</f>
        <v>18829492.271859352</v>
      </c>
      <c r="CB77" s="25">
        <f>IF(BE77&lt;&gt;-999,BE77*$BY77, -999)</f>
        <v>32018470.950271357</v>
      </c>
      <c r="CC77">
        <f>-29.317-(0.1023*E77)+F77*(100-8.576-13.681)</f>
        <v>15.667795999105174</v>
      </c>
      <c r="CD77">
        <f>IF(BF77&lt;&gt;-999,BF77*$CC77, -999)</f>
        <v>4935041.4996358259</v>
      </c>
      <c r="CE77">
        <f>IF(BG77&lt;&gt;-999,BG77*$CC77, -999)</f>
        <v>7045602.254801332</v>
      </c>
      <c r="CF77" s="25">
        <f>IF(BH77&lt;&gt;-999,BH77*$CC77, -999)</f>
        <v>11980641.146243479</v>
      </c>
      <c r="CG77">
        <f>-38.03-(0.1023*E77)+F77*(100-8.576-13.681)</f>
        <v>6.9547959991051727</v>
      </c>
      <c r="CH77">
        <f>IF(BI77&lt;&gt;-999,BI77*$CG77, -999)</f>
        <v>3908238.5948380958</v>
      </c>
      <c r="CI77">
        <f>IF(BJ77&lt;&gt;-999,BJ77*$CG77, -999)</f>
        <v>5579668.4965776857</v>
      </c>
      <c r="CJ77" s="25">
        <f>IF(BK77&lt;&gt;-999,BK77*$CG77, -999)</f>
        <v>9487907.0914157815</v>
      </c>
      <c r="CK77" s="26">
        <f t="shared" si="45"/>
        <v>385275441.99721169</v>
      </c>
      <c r="CL77">
        <f t="shared" si="46"/>
        <v>-28.547605189128234</v>
      </c>
      <c r="CM77">
        <f t="shared" si="47"/>
        <v>29.401583775323076</v>
      </c>
      <c r="CN77">
        <f t="shared" si="48"/>
        <v>-85.495801451696067</v>
      </c>
      <c r="CO77" s="22">
        <f t="shared" si="49"/>
        <v>-40.08</v>
      </c>
      <c r="CP77">
        <f>IF(AT77&lt;&gt;-999,AT77*$CO77, -999)</f>
        <v>-98350159.521015868</v>
      </c>
      <c r="CQ77">
        <f>IF(AU77&lt;&gt;-999,AU77*$CO77, -999)</f>
        <v>-140411430.45531976</v>
      </c>
      <c r="CR77" s="27">
        <f>IF(AV77&lt;&gt;-999,AV77*$CO77, -999)</f>
        <v>-238761589.97633559</v>
      </c>
      <c r="CS77">
        <f t="shared" si="50"/>
        <v>-42.853000000000002</v>
      </c>
      <c r="CT77">
        <f>IF(AW77&lt;&gt;-999,AW77*$CS77, -999)</f>
        <v>-49572731.14694684</v>
      </c>
      <c r="CU77">
        <f>IF(AX77&lt;&gt;-999,AX77*$CS77, -999)</f>
        <v>-70773427.634976402</v>
      </c>
      <c r="CV77" s="27">
        <f>IF(AY77&lt;&gt;-999,AY77*$CS77, -999)</f>
        <v>-120346158.78192323</v>
      </c>
      <c r="CW77">
        <f t="shared" si="51"/>
        <v>-48.780999999999999</v>
      </c>
      <c r="CX77">
        <f>IF(AZ77&lt;&gt;-999,AZ77*$CO77, -999)</f>
        <v>-82718601.304376572</v>
      </c>
      <c r="CY77">
        <f>IF(BA77&lt;&gt;-999,BA77*$CO77, -999)</f>
        <v>-118094746.3063993</v>
      </c>
      <c r="CZ77" s="27">
        <f>IF(BB77&lt;&gt;-999,BB77*$CO77, -999)</f>
        <v>-200813347.61077586</v>
      </c>
      <c r="DA77">
        <f t="shared" si="52"/>
        <v>-48.155000000000001</v>
      </c>
      <c r="DB77">
        <f>IF(BC77&lt;&gt;-999,BC77*$DA77, -999)</f>
        <v>-32174358.250091385</v>
      </c>
      <c r="DC77">
        <f>IF(BD77&lt;&gt;-999,BD77*$DA77, -999)</f>
        <v>-45934324.771770209</v>
      </c>
      <c r="DD77" s="27">
        <f>IF(BE77&lt;&gt;-999,BE77*$DA77, -999)</f>
        <v>-78108683.021861583</v>
      </c>
      <c r="DE77">
        <f t="shared" si="53"/>
        <v>-52.227000000000004</v>
      </c>
      <c r="DF77">
        <f>IF(BF77&lt;&gt;-999,BF77*$DE77, -999)</f>
        <v>-16450457.512735078</v>
      </c>
      <c r="DG77">
        <f>IF(BG77&lt;&gt;-999,BG77*$DE77, -999)</f>
        <v>-23485796.533381268</v>
      </c>
      <c r="DH77" s="27">
        <f>IF(BH77&lt;&gt;-999,BH77*$DE77, -999)</f>
        <v>-39936245.351968728</v>
      </c>
      <c r="DI77">
        <f t="shared" si="54"/>
        <v>-60.94</v>
      </c>
      <c r="DJ77">
        <f>IF(BI77&lt;&gt;-999,BI77*$DI77, -999)</f>
        <v>-34245153.991587542</v>
      </c>
      <c r="DK77">
        <f>IF(BJ77&lt;&gt;-999,BJ77*$DI77, -999)</f>
        <v>-48890722.0607467</v>
      </c>
      <c r="DL77" s="27">
        <f>IF(BK77&lt;&gt;-999,BK77*$DI77, -999)</f>
        <v>-83135876.052334249</v>
      </c>
      <c r="DM77" s="28">
        <f t="shared" si="55"/>
        <v>-761101900.79519916</v>
      </c>
      <c r="DN77" s="22">
        <f t="shared" si="56"/>
        <v>-17.170000000000002</v>
      </c>
      <c r="DO77">
        <f>IF(AT77&lt;&gt;-999,AT77*$DN77, -999)</f>
        <v>-42132540.89261084</v>
      </c>
      <c r="DP77">
        <f>IF(AU77&lt;&gt;-999,AU77*$DN77, -999)</f>
        <v>-60151303.915115781</v>
      </c>
      <c r="DQ77" s="24">
        <f>IF(AV77&lt;&gt;-999,AV77*$DN77, -999)</f>
        <v>-102283844.80772662</v>
      </c>
      <c r="DR77">
        <f t="shared" si="57"/>
        <v>-19.943000000000001</v>
      </c>
      <c r="DS77">
        <f>IF(AW77&lt;&gt;-999,AW77*$DR77, -999)</f>
        <v>-23070239.592643708</v>
      </c>
      <c r="DT77">
        <f>IF(AX77&lt;&gt;-999,AX77*$DR77, -999)</f>
        <v>-32936654.780863289</v>
      </c>
      <c r="DU77" s="24">
        <f>IF(AY77&lt;&gt;-999,AY77*$DR77, -999)</f>
        <v>-56006894.373506993</v>
      </c>
      <c r="DV77">
        <f t="shared" si="58"/>
        <v>-25.870999999999999</v>
      </c>
      <c r="DW77">
        <f>IF(AZ77&lt;&gt;-999,AZ77*$DV77, -999)</f>
        <v>-53393536.286066025</v>
      </c>
      <c r="DX77">
        <f>IF(BA77&lt;&gt;-999,BA77*$DV77, -999)</f>
        <v>-76228272.996328741</v>
      </c>
      <c r="DY77" s="24">
        <f>IF(BB77&lt;&gt;-999,BB77*$DV77, -999)</f>
        <v>-129621809.28239477</v>
      </c>
      <c r="DZ77">
        <f t="shared" si="59"/>
        <v>-25.245000000000001</v>
      </c>
      <c r="EA77">
        <f>IF(BC77&lt;&gt;-999, BC77*$DZ77, -999)</f>
        <v>-16867234.430974085</v>
      </c>
      <c r="EB77">
        <f>IF(BD77&lt;&gt;-999, BD77*$DZ77, -999)</f>
        <v>-24080822.943896562</v>
      </c>
      <c r="EC77" s="24">
        <f>IF(BE77&lt;&gt;-999, BE77*$DZ77, -999)</f>
        <v>-40948057.374870643</v>
      </c>
      <c r="ED77">
        <f t="shared" si="60"/>
        <v>-29.317</v>
      </c>
      <c r="EE77">
        <f>IF(BF77&lt;&gt;-999,BF77*$ED77, -999)</f>
        <v>-9234267.0055881869</v>
      </c>
      <c r="EF77">
        <f>IF(BG77&lt;&gt;-999,BG77*$ED77, -999)</f>
        <v>-13183470.177669378</v>
      </c>
      <c r="EG77" s="24">
        <f>IF(BH77&lt;&gt;-999,BH77*$ED77, -999)</f>
        <v>-22417732.302902084</v>
      </c>
      <c r="EH77">
        <f t="shared" si="61"/>
        <v>-38.03</v>
      </c>
      <c r="EI77">
        <f>IF(BI77&lt;&gt;-999,BI77*$EH77, -999)</f>
        <v>-21370909.194290683</v>
      </c>
      <c r="EJ77">
        <f>IF(BJ77&lt;&gt;-999,BJ77*$EH77, -999)</f>
        <v>-30510570.396622859</v>
      </c>
      <c r="EK77" s="24">
        <f>IF(BK77&lt;&gt;-999,BK77*$EH77, -999)</f>
        <v>-51881479.590913549</v>
      </c>
      <c r="EL77" s="28">
        <f t="shared" si="62"/>
        <v>-403159817.73231471</v>
      </c>
      <c r="EM77" s="22">
        <f>-17.17-(0.1023*G77)+H77*(100+102.093-66.644-64.243)</f>
        <v>23.404681177439628</v>
      </c>
      <c r="EN77">
        <f>IF(AT77&lt;&gt;-999,AT77*$EM77, -999)</f>
        <v>57431490.203086443</v>
      </c>
      <c r="EO77">
        <f>IF(AU77&lt;&gt;-999,AU77*$EM77, -999)</f>
        <v>81993132.821232423</v>
      </c>
      <c r="EP77" s="23">
        <f>IF(AV77&lt;&gt;-999,AV77*$EM77, -999)</f>
        <v>139424623.02431887</v>
      </c>
      <c r="EQ77">
        <f>-19.943-(0.1023*G77)+H77*(100+102.093-66.644-64.243)</f>
        <v>20.631681177439624</v>
      </c>
      <c r="ER77">
        <f>IF(AW77&lt;&gt;-999,AW77*$EQ77, -999)</f>
        <v>23866912.097606655</v>
      </c>
      <c r="ES77">
        <f>IF(AX77&lt;&gt;-999,AX77*$EQ77, -999)</f>
        <v>34074039.035760112</v>
      </c>
      <c r="ET77" s="23">
        <f>IF(AY77&lt;&gt;-999,AY77*$EQ77, -999)</f>
        <v>57940951.133366764</v>
      </c>
      <c r="EU77">
        <f>-25.871-(0.1023*G77)+H77*(100+102.093-66.644-64.243)</f>
        <v>14.703681177439627</v>
      </c>
      <c r="EV77">
        <f>IF(AZ77&lt;&gt;-999,AZ77*$EU77, -999)</f>
        <v>30346006.512557257</v>
      </c>
      <c r="EW77">
        <f>IF(BA77&lt;&gt;-999,BA77*$EU77, -999)</f>
        <v>43324039.381734312</v>
      </c>
      <c r="EX77" s="23">
        <f>IF(BB77&lt;&gt;-999,BB77*$EU77, -999)</f>
        <v>73670045.894291565</v>
      </c>
      <c r="EY77">
        <f>-25.245-(0.1023*G77)+H77*(100+102.093-66.644-64.243)</f>
        <v>15.329681177439625</v>
      </c>
      <c r="EZ77">
        <f>IF(BC77&lt;&gt;-999, BC77*$EY77, -999)</f>
        <v>10242397.550879976</v>
      </c>
      <c r="FA77">
        <f>IF(BD77&lt;&gt;-999, BD77*$EY77, -999)</f>
        <v>14622750.573194984</v>
      </c>
      <c r="FB77" s="23">
        <f>IF(BE77&lt;&gt;-999, BE77*$EY77, -999)</f>
        <v>24865148.124074958</v>
      </c>
      <c r="FC77">
        <f>-29.317-(0.1023*G77)+H77*(100+102.093-66.644-64.243)</f>
        <v>11.257681177439622</v>
      </c>
      <c r="FD77">
        <f>IF(BF77&lt;&gt;-999,BF77*$FC77, -999)</f>
        <v>3545943.7819784381</v>
      </c>
      <c r="FE77">
        <f>IF(BG77&lt;&gt;-999,BG77*$FC77, -999)</f>
        <v>5062431.4927340839</v>
      </c>
      <c r="FF77" s="23">
        <f>IF(BH77&lt;&gt;-999,BH77*$FC77, -999)</f>
        <v>8608373.4006638117</v>
      </c>
      <c r="FG77">
        <f>-38.03-(0.1023*G77)+H77*(100+102.093-66.644-64.243)</f>
        <v>2.5446811774396281</v>
      </c>
      <c r="FH77">
        <f>IF(BI77&lt;&gt;-999,BI77*$FG77, -999)</f>
        <v>1429980.2884954768</v>
      </c>
      <c r="FI77">
        <f>IF(BJ77&lt;&gt;-999,BJ77*$FG77, -999)</f>
        <v>2041537.5808896376</v>
      </c>
      <c r="FJ77" s="23">
        <f>IF(BK77&lt;&gt;-999,BK77*$FG77, -999)</f>
        <v>3471517.8693851149</v>
      </c>
      <c r="FK77" s="28">
        <f t="shared" si="63"/>
        <v>307980659.44610107</v>
      </c>
      <c r="FL77" s="22">
        <f t="shared" si="66"/>
        <v>10.012280000000011</v>
      </c>
      <c r="FM77">
        <f>IF(AT77&lt;&gt;-999,AT77*$FL77, -999)</f>
        <v>24568596.186853237</v>
      </c>
      <c r="FN77">
        <f>IF(AU77&lt;&gt;-999,AU77*$FL77, -999)</f>
        <v>35075812.298382998</v>
      </c>
      <c r="FO77" s="29">
        <f>IF(AV77&lt;&gt;-999,AV77*$FL77, -999)</f>
        <v>59644408.485236228</v>
      </c>
      <c r="FP77">
        <f t="shared" si="67"/>
        <v>7.2392800000000115</v>
      </c>
      <c r="FQ77">
        <f>IF(AW77&lt;&gt;-999,AW77*$FP77, -999)</f>
        <v>8374463.424672015</v>
      </c>
      <c r="FR77">
        <f>IF(AX77&lt;&gt;-999,AX77*$FP77, -999)</f>
        <v>11955957.790804209</v>
      </c>
      <c r="FS77" s="29">
        <f>IF(AY77&lt;&gt;-999,AY77*$FP77, -999)</f>
        <v>20330421.215476222</v>
      </c>
      <c r="FT77">
        <f t="shared" si="68"/>
        <v>1.3112800000000142</v>
      </c>
      <c r="FU77">
        <f>IF(AZ77&lt;&gt;-999,AZ77*$FT77, -999)</f>
        <v>2706268.6506587849</v>
      </c>
      <c r="FV77">
        <f>IF(BA77&lt;&gt;-999,BA77*$FT77, -999)</f>
        <v>3863654.6640882473</v>
      </c>
      <c r="FW77" s="29">
        <f>IF(BB77&lt;&gt;-999,BB77*$FT77, -999)</f>
        <v>6569923.3147470318</v>
      </c>
      <c r="FX77">
        <f t="shared" si="69"/>
        <v>1.9372800000000119</v>
      </c>
      <c r="FY77">
        <f>IF(BC77&lt;&gt;-999, BC77*$FX77, -999)</f>
        <v>1294377.3388170993</v>
      </c>
      <c r="FZ77">
        <f>IF(BD77&lt;&gt;-999, BD77*$FX77, -999)</f>
        <v>1847942.034967408</v>
      </c>
      <c r="GA77" s="29">
        <f>IF(BE77&lt;&gt;-999, BE77*$FX77, -999)</f>
        <v>3142319.3737845072</v>
      </c>
      <c r="GB77">
        <f t="shared" si="70"/>
        <v>-2.1347199999999873</v>
      </c>
      <c r="GC77">
        <f>IF(BF77&lt;&gt;-999,BF77*$GB77, -999)</f>
        <v>-672393.9851338506</v>
      </c>
      <c r="GD77">
        <f>IF(BG77&lt;&gt;-999,BG77*$GB77, -999)</f>
        <v>-959955.57040878013</v>
      </c>
      <c r="GE77" s="29">
        <f>IF(BH77&lt;&gt;-999,BH77*$GB77, -999)</f>
        <v>-1632349.2001791061</v>
      </c>
      <c r="GF77">
        <f t="shared" si="71"/>
        <v>-10.847719999999988</v>
      </c>
      <c r="GG77">
        <f>IF(BI77&lt;&gt;-999,BI77*$GF77, -999)</f>
        <v>-6095862.1899839779</v>
      </c>
      <c r="GH77">
        <f>IF(BJ77&lt;&gt;-999,BJ77*$GF77, -999)</f>
        <v>-8702869.4373613819</v>
      </c>
      <c r="GI77" s="29">
        <f>IF(BK77&lt;&gt;-999,BK77*$GF77, -999)</f>
        <v>-14798731.627345361</v>
      </c>
      <c r="GJ77" s="30">
        <f t="shared" si="64"/>
        <v>73255991.561719537</v>
      </c>
    </row>
    <row r="78" spans="1:192">
      <c r="A78" s="48" t="s">
        <v>161</v>
      </c>
      <c r="B78" s="48" t="s">
        <v>216</v>
      </c>
      <c r="C78" s="49">
        <v>78</v>
      </c>
      <c r="D78" s="50">
        <v>0.81499999999999995</v>
      </c>
      <c r="E78" s="49">
        <v>106.508087923929</v>
      </c>
      <c r="F78" s="49">
        <v>0.79291571314745901</v>
      </c>
      <c r="G78" s="49">
        <v>155.08626523112301</v>
      </c>
      <c r="H78" s="49">
        <v>0.81245884101249699</v>
      </c>
      <c r="I78" s="42">
        <v>31430.2</v>
      </c>
      <c r="J78" s="43">
        <v>151479</v>
      </c>
      <c r="K78" s="43">
        <f t="shared" si="39"/>
        <v>182909.2</v>
      </c>
      <c r="L78" s="43">
        <v>14936.7</v>
      </c>
      <c r="M78" s="43">
        <v>71987.8</v>
      </c>
      <c r="N78" s="43">
        <f t="shared" si="40"/>
        <v>86924.5</v>
      </c>
      <c r="O78" s="43">
        <v>64631.8</v>
      </c>
      <c r="P78" s="43">
        <v>311495.09999999998</v>
      </c>
      <c r="Q78" s="43">
        <f t="shared" si="41"/>
        <v>376126.89999999997</v>
      </c>
      <c r="R78" s="43">
        <v>9598.2000000000007</v>
      </c>
      <c r="S78" s="43">
        <v>46259</v>
      </c>
      <c r="T78" s="43">
        <f t="shared" si="42"/>
        <v>55857.2</v>
      </c>
      <c r="U78" s="43">
        <v>4561.3999999999996</v>
      </c>
      <c r="V78" s="43">
        <v>21983.8</v>
      </c>
      <c r="W78" s="43">
        <f t="shared" si="43"/>
        <v>26545.199999999997</v>
      </c>
      <c r="X78" s="43">
        <v>19737.400000000001</v>
      </c>
      <c r="Y78" s="43">
        <v>95125</v>
      </c>
      <c r="Z78" s="43">
        <f t="shared" si="44"/>
        <v>114862.39999999999</v>
      </c>
      <c r="AA78" s="22">
        <v>175212.4</v>
      </c>
      <c r="AB78">
        <v>729354.7</v>
      </c>
      <c r="AC78">
        <v>904567.1</v>
      </c>
      <c r="AD78">
        <v>83266.7</v>
      </c>
      <c r="AE78">
        <v>346613.4</v>
      </c>
      <c r="AF78">
        <v>429880.2</v>
      </c>
      <c r="AG78">
        <v>360299.6</v>
      </c>
      <c r="AH78">
        <v>1499814.7</v>
      </c>
      <c r="AI78">
        <v>1860114.2</v>
      </c>
      <c r="AJ78">
        <v>53506.7</v>
      </c>
      <c r="AK78">
        <v>222731.8</v>
      </c>
      <c r="AL78">
        <v>276238.5</v>
      </c>
      <c r="AM78">
        <v>25428.2</v>
      </c>
      <c r="AN78">
        <v>105849.5</v>
      </c>
      <c r="AO78">
        <v>131277.70000000001</v>
      </c>
      <c r="AP78">
        <v>110029</v>
      </c>
      <c r="AQ78">
        <v>458016.4</v>
      </c>
      <c r="AR78">
        <v>568045.4</v>
      </c>
      <c r="AS78">
        <v>4170123.08</v>
      </c>
      <c r="AT78" s="22">
        <f t="shared" si="72"/>
        <v>291673.36210748996</v>
      </c>
      <c r="AU78">
        <f t="shared" si="72"/>
        <v>1214145.4458582825</v>
      </c>
      <c r="AV78">
        <f t="shared" si="72"/>
        <v>1505818.8079657725</v>
      </c>
      <c r="AW78">
        <f t="shared" si="72"/>
        <v>138612.7827744825</v>
      </c>
      <c r="AX78">
        <f t="shared" si="72"/>
        <v>577001.945806965</v>
      </c>
      <c r="AY78">
        <f t="shared" si="72"/>
        <v>715614.89504989504</v>
      </c>
      <c r="AZ78">
        <f t="shared" si="72"/>
        <v>599785.15046871</v>
      </c>
      <c r="BA78">
        <f t="shared" si="72"/>
        <v>2496718.2464667824</v>
      </c>
      <c r="BB78">
        <f t="shared" si="72"/>
        <v>3096503.2304670452</v>
      </c>
      <c r="BC78">
        <f t="shared" si="72"/>
        <v>89071.772798482489</v>
      </c>
      <c r="BD78">
        <f t="shared" si="72"/>
        <v>370778.16954880493</v>
      </c>
      <c r="BE78">
        <f t="shared" si="72"/>
        <v>459849.94234728749</v>
      </c>
      <c r="BF78">
        <f t="shared" si="72"/>
        <v>42329.929767195004</v>
      </c>
      <c r="BG78">
        <f t="shared" si="65"/>
        <v>176206.01933651249</v>
      </c>
      <c r="BH78">
        <f t="shared" si="65"/>
        <v>218535.94910370753</v>
      </c>
      <c r="BI78">
        <f t="shared" si="65"/>
        <v>183163.568099775</v>
      </c>
      <c r="BJ78">
        <f t="shared" si="38"/>
        <v>762452.79037539009</v>
      </c>
      <c r="BK78">
        <f t="shared" si="38"/>
        <v>945616.35847516498</v>
      </c>
      <c r="BL78">
        <f t="shared" si="38"/>
        <v>6941939.1501151836</v>
      </c>
      <c r="BM78" s="22">
        <f>-17.17-(0.1023*E78)+F78*(100-8.576-13.681)</f>
        <v>33.577868892604975</v>
      </c>
      <c r="BN78">
        <f>IF(AT78&lt;&gt;-999,AT78*$BM78, -999)</f>
        <v>9793769.9123105928</v>
      </c>
      <c r="BO78">
        <f>IF(AU78&lt;&gt;-999,AU78*$BM78, -999)</f>
        <v>40768416.597582825</v>
      </c>
      <c r="BP78" s="25">
        <f>IF(AV78&lt;&gt;-999,AV78*$BM78, -999)</f>
        <v>50562186.509893417</v>
      </c>
      <c r="BQ78">
        <f>-19.943-(0.1023*E78)+F78*(100-8.576-13.681)</f>
        <v>30.804868892604976</v>
      </c>
      <c r="BR78">
        <f>IF(AW78&lt;&gt;-999,AW78*$BQ78, -999)</f>
        <v>4269948.6002070671</v>
      </c>
      <c r="BS78">
        <f>IF(AX78&lt;&gt;-999,AX78*$BQ78, -999)</f>
        <v>17774469.291361518</v>
      </c>
      <c r="BT78" s="25">
        <f>IF(AY78&lt;&gt;-999,AY78*$BQ78, -999)</f>
        <v>22044423.019607287</v>
      </c>
      <c r="BU78">
        <f>-25.871-(0.1023*E78)+F78*(100-8.576-13.681)</f>
        <v>24.876868892604982</v>
      </c>
      <c r="BV78">
        <f>IF(AZ78&lt;&gt;-999,AZ78*$BU78, -999)</f>
        <v>14920776.551941451</v>
      </c>
      <c r="BW78">
        <f>IF(BA78&lt;&gt;-999,BA78*$BU78, -999)</f>
        <v>62110532.479128756</v>
      </c>
      <c r="BX78" s="25">
        <f>IF(BB78&lt;&gt;-999,BB78*$BU78, -999)</f>
        <v>77031304.889856473</v>
      </c>
      <c r="BY78">
        <f>-25.245-(0.1023*E78)+F78*(100-8.576-13.681)</f>
        <v>25.502868892604972</v>
      </c>
      <c r="BZ78">
        <f>IF(BC78&lt;&gt;-999,BC78*$BY78, -999)</f>
        <v>2271585.7437115968</v>
      </c>
      <c r="CA78">
        <f>IF(BD78&lt;&gt;-999,BD78*$BY78, -999)</f>
        <v>9455907.0462432299</v>
      </c>
      <c r="CB78" s="25">
        <f>IF(BE78&lt;&gt;-999,BE78*$BY78, -999)</f>
        <v>11727492.789954828</v>
      </c>
      <c r="CC78">
        <f>-29.317-(0.1023*E78)+F78*(100-8.576-13.681)</f>
        <v>21.430868892604977</v>
      </c>
      <c r="CD78">
        <f>IF(BF78&lt;&gt;-999,BF78*$CC78, -999)</f>
        <v>907167.17507393286</v>
      </c>
      <c r="CE78">
        <f>IF(BG78&lt;&gt;-999,BG78*$CC78, -999)</f>
        <v>3776248.0984886163</v>
      </c>
      <c r="CF78" s="25">
        <f>IF(BH78&lt;&gt;-999,BH78*$CC78, -999)</f>
        <v>4683415.2735625505</v>
      </c>
      <c r="CG78">
        <f>-38.03-(0.1023*E78)+F78*(100-8.576-13.681)</f>
        <v>12.717868892604976</v>
      </c>
      <c r="CH78">
        <f>IF(BI78&lt;&gt;-999,BI78*$CG78, -999)</f>
        <v>2329450.2449946618</v>
      </c>
      <c r="CI78">
        <f>IF(BJ78&lt;&gt;-999,BJ78*$CG78, -999)</f>
        <v>9696774.6247950364</v>
      </c>
      <c r="CJ78" s="25">
        <f>IF(BK78&lt;&gt;-999,BK78*$CG78, -999)</f>
        <v>12026224.869789695</v>
      </c>
      <c r="CK78" s="26">
        <f t="shared" si="45"/>
        <v>178075047.35266426</v>
      </c>
      <c r="CL78">
        <f t="shared" si="46"/>
        <v>-34.406302114466428</v>
      </c>
      <c r="CM78">
        <f t="shared" si="47"/>
        <v>22.907481994574898</v>
      </c>
      <c r="CN78">
        <f t="shared" si="48"/>
        <v>-90.730069268384014</v>
      </c>
      <c r="CO78" s="22">
        <f t="shared" si="49"/>
        <v>-40.08</v>
      </c>
      <c r="CP78">
        <f>IF(AT78&lt;&gt;-999,AT78*$CO78, -999)</f>
        <v>-11690268.353268197</v>
      </c>
      <c r="CQ78">
        <f>IF(AU78&lt;&gt;-999,AU78*$CO78, -999)</f>
        <v>-48662949.469999962</v>
      </c>
      <c r="CR78" s="27">
        <f>IF(AV78&lt;&gt;-999,AV78*$CO78, -999)</f>
        <v>-60353217.82326816</v>
      </c>
      <c r="CS78">
        <f t="shared" si="50"/>
        <v>-42.853000000000002</v>
      </c>
      <c r="CT78">
        <f>IF(AW78&lt;&gt;-999,AW78*$CS78, -999)</f>
        <v>-5939973.5802348992</v>
      </c>
      <c r="CU78">
        <f>IF(AX78&lt;&gt;-999,AX78*$CS78, -999)</f>
        <v>-24726264.383665871</v>
      </c>
      <c r="CV78" s="27">
        <f>IF(AY78&lt;&gt;-999,AY78*$CS78, -999)</f>
        <v>-30666245.097573154</v>
      </c>
      <c r="CW78">
        <f t="shared" si="51"/>
        <v>-48.780999999999999</v>
      </c>
      <c r="CX78">
        <f>IF(AZ78&lt;&gt;-999,AZ78*$CO78, -999)</f>
        <v>-24039388.830785897</v>
      </c>
      <c r="CY78">
        <f>IF(BA78&lt;&gt;-999,BA78*$CO78, -999)</f>
        <v>-100068467.31838864</v>
      </c>
      <c r="CZ78" s="27">
        <f>IF(BB78&lt;&gt;-999,BB78*$CO78, -999)</f>
        <v>-124107849.47711916</v>
      </c>
      <c r="DA78">
        <f t="shared" si="52"/>
        <v>-48.155000000000001</v>
      </c>
      <c r="DB78">
        <f>IF(BC78&lt;&gt;-999,BC78*$DA78, -999)</f>
        <v>-4289251.2191109248</v>
      </c>
      <c r="DC78">
        <f>IF(BD78&lt;&gt;-999,BD78*$DA78, -999)</f>
        <v>-17854822.754622702</v>
      </c>
      <c r="DD78" s="27">
        <f>IF(BE78&lt;&gt;-999,BE78*$DA78, -999)</f>
        <v>-22144073.97373363</v>
      </c>
      <c r="DE78">
        <f t="shared" si="53"/>
        <v>-52.227000000000004</v>
      </c>
      <c r="DF78">
        <f>IF(BF78&lt;&gt;-999,BF78*$DE78, -999)</f>
        <v>-2210765.2419512938</v>
      </c>
      <c r="DG78">
        <f>IF(BG78&lt;&gt;-999,BG78*$DE78, -999)</f>
        <v>-9202711.7718880381</v>
      </c>
      <c r="DH78" s="27">
        <f>IF(BH78&lt;&gt;-999,BH78*$DE78, -999)</f>
        <v>-11413477.013839334</v>
      </c>
      <c r="DI78">
        <f t="shared" si="54"/>
        <v>-60.94</v>
      </c>
      <c r="DJ78">
        <f>IF(BI78&lt;&gt;-999,BI78*$DI78, -999)</f>
        <v>-11161987.840000289</v>
      </c>
      <c r="DK78">
        <f>IF(BJ78&lt;&gt;-999,BJ78*$DI78, -999)</f>
        <v>-46463873.045476273</v>
      </c>
      <c r="DL78" s="27">
        <f>IF(BK78&lt;&gt;-999,BK78*$DI78, -999)</f>
        <v>-57625860.885476552</v>
      </c>
      <c r="DM78" s="28">
        <f t="shared" si="55"/>
        <v>-306310724.27100998</v>
      </c>
      <c r="DN78" s="22">
        <f t="shared" si="56"/>
        <v>-17.170000000000002</v>
      </c>
      <c r="DO78">
        <f>IF(AT78&lt;&gt;-999,AT78*$DN78, -999)</f>
        <v>-5008031.6273856033</v>
      </c>
      <c r="DP78">
        <f>IF(AU78&lt;&gt;-999,AU78*$DN78, -999)</f>
        <v>-20846877.305386711</v>
      </c>
      <c r="DQ78" s="24">
        <f>IF(AV78&lt;&gt;-999,AV78*$DN78, -999)</f>
        <v>-25854908.932772316</v>
      </c>
      <c r="DR78">
        <f t="shared" si="57"/>
        <v>-19.943000000000001</v>
      </c>
      <c r="DS78">
        <f>IF(AW78&lt;&gt;-999,AW78*$DR78, -999)</f>
        <v>-2764354.7268715049</v>
      </c>
      <c r="DT78">
        <f>IF(AX78&lt;&gt;-999,AX78*$DR78, -999)</f>
        <v>-11507149.805228304</v>
      </c>
      <c r="DU78" s="24">
        <f>IF(AY78&lt;&gt;-999,AY78*$DR78, -999)</f>
        <v>-14271507.851980058</v>
      </c>
      <c r="DV78">
        <f t="shared" si="58"/>
        <v>-25.870999999999999</v>
      </c>
      <c r="DW78">
        <f>IF(AZ78&lt;&gt;-999,AZ78*$DV78, -999)</f>
        <v>-15517041.627775995</v>
      </c>
      <c r="DX78">
        <f>IF(BA78&lt;&gt;-999,BA78*$DV78, -999)</f>
        <v>-64592597.754342124</v>
      </c>
      <c r="DY78" s="24">
        <f>IF(BB78&lt;&gt;-999,BB78*$DV78, -999)</f>
        <v>-80109635.075412929</v>
      </c>
      <c r="DZ78">
        <f t="shared" si="59"/>
        <v>-25.245000000000001</v>
      </c>
      <c r="EA78">
        <f>IF(BC78&lt;&gt;-999, BC78*$DZ78, -999)</f>
        <v>-2248616.9042976904</v>
      </c>
      <c r="EB78">
        <f>IF(BD78&lt;&gt;-999, BD78*$DZ78, -999)</f>
        <v>-9360294.8902595807</v>
      </c>
      <c r="EC78" s="24">
        <f>IF(BE78&lt;&gt;-999, BE78*$DZ78, -999)</f>
        <v>-11608911.794557273</v>
      </c>
      <c r="ED78">
        <f t="shared" si="60"/>
        <v>-29.317</v>
      </c>
      <c r="EE78">
        <f>IF(BF78&lt;&gt;-999,BF78*$ED78, -999)</f>
        <v>-1240986.550984856</v>
      </c>
      <c r="EF78">
        <f>IF(BG78&lt;&gt;-999,BG78*$ED78, -999)</f>
        <v>-5165831.8688885365</v>
      </c>
      <c r="EG78" s="24">
        <f>IF(BH78&lt;&gt;-999,BH78*$ED78, -999)</f>
        <v>-6406818.4198733941</v>
      </c>
      <c r="EH78">
        <f t="shared" si="61"/>
        <v>-38.03</v>
      </c>
      <c r="EI78">
        <f>IF(BI78&lt;&gt;-999,BI78*$EH78, -999)</f>
        <v>-6965710.4948344436</v>
      </c>
      <c r="EJ78">
        <f>IF(BJ78&lt;&gt;-999,BJ78*$EH78, -999)</f>
        <v>-28996079.617976084</v>
      </c>
      <c r="EK78" s="24">
        <f>IF(BK78&lt;&gt;-999,BK78*$EH78, -999)</f>
        <v>-35961790.112810522</v>
      </c>
      <c r="EL78" s="28">
        <f t="shared" si="62"/>
        <v>-174213572.18740648</v>
      </c>
      <c r="EM78" s="22">
        <f>-17.17-(0.1023*G78)+H78*(100+102.093-66.644-64.243)</f>
        <v>24.816619299991991</v>
      </c>
      <c r="EN78">
        <f>IF(AT78&lt;&gt;-999,AT78*$EM78, -999)</f>
        <v>7238346.7873702878</v>
      </c>
      <c r="EO78">
        <f>IF(AU78&lt;&gt;-999,AU78*$EM78, -999)</f>
        <v>30130985.304684035</v>
      </c>
      <c r="EP78" s="23">
        <f>IF(AV78&lt;&gt;-999,AV78*$EM78, -999)</f>
        <v>37369332.092054322</v>
      </c>
      <c r="EQ78">
        <f>-19.943-(0.1023*G78)+H78*(100+102.093-66.644-64.243)</f>
        <v>22.043619299991988</v>
      </c>
      <c r="ER78">
        <f>IF(AW78&lt;&gt;-999,AW78*$EQ78, -999)</f>
        <v>3055527.4135931795</v>
      </c>
      <c r="ES78">
        <f>IF(AX78&lt;&gt;-999,AX78*$EQ78, -999)</f>
        <v>12719211.228723345</v>
      </c>
      <c r="ET78" s="23">
        <f>IF(AY78&lt;&gt;-999,AY78*$EQ78, -999)</f>
        <v>15774742.311883608</v>
      </c>
      <c r="EU78">
        <f>-25.871-(0.1023*G78)+H78*(100+102.093-66.644-64.243)</f>
        <v>16.115619299991991</v>
      </c>
      <c r="EV78">
        <f>IF(AZ78&lt;&gt;-999,AZ78*$EU78, -999)</f>
        <v>9665909.1467421427</v>
      </c>
      <c r="EW78">
        <f>IF(BA78&lt;&gt;-999,BA78*$EU78, -999)</f>
        <v>40236160.759402238</v>
      </c>
      <c r="EX78" s="23">
        <f>IF(BB78&lt;&gt;-999,BB78*$EU78, -999)</f>
        <v>49902067.223402262</v>
      </c>
      <c r="EY78">
        <f>-25.245-(0.1023*G78)+H78*(100+102.093-66.644-64.243)</f>
        <v>16.741619299991989</v>
      </c>
      <c r="EZ78">
        <f>IF(BC78&lt;&gt;-999, BC78*$EY78, -999)</f>
        <v>1491205.7105675759</v>
      </c>
      <c r="FA78">
        <f>IF(BD78&lt;&gt;-999, BD78*$EY78, -999)</f>
        <v>6207426.9593339749</v>
      </c>
      <c r="FB78" s="23">
        <f>IF(BE78&lt;&gt;-999, BE78*$EY78, -999)</f>
        <v>7698632.6699015517</v>
      </c>
      <c r="FC78">
        <f>-29.317-(0.1023*G78)+H78*(100+102.093-66.644-64.243)</f>
        <v>12.669619299991993</v>
      </c>
      <c r="FD78">
        <f>IF(BF78&lt;&gt;-999,BF78*$FC78, -999)</f>
        <v>536304.09514575941</v>
      </c>
      <c r="FE78">
        <f>IF(BG78&lt;&gt;-999,BG78*$FC78, -999)</f>
        <v>2232463.1833606409</v>
      </c>
      <c r="FF78" s="23">
        <f>IF(BH78&lt;&gt;-999,BH78*$FC78, -999)</f>
        <v>2768767.278506401</v>
      </c>
      <c r="FG78">
        <f>-38.03-(0.1023*G78)+H78*(100+102.093-66.644-64.243)</f>
        <v>3.956619299991992</v>
      </c>
      <c r="FH78">
        <f>IF(BI78&lt;&gt;-999,BI78*$FG78, -999)</f>
        <v>724708.50859896734</v>
      </c>
      <c r="FI78">
        <f>IF(BJ78&lt;&gt;-999,BJ78*$FG78, -999)</f>
        <v>3016735.425732017</v>
      </c>
      <c r="FJ78" s="23">
        <f>IF(BK78&lt;&gt;-999,BK78*$FG78, -999)</f>
        <v>3741443.934330984</v>
      </c>
      <c r="FK78" s="28">
        <f t="shared" si="63"/>
        <v>117254985.51007913</v>
      </c>
      <c r="FL78" s="22">
        <f t="shared" si="66"/>
        <v>10.012280000000011</v>
      </c>
      <c r="FM78">
        <f>IF(AT78&lt;&gt;-999,AT78*$FL78, -999)</f>
        <v>2920315.3699615826</v>
      </c>
      <c r="FN78">
        <f>IF(AU78&lt;&gt;-999,AU78*$FL78, -999)</f>
        <v>12156364.164657978</v>
      </c>
      <c r="FO78" s="29">
        <f>IF(AV78&lt;&gt;-999,AV78*$FL78, -999)</f>
        <v>15076679.53461956</v>
      </c>
      <c r="FP78">
        <f t="shared" si="67"/>
        <v>7.2392800000000115</v>
      </c>
      <c r="FQ78">
        <f>IF(AW78&lt;&gt;-999,AW78*$FP78, -999)</f>
        <v>1003456.7460836573</v>
      </c>
      <c r="FR78">
        <f>IF(AX78&lt;&gt;-999,AX78*$FP78, -999)</f>
        <v>4177078.6462414521</v>
      </c>
      <c r="FS78" s="29">
        <f>IF(AY78&lt;&gt;-999,AY78*$FP78, -999)</f>
        <v>5180536.5974368127</v>
      </c>
      <c r="FT78">
        <f t="shared" si="68"/>
        <v>1.3112800000000142</v>
      </c>
      <c r="FU78">
        <f>IF(AZ78&lt;&gt;-999,AZ78*$FT78, -999)</f>
        <v>786486.27210661862</v>
      </c>
      <c r="FV78">
        <f>IF(BA78&lt;&gt;-999,BA78*$FT78, -999)</f>
        <v>3273896.7022269978</v>
      </c>
      <c r="FW78" s="29">
        <f>IF(BB78&lt;&gt;-999,BB78*$FT78, -999)</f>
        <v>4060382.7560468712</v>
      </c>
      <c r="FX78">
        <f t="shared" si="69"/>
        <v>1.9372800000000119</v>
      </c>
      <c r="FY78">
        <f>IF(BC78&lt;&gt;-999, BC78*$FX78, -999)</f>
        <v>172556.9640070452</v>
      </c>
      <c r="FZ78">
        <f>IF(BD78&lt;&gt;-999, BD78*$FX78, -999)</f>
        <v>718301.13230351324</v>
      </c>
      <c r="GA78" s="29">
        <f>IF(BE78&lt;&gt;-999, BE78*$FX78, -999)</f>
        <v>890858.09631055861</v>
      </c>
      <c r="GB78">
        <f t="shared" si="70"/>
        <v>-2.1347199999999873</v>
      </c>
      <c r="GC78">
        <f>IF(BF78&lt;&gt;-999,BF78*$GB78, -999)</f>
        <v>-90362.54767262598</v>
      </c>
      <c r="GD78">
        <f>IF(BG78&lt;&gt;-999,BG78*$GB78, -999)</f>
        <v>-376150.51359803771</v>
      </c>
      <c r="GE78" s="29">
        <f>IF(BH78&lt;&gt;-999,BH78*$GB78, -999)</f>
        <v>-466513.06127066375</v>
      </c>
      <c r="GF78">
        <f t="shared" si="71"/>
        <v>-10.847719999999988</v>
      </c>
      <c r="GG78">
        <f>IF(BI78&lt;&gt;-999,BI78*$GF78, -999)</f>
        <v>-1986907.100947289</v>
      </c>
      <c r="GH78">
        <f>IF(BJ78&lt;&gt;-999,BJ78*$GF78, -999)</f>
        <v>-8270874.3832109179</v>
      </c>
      <c r="GI78" s="29">
        <f>IF(BK78&lt;&gt;-999,BK78*$GF78, -999)</f>
        <v>-10257781.484158205</v>
      </c>
      <c r="GJ78" s="30">
        <f t="shared" si="64"/>
        <v>14484162.438984936</v>
      </c>
    </row>
    <row r="79" spans="1:192">
      <c r="A79" s="48" t="s">
        <v>136</v>
      </c>
      <c r="B79" s="48" t="s">
        <v>217</v>
      </c>
      <c r="C79" s="49">
        <v>26</v>
      </c>
      <c r="D79" s="50">
        <v>0.81299999999999994</v>
      </c>
      <c r="E79" s="49">
        <v>212.33382902586999</v>
      </c>
      <c r="F79" s="49">
        <v>0.78538268316772397</v>
      </c>
      <c r="G79" s="49">
        <v>103.58236713731399</v>
      </c>
      <c r="H79" s="49">
        <v>0.81536869837216797</v>
      </c>
      <c r="I79" s="42">
        <v>3474</v>
      </c>
      <c r="J79" s="43">
        <v>23571.9</v>
      </c>
      <c r="K79" s="43">
        <f t="shared" si="39"/>
        <v>27045.9</v>
      </c>
      <c r="L79" s="43">
        <v>2343.6999999999998</v>
      </c>
      <c r="M79" s="43">
        <v>15902.8</v>
      </c>
      <c r="N79" s="43">
        <f t="shared" si="40"/>
        <v>18246.5</v>
      </c>
      <c r="O79" s="43">
        <v>10589.3</v>
      </c>
      <c r="P79" s="43">
        <v>71851</v>
      </c>
      <c r="Q79" s="43">
        <f t="shared" si="41"/>
        <v>82440.3</v>
      </c>
      <c r="R79" s="43">
        <v>1798.6</v>
      </c>
      <c r="S79" s="43">
        <v>12204.2</v>
      </c>
      <c r="T79" s="43">
        <f t="shared" si="42"/>
        <v>14002.800000000001</v>
      </c>
      <c r="U79" s="43">
        <v>1213.5</v>
      </c>
      <c r="V79" s="43">
        <v>8233.6</v>
      </c>
      <c r="W79" s="43">
        <f t="shared" si="43"/>
        <v>9447.1</v>
      </c>
      <c r="X79" s="43">
        <v>5482.6</v>
      </c>
      <c r="Y79" s="43">
        <v>37200.400000000001</v>
      </c>
      <c r="Z79" s="43">
        <f t="shared" si="44"/>
        <v>42683</v>
      </c>
      <c r="AA79" s="22">
        <v>27284.7</v>
      </c>
      <c r="AB79">
        <v>105689.4</v>
      </c>
      <c r="AC79">
        <v>132974.1</v>
      </c>
      <c r="AD79">
        <v>18407.599999999999</v>
      </c>
      <c r="AE79">
        <v>71303.100000000006</v>
      </c>
      <c r="AF79">
        <v>89710.7</v>
      </c>
      <c r="AG79">
        <v>83168</v>
      </c>
      <c r="AH79">
        <v>322157.90000000002</v>
      </c>
      <c r="AI79">
        <v>405325.9</v>
      </c>
      <c r="AJ79">
        <v>14126.5</v>
      </c>
      <c r="AK79">
        <v>54720</v>
      </c>
      <c r="AL79">
        <v>68846.5</v>
      </c>
      <c r="AM79">
        <v>9530.4</v>
      </c>
      <c r="AN79">
        <v>36916.699999999997</v>
      </c>
      <c r="AO79">
        <v>46447.1</v>
      </c>
      <c r="AP79">
        <v>43059.7</v>
      </c>
      <c r="AQ79">
        <v>166795.20000000001</v>
      </c>
      <c r="AR79">
        <v>209854.9</v>
      </c>
      <c r="AS79">
        <v>953159.16</v>
      </c>
      <c r="AT79" s="22">
        <f t="shared" si="72"/>
        <v>45420.416495032499</v>
      </c>
      <c r="AU79">
        <f t="shared" si="72"/>
        <v>175939.50335206499</v>
      </c>
      <c r="AV79">
        <f t="shared" si="72"/>
        <v>221359.91984709751</v>
      </c>
      <c r="AW79">
        <f t="shared" si="72"/>
        <v>30642.845942009997</v>
      </c>
      <c r="AX79">
        <f t="shared" si="72"/>
        <v>118697.1635893725</v>
      </c>
      <c r="AY79">
        <f t="shared" si="72"/>
        <v>149340.0095313825</v>
      </c>
      <c r="AZ79">
        <f t="shared" si="72"/>
        <v>138448.4784168</v>
      </c>
      <c r="BA79">
        <f t="shared" si="72"/>
        <v>536291.25462860253</v>
      </c>
      <c r="BB79">
        <f t="shared" si="72"/>
        <v>674739.73304540257</v>
      </c>
      <c r="BC79">
        <f t="shared" si="72"/>
        <v>23516.165236087498</v>
      </c>
      <c r="BD79">
        <f t="shared" si="72"/>
        <v>91091.534471999999</v>
      </c>
      <c r="BE79">
        <f t="shared" si="72"/>
        <v>114607.6997080875</v>
      </c>
      <c r="BF79">
        <f t="shared" si="72"/>
        <v>15865.10892054</v>
      </c>
      <c r="BG79">
        <f t="shared" si="65"/>
        <v>61454.6573582325</v>
      </c>
      <c r="BH79">
        <f t="shared" si="65"/>
        <v>77319.766278772498</v>
      </c>
      <c r="BI79">
        <f t="shared" si="65"/>
        <v>71680.814088157495</v>
      </c>
      <c r="BJ79">
        <f t="shared" si="38"/>
        <v>277661.37994452001</v>
      </c>
      <c r="BK79">
        <f t="shared" si="38"/>
        <v>349342.19403267751</v>
      </c>
      <c r="BL79">
        <f t="shared" si="38"/>
        <v>1586709.2558560411</v>
      </c>
      <c r="BM79" s="22">
        <f>-17.17-(0.1023*E79)+F79*(100-8.576-13.681)</f>
        <v>22.166255228161866</v>
      </c>
      <c r="BN79">
        <f>IF(AT79&lt;&gt;-999,AT79*$BM79, -999)</f>
        <v>1006800.5445983036</v>
      </c>
      <c r="BO79">
        <f>IF(AU79&lt;&gt;-999,AU79*$BM79, -999)</f>
        <v>3899919.9360179128</v>
      </c>
      <c r="BP79" s="25">
        <f>IF(AV79&lt;&gt;-999,AV79*$BM79, -999)</f>
        <v>4906720.4806162165</v>
      </c>
      <c r="BQ79">
        <f>-19.943-(0.1023*E79)+F79*(100-8.576-13.681)</f>
        <v>19.393255228161863</v>
      </c>
      <c r="BR79">
        <f>IF(AW79&lt;&gt;-999,AW79*$BQ79, -999)</f>
        <v>594264.53227064386</v>
      </c>
      <c r="BS79">
        <f>IF(AX79&lt;&gt;-999,AX79*$BQ79, -999)</f>
        <v>2301924.388347582</v>
      </c>
      <c r="BT79" s="25">
        <f>IF(AY79&lt;&gt;-999,AY79*$BQ79, -999)</f>
        <v>2896188.9206182263</v>
      </c>
      <c r="BU79">
        <f>-25.871-(0.1023*E79)+F79*(100-8.576-13.681)</f>
        <v>13.465255228161865</v>
      </c>
      <c r="BV79">
        <f>IF(AZ79&lt;&gt;-999,AZ79*$BU79, -999)</f>
        <v>1864244.0978328714</v>
      </c>
      <c r="BW79">
        <f>IF(BA79&lt;&gt;-999,BA79*$BU79, -999)</f>
        <v>7221298.6202052766</v>
      </c>
      <c r="BX79" s="25">
        <f>IF(BB79&lt;&gt;-999,BB79*$BU79, -999)</f>
        <v>9085542.7180381492</v>
      </c>
      <c r="BY79">
        <f>-25.245-(0.1023*E79)+F79*(100-8.576-13.681)</f>
        <v>14.09125522816187</v>
      </c>
      <c r="BZ79">
        <f>IF(BC79&lt;&gt;-999,BC79*$BY79, -999)</f>
        <v>331372.28632933635</v>
      </c>
      <c r="CA79">
        <f>IF(BD79&lt;&gt;-999,BD79*$BY79, -999)</f>
        <v>1283594.0613698573</v>
      </c>
      <c r="CB79" s="25">
        <f>IF(BE79&lt;&gt;-999,BE79*$BY79, -999)</f>
        <v>1614966.3476991937</v>
      </c>
      <c r="CC79">
        <f>-29.317-(0.1023*E79)+F79*(100-8.576-13.681)</f>
        <v>10.019255228161867</v>
      </c>
      <c r="CD79">
        <f>IF(BF79&lt;&gt;-999,BF79*$CC79, -999)</f>
        <v>158956.57549747787</v>
      </c>
      <c r="CE79">
        <f>IF(BG79&lt;&gt;-999,BG79*$CC79, -999)</f>
        <v>615729.89703136717</v>
      </c>
      <c r="CF79" s="25">
        <f>IF(BH79&lt;&gt;-999,BH79*$CC79, -999)</f>
        <v>774686.47252884496</v>
      </c>
      <c r="CG79">
        <f>-38.03-(0.1023*E79)+F79*(100-8.576-13.681)</f>
        <v>1.3062552281618665</v>
      </c>
      <c r="CH79">
        <f>IF(BI79&lt;&gt;-999,BI79*$CG79, -999)</f>
        <v>93633.438161554499</v>
      </c>
      <c r="CI79">
        <f>IF(BJ79&lt;&gt;-999,BJ79*$CG79, -999)</f>
        <v>362696.62921116769</v>
      </c>
      <c r="CJ79" s="25">
        <f>IF(BK79&lt;&gt;-999,BK79*$CG79, -999)</f>
        <v>456330.0673727222</v>
      </c>
      <c r="CK79" s="26">
        <f t="shared" si="45"/>
        <v>19734435.006873351</v>
      </c>
      <c r="CL79">
        <f t="shared" si="46"/>
        <v>-21.165461459301767</v>
      </c>
      <c r="CM79">
        <f t="shared" si="47"/>
        <v>36.698050143353349</v>
      </c>
      <c r="CN79">
        <f t="shared" si="48"/>
        <v>-78.029460318902991</v>
      </c>
      <c r="CO79" s="22">
        <f t="shared" si="49"/>
        <v>-40.08</v>
      </c>
      <c r="CP79">
        <f>IF(AT79&lt;&gt;-999,AT79*$CO79, -999)</f>
        <v>-1820450.2931209025</v>
      </c>
      <c r="CQ79">
        <f>IF(AU79&lt;&gt;-999,AU79*$CO79, -999)</f>
        <v>-7051655.2943507647</v>
      </c>
      <c r="CR79" s="27">
        <f>IF(AV79&lt;&gt;-999,AV79*$CO79, -999)</f>
        <v>-8872105.5874716677</v>
      </c>
      <c r="CS79">
        <f t="shared" si="50"/>
        <v>-42.853000000000002</v>
      </c>
      <c r="CT79">
        <f>IF(AW79&lt;&gt;-999,AW79*$CS79, -999)</f>
        <v>-1313137.8771529545</v>
      </c>
      <c r="CU79">
        <f>IF(AX79&lt;&gt;-999,AX79*$CS79, -999)</f>
        <v>-5086529.5512953801</v>
      </c>
      <c r="CV79" s="27">
        <f>IF(AY79&lt;&gt;-999,AY79*$CS79, -999)</f>
        <v>-6399667.4284483343</v>
      </c>
      <c r="CW79">
        <f t="shared" si="51"/>
        <v>-48.780999999999999</v>
      </c>
      <c r="CX79">
        <f>IF(AZ79&lt;&gt;-999,AZ79*$CO79, -999)</f>
        <v>-5549015.0149453441</v>
      </c>
      <c r="CY79">
        <f>IF(BA79&lt;&gt;-999,BA79*$CO79, -999)</f>
        <v>-21494553.485514387</v>
      </c>
      <c r="CZ79" s="27">
        <f>IF(BB79&lt;&gt;-999,BB79*$CO79, -999)</f>
        <v>-27043568.500459734</v>
      </c>
      <c r="DA79">
        <f t="shared" si="52"/>
        <v>-48.155000000000001</v>
      </c>
      <c r="DB79">
        <f>IF(BC79&lt;&gt;-999,BC79*$DA79, -999)</f>
        <v>-1132420.9369437934</v>
      </c>
      <c r="DC79">
        <f>IF(BD79&lt;&gt;-999,BD79*$DA79, -999)</f>
        <v>-4386512.8424991602</v>
      </c>
      <c r="DD79" s="27">
        <f>IF(BE79&lt;&gt;-999,BE79*$DA79, -999)</f>
        <v>-5518933.7794429539</v>
      </c>
      <c r="DE79">
        <f t="shared" si="53"/>
        <v>-52.227000000000004</v>
      </c>
      <c r="DF79">
        <f>IF(BF79&lt;&gt;-999,BF79*$DE79, -999)</f>
        <v>-828587.04359304265</v>
      </c>
      <c r="DG79">
        <f>IF(BG79&lt;&gt;-999,BG79*$DE79, -999)</f>
        <v>-3209592.3898484092</v>
      </c>
      <c r="DH79" s="27">
        <f>IF(BH79&lt;&gt;-999,BH79*$DE79, -999)</f>
        <v>-4038179.4334414518</v>
      </c>
      <c r="DI79">
        <f t="shared" si="54"/>
        <v>-60.94</v>
      </c>
      <c r="DJ79">
        <f>IF(BI79&lt;&gt;-999,BI79*$DI79, -999)</f>
        <v>-4368228.8105323175</v>
      </c>
      <c r="DK79">
        <f>IF(BJ79&lt;&gt;-999,BJ79*$DI79, -999)</f>
        <v>-16920684.49381905</v>
      </c>
      <c r="DL79" s="27">
        <f>IF(BK79&lt;&gt;-999,BK79*$DI79, -999)</f>
        <v>-21288913.304351367</v>
      </c>
      <c r="DM79" s="28">
        <f t="shared" si="55"/>
        <v>-73161368.0336155</v>
      </c>
      <c r="DN79" s="22">
        <f t="shared" si="56"/>
        <v>-17.170000000000002</v>
      </c>
      <c r="DO79">
        <f>IF(AT79&lt;&gt;-999,AT79*$DN79, -999)</f>
        <v>-779868.55121970805</v>
      </c>
      <c r="DP79">
        <f>IF(AU79&lt;&gt;-999,AU79*$DN79, -999)</f>
        <v>-3020881.2725549564</v>
      </c>
      <c r="DQ79" s="24">
        <f>IF(AV79&lt;&gt;-999,AV79*$DN79, -999)</f>
        <v>-3800749.8237746647</v>
      </c>
      <c r="DR79">
        <f t="shared" si="57"/>
        <v>-19.943000000000001</v>
      </c>
      <c r="DS79">
        <f>IF(AW79&lt;&gt;-999,AW79*$DR79, -999)</f>
        <v>-611110.27662150539</v>
      </c>
      <c r="DT79">
        <f>IF(AX79&lt;&gt;-999,AX79*$DR79, -999)</f>
        <v>-2367177.533462856</v>
      </c>
      <c r="DU79" s="24">
        <f>IF(AY79&lt;&gt;-999,AY79*$DR79, -999)</f>
        <v>-2978287.8100843616</v>
      </c>
      <c r="DV79">
        <f t="shared" si="58"/>
        <v>-25.870999999999999</v>
      </c>
      <c r="DW79">
        <f>IF(AZ79&lt;&gt;-999,AZ79*$DV79, -999)</f>
        <v>-3581800.5851210328</v>
      </c>
      <c r="DX79">
        <f>IF(BA79&lt;&gt;-999,BA79*$DV79, -999)</f>
        <v>-13874391.048496576</v>
      </c>
      <c r="DY79" s="24">
        <f>IF(BB79&lt;&gt;-999,BB79*$DV79, -999)</f>
        <v>-17456191.63361761</v>
      </c>
      <c r="DZ79">
        <f t="shared" si="59"/>
        <v>-25.245000000000001</v>
      </c>
      <c r="EA79">
        <f>IF(BC79&lt;&gt;-999, BC79*$DZ79, -999)</f>
        <v>-593665.59138502891</v>
      </c>
      <c r="EB79">
        <f>IF(BD79&lt;&gt;-999, BD79*$DZ79, -999)</f>
        <v>-2299605.7877456401</v>
      </c>
      <c r="EC79" s="24">
        <f>IF(BE79&lt;&gt;-999, BE79*$DZ79, -999)</f>
        <v>-2893271.3791306689</v>
      </c>
      <c r="ED79">
        <f t="shared" si="60"/>
        <v>-29.317</v>
      </c>
      <c r="EE79">
        <f>IF(BF79&lt;&gt;-999,BF79*$ED79, -999)</f>
        <v>-465117.39822347119</v>
      </c>
      <c r="EF79">
        <f>IF(BG79&lt;&gt;-999,BG79*$ED79, -999)</f>
        <v>-1801666.1897713023</v>
      </c>
      <c r="EG79" s="24">
        <f>IF(BH79&lt;&gt;-999,BH79*$ED79, -999)</f>
        <v>-2266783.5879947734</v>
      </c>
      <c r="EH79">
        <f t="shared" si="61"/>
        <v>-38.03</v>
      </c>
      <c r="EI79">
        <f>IF(BI79&lt;&gt;-999,BI79*$EH79, -999)</f>
        <v>-2726021.3597726296</v>
      </c>
      <c r="EJ79">
        <f>IF(BJ79&lt;&gt;-999,BJ79*$EH79, -999)</f>
        <v>-10559462.279290097</v>
      </c>
      <c r="EK79" s="24">
        <f>IF(BK79&lt;&gt;-999,BK79*$EH79, -999)</f>
        <v>-13285483.639062727</v>
      </c>
      <c r="EL79" s="28">
        <f t="shared" si="62"/>
        <v>-42680767.873664804</v>
      </c>
      <c r="EM79" s="22">
        <f>-17.17-(0.1023*G79)+H79*(100+102.093-66.644-64.243)</f>
        <v>30.292667378141385</v>
      </c>
      <c r="EN79">
        <f>IF(AT79&lt;&gt;-999,AT79*$EM79, -999)</f>
        <v>1375905.5690606658</v>
      </c>
      <c r="EO79">
        <f>IF(AU79&lt;&gt;-999,AU79*$EM79, -999)</f>
        <v>5329676.8537194962</v>
      </c>
      <c r="EP79" s="23">
        <f>IF(AV79&lt;&gt;-999,AV79*$EM79, -999)</f>
        <v>6705582.4227801627</v>
      </c>
      <c r="EQ79">
        <f>-19.943-(0.1023*G79)+H79*(100+102.093-66.644-64.243)</f>
        <v>27.519667378141385</v>
      </c>
      <c r="ER79">
        <f>IF(AW79&lt;&gt;-999,AW79*$EQ79, -999)</f>
        <v>843280.92784374463</v>
      </c>
      <c r="ES79">
        <f>IF(AX79&lt;&gt;-999,AX79*$EQ79, -999)</f>
        <v>3266506.4607083658</v>
      </c>
      <c r="ET79" s="23">
        <f>IF(AY79&lt;&gt;-999,AY79*$EQ79, -999)</f>
        <v>4109787.3885521106</v>
      </c>
      <c r="EU79">
        <f>-25.871-(0.1023*G79)+H79*(100+102.093-66.644-64.243)</f>
        <v>21.591667378141388</v>
      </c>
      <c r="EV79">
        <f>IF(AZ79&lt;&gt;-999,AZ79*$EU79, -999)</f>
        <v>2989333.4949853327</v>
      </c>
      <c r="EW79">
        <f>IF(BA79&lt;&gt;-999,BA79*$EU79, -999)</f>
        <v>11579422.387746913</v>
      </c>
      <c r="EX79" s="23">
        <f>IF(BB79&lt;&gt;-999,BB79*$EU79, -999)</f>
        <v>14568755.882732248</v>
      </c>
      <c r="EY79">
        <f>-25.245-(0.1023*G79)+H79*(100+102.093-66.644-64.243)</f>
        <v>22.217667378141385</v>
      </c>
      <c r="EZ79">
        <f>IF(BC79&lt;&gt;-999, BC79*$EY79, -999)</f>
        <v>522474.33722480369</v>
      </c>
      <c r="FA79">
        <f>IF(BD79&lt;&gt;-999, BD79*$EY79, -999)</f>
        <v>2023841.4138633958</v>
      </c>
      <c r="FB79" s="23">
        <f>IF(BE79&lt;&gt;-999, BE79*$EY79, -999)</f>
        <v>2546315.7510881997</v>
      </c>
      <c r="FC79">
        <f>-29.317-(0.1023*G79)+H79*(100+102.093-66.644-64.243)</f>
        <v>18.14566737814139</v>
      </c>
      <c r="FD79">
        <f>IF(BF79&lt;&gt;-999,BF79*$FC79, -999)</f>
        <v>287882.98939010262</v>
      </c>
      <c r="FE79">
        <f>IF(BG79&lt;&gt;-999,BG79*$FC79, -999)</f>
        <v>1115135.7712601363</v>
      </c>
      <c r="FF79" s="23">
        <f>IF(BH79&lt;&gt;-999,BH79*$FC79, -999)</f>
        <v>1403018.7606502387</v>
      </c>
      <c r="FG79">
        <f>-38.03-(0.1023*G79)+H79*(100+102.093-66.644-64.243)</f>
        <v>9.4326673781413817</v>
      </c>
      <c r="FH79">
        <f>IF(BI79&lt;&gt;-999,BI79*$FG79, -999)</f>
        <v>676141.2766879804</v>
      </c>
      <c r="FI79">
        <f>IF(BJ79&lt;&gt;-999,BJ79*$FG79, -999)</f>
        <v>2619087.4407723937</v>
      </c>
      <c r="FJ79" s="23">
        <f>IF(BK79&lt;&gt;-999,BK79*$FG79, -999)</f>
        <v>3295228.7174603739</v>
      </c>
      <c r="FK79" s="28">
        <f t="shared" si="63"/>
        <v>32628688.923263334</v>
      </c>
      <c r="FL79" s="22">
        <f t="shared" si="66"/>
        <v>10.012280000000011</v>
      </c>
      <c r="FM79">
        <f>IF(AT79&lt;&gt;-999,AT79*$FL79, -999)</f>
        <v>454761.92766488448</v>
      </c>
      <c r="FN79">
        <f>IF(AU79&lt;&gt;-999,AU79*$FL79, -999)</f>
        <v>1761555.5706218153</v>
      </c>
      <c r="FO79" s="29">
        <f>IF(AV79&lt;&gt;-999,AV79*$FL79, -999)</f>
        <v>2216317.4982866999</v>
      </c>
      <c r="FP79">
        <f t="shared" si="67"/>
        <v>7.2392800000000115</v>
      </c>
      <c r="FQ79">
        <f>IF(AW79&lt;&gt;-999,AW79*$FP79, -999)</f>
        <v>221832.14177107447</v>
      </c>
      <c r="FR79">
        <f>IF(AX79&lt;&gt;-999,AX79*$FP79, -999)</f>
        <v>859282.00242927391</v>
      </c>
      <c r="FS79" s="29">
        <f>IF(AY79&lt;&gt;-999,AY79*$FP79, -999)</f>
        <v>1081114.1442003485</v>
      </c>
      <c r="FT79">
        <f t="shared" si="68"/>
        <v>1.3112800000000142</v>
      </c>
      <c r="FU79">
        <f>IF(AZ79&lt;&gt;-999,AZ79*$FT79, -999)</f>
        <v>181544.72077838349</v>
      </c>
      <c r="FV79">
        <f>IF(BA79&lt;&gt;-999,BA79*$FT79, -999)</f>
        <v>703227.99636940158</v>
      </c>
      <c r="FW79" s="29">
        <f>IF(BB79&lt;&gt;-999,BB79*$FT79, -999)</f>
        <v>884772.71714778512</v>
      </c>
      <c r="FX79">
        <f t="shared" si="69"/>
        <v>1.9372800000000119</v>
      </c>
      <c r="FY79">
        <f>IF(BC79&lt;&gt;-999, BC79*$FX79, -999)</f>
        <v>45557.39658856787</v>
      </c>
      <c r="FZ79">
        <f>IF(BD79&lt;&gt;-999, BD79*$FX79, -999)</f>
        <v>176469.80790191723</v>
      </c>
      <c r="GA79" s="29">
        <f>IF(BE79&lt;&gt;-999, BE79*$FX79, -999)</f>
        <v>222027.20449048511</v>
      </c>
      <c r="GB79">
        <f t="shared" si="70"/>
        <v>-2.1347199999999873</v>
      </c>
      <c r="GC79">
        <f>IF(BF79&lt;&gt;-999,BF79*$GB79, -999)</f>
        <v>-33867.565314854946</v>
      </c>
      <c r="GD79">
        <f>IF(BG79&lt;&gt;-999,BG79*$GB79, -999)</f>
        <v>-131188.48615576531</v>
      </c>
      <c r="GE79" s="29">
        <f>IF(BH79&lt;&gt;-999,BH79*$GB79, -999)</f>
        <v>-165056.05147062024</v>
      </c>
      <c r="GF79">
        <f t="shared" si="71"/>
        <v>-10.847719999999988</v>
      </c>
      <c r="GG79">
        <f>IF(BI79&lt;&gt;-999,BI79*$GF79, -999)</f>
        <v>-777573.40060038702</v>
      </c>
      <c r="GH79">
        <f>IF(BJ79&lt;&gt;-999,BJ79*$GF79, -999)</f>
        <v>-3011992.9044517656</v>
      </c>
      <c r="GI79" s="29">
        <f>IF(BK79&lt;&gt;-999,BK79*$GF79, -999)</f>
        <v>-3789566.3050521524</v>
      </c>
      <c r="GJ79" s="30">
        <f t="shared" si="64"/>
        <v>449609.20760254515</v>
      </c>
    </row>
    <row r="80" spans="1:192">
      <c r="A80" s="48" t="s">
        <v>160</v>
      </c>
      <c r="B80" s="48" t="s">
        <v>218</v>
      </c>
      <c r="C80" s="49">
        <v>136</v>
      </c>
      <c r="D80" s="50">
        <v>0.81</v>
      </c>
      <c r="E80" s="49">
        <v>99.177659485080696</v>
      </c>
      <c r="F80" s="49">
        <v>0.78897852555613301</v>
      </c>
      <c r="G80" s="49">
        <v>91.380805901566205</v>
      </c>
      <c r="H80" s="49">
        <v>0.81695566295697597</v>
      </c>
      <c r="I80" s="42">
        <v>5744.9</v>
      </c>
      <c r="J80" s="43">
        <v>-999</v>
      </c>
      <c r="K80" s="43">
        <f t="shared" si="39"/>
        <v>5744.9</v>
      </c>
      <c r="L80" s="43">
        <v>8552.2999999999993</v>
      </c>
      <c r="M80" s="43">
        <v>-999</v>
      </c>
      <c r="N80" s="43">
        <f t="shared" si="40"/>
        <v>8552.2999999999993</v>
      </c>
      <c r="O80" s="43">
        <v>7138.3</v>
      </c>
      <c r="P80" s="43">
        <v>-999</v>
      </c>
      <c r="Q80" s="43">
        <f t="shared" si="41"/>
        <v>7138.3</v>
      </c>
      <c r="R80" s="43">
        <v>5459.2</v>
      </c>
      <c r="S80" s="43">
        <v>-999</v>
      </c>
      <c r="T80" s="43">
        <f t="shared" si="42"/>
        <v>5459.2</v>
      </c>
      <c r="U80" s="43">
        <v>8126.9</v>
      </c>
      <c r="V80" s="43">
        <v>-999</v>
      </c>
      <c r="W80" s="43">
        <f t="shared" si="43"/>
        <v>8126.9</v>
      </c>
      <c r="X80" s="43">
        <v>6783.3</v>
      </c>
      <c r="Y80" s="43">
        <v>-999</v>
      </c>
      <c r="Z80" s="43">
        <f t="shared" si="44"/>
        <v>6783.3</v>
      </c>
      <c r="AA80" s="22">
        <v>77882</v>
      </c>
      <c r="AB80">
        <v>-999</v>
      </c>
      <c r="AC80">
        <v>77882</v>
      </c>
      <c r="AD80">
        <v>115940.2</v>
      </c>
      <c r="AE80">
        <v>-999</v>
      </c>
      <c r="AF80">
        <v>115940.2</v>
      </c>
      <c r="AG80">
        <v>96771.3</v>
      </c>
      <c r="AH80">
        <v>-999</v>
      </c>
      <c r="AI80">
        <v>96771.3</v>
      </c>
      <c r="AJ80">
        <v>74008.7</v>
      </c>
      <c r="AK80">
        <v>-999</v>
      </c>
      <c r="AL80">
        <v>74008.7</v>
      </c>
      <c r="AM80">
        <v>110174.1</v>
      </c>
      <c r="AN80">
        <v>-999</v>
      </c>
      <c r="AO80">
        <v>110174.1</v>
      </c>
      <c r="AP80">
        <v>91958.5</v>
      </c>
      <c r="AQ80">
        <v>-999</v>
      </c>
      <c r="AR80">
        <v>91958.5</v>
      </c>
      <c r="AS80">
        <v>566734.86</v>
      </c>
      <c r="AT80" s="22">
        <f t="shared" si="72"/>
        <v>129648.95628195</v>
      </c>
      <c r="AU80">
        <f t="shared" si="72"/>
        <v>-999</v>
      </c>
      <c r="AV80">
        <f t="shared" si="72"/>
        <v>129648.95628195</v>
      </c>
      <c r="AW80">
        <f t="shared" si="72"/>
        <v>193003.85096839501</v>
      </c>
      <c r="AX80">
        <f t="shared" si="72"/>
        <v>-999</v>
      </c>
      <c r="AY80">
        <f t="shared" si="72"/>
        <v>193003.85096839501</v>
      </c>
      <c r="AZ80">
        <f t="shared" si="72"/>
        <v>161093.68073556753</v>
      </c>
      <c r="BA80">
        <f t="shared" si="72"/>
        <v>-999</v>
      </c>
      <c r="BB80">
        <f t="shared" si="72"/>
        <v>161093.68073556753</v>
      </c>
      <c r="BC80">
        <f t="shared" si="72"/>
        <v>123201.1339049325</v>
      </c>
      <c r="BD80">
        <f t="shared" si="72"/>
        <v>-999</v>
      </c>
      <c r="BE80">
        <f t="shared" si="72"/>
        <v>123201.1339049325</v>
      </c>
      <c r="BF80">
        <f t="shared" si="72"/>
        <v>183405.1138170975</v>
      </c>
      <c r="BG80">
        <f t="shared" si="65"/>
        <v>-999</v>
      </c>
      <c r="BH80">
        <f t="shared" si="65"/>
        <v>183405.1138170975</v>
      </c>
      <c r="BI80">
        <f t="shared" si="65"/>
        <v>153081.8872942875</v>
      </c>
      <c r="BJ80">
        <f t="shared" si="38"/>
        <v>-999</v>
      </c>
      <c r="BK80">
        <f t="shared" si="38"/>
        <v>153081.8872942875</v>
      </c>
      <c r="BL80">
        <f t="shared" si="38"/>
        <v>943434.72288329841</v>
      </c>
      <c r="BM80" s="22">
        <f>-17.17-(0.1023*E80)+F80*(100-8.576-13.681)</f>
        <v>34.021682946986701</v>
      </c>
      <c r="BN80">
        <f>IF(AT80&lt;&gt;-999,AT80*$BM80, -999)</f>
        <v>4410875.6850322429</v>
      </c>
      <c r="BO80">
        <f>IF(AU80&lt;&gt;-999,AU80*$BM80, -999)</f>
        <v>-999</v>
      </c>
      <c r="BP80" s="25">
        <f>IF(AV80&lt;&gt;-999,AV80*$BM80, -999)</f>
        <v>4410875.6850322429</v>
      </c>
      <c r="BQ80">
        <f>-19.943-(0.1023*E80)+F80*(100-8.576-13.681)</f>
        <v>31.248682946986698</v>
      </c>
      <c r="BR80">
        <f>IF(AW80&lt;&gt;-999,AW80*$BQ80, -999)</f>
        <v>6031116.1464588474</v>
      </c>
      <c r="BS80">
        <f>IF(AX80&lt;&gt;-999,AX80*$BQ80, -999)</f>
        <v>-999</v>
      </c>
      <c r="BT80" s="25">
        <f>IF(AY80&lt;&gt;-999,AY80*$BQ80, -999)</f>
        <v>6031116.1464588474</v>
      </c>
      <c r="BU80">
        <f>-25.871-(0.1023*E80)+F80*(100-8.576-13.681)</f>
        <v>25.3206829469867</v>
      </c>
      <c r="BV80">
        <f>IF(AZ80&lt;&gt;-999,AZ80*$BU80, -999)</f>
        <v>4079002.0146684046</v>
      </c>
      <c r="BW80">
        <f>IF(BA80&lt;&gt;-999,BA80*$BU80, -999)</f>
        <v>-999</v>
      </c>
      <c r="BX80" s="25">
        <f>IF(BB80&lt;&gt;-999,BB80*$BU80, -999)</f>
        <v>4079002.0146684046</v>
      </c>
      <c r="BY80">
        <f>-25.245-(0.1023*E80)+F80*(100-8.576-13.681)</f>
        <v>25.946682946986698</v>
      </c>
      <c r="BZ80">
        <f>IF(BC80&lt;&gt;-999,BC80*$BY80, -999)</f>
        <v>3196660.7601405368</v>
      </c>
      <c r="CA80">
        <f>IF(BD80&lt;&gt;-999,BD80*$BY80, -999)</f>
        <v>-999</v>
      </c>
      <c r="CB80" s="25">
        <f>IF(BE80&lt;&gt;-999,BE80*$BY80, -999)</f>
        <v>3196660.7601405368</v>
      </c>
      <c r="CC80">
        <f>-29.317-(0.1023*E80)+F80*(100-8.576-13.681)</f>
        <v>21.874682946986695</v>
      </c>
      <c r="CD80">
        <f>IF(BF80&lt;&gt;-999,BF80*$CC80, -999)</f>
        <v>4011928.7156050168</v>
      </c>
      <c r="CE80">
        <f>IF(BG80&lt;&gt;-999,BG80*$CC80, -999)</f>
        <v>-999</v>
      </c>
      <c r="CF80" s="25">
        <f>IF(BH80&lt;&gt;-999,BH80*$CC80, -999)</f>
        <v>4011928.7156050168</v>
      </c>
      <c r="CG80">
        <f>-38.03-(0.1023*E80)+F80*(100-8.576-13.681)</f>
        <v>13.161682946986701</v>
      </c>
      <c r="CH80">
        <f>IF(BI80&lt;&gt;-999,BI80*$CG80, -999)</f>
        <v>2014815.2654937641</v>
      </c>
      <c r="CI80">
        <f>IF(BJ80&lt;&gt;-999,BJ80*$CG80, -999)</f>
        <v>-999</v>
      </c>
      <c r="CJ80" s="25">
        <f>IF(BK80&lt;&gt;-999,BK80*$CG80, -999)</f>
        <v>2014815.2654937641</v>
      </c>
      <c r="CK80" s="26">
        <f t="shared" si="45"/>
        <v>23744398.587398816</v>
      </c>
      <c r="CL80">
        <f t="shared" si="46"/>
        <v>-35.639538315131041</v>
      </c>
      <c r="CM80">
        <f t="shared" si="47"/>
        <v>21.960254997325542</v>
      </c>
      <c r="CN80">
        <f t="shared" si="48"/>
        <v>-92.244374256033453</v>
      </c>
      <c r="CO80" s="22">
        <f t="shared" si="49"/>
        <v>-40.08</v>
      </c>
      <c r="CP80">
        <f>IF(AT80&lt;&gt;-999,AT80*$CO80, -999)</f>
        <v>-5196330.1677805558</v>
      </c>
      <c r="CQ80">
        <f>IF(AU80&lt;&gt;-999,AU80*$CO80, -999)</f>
        <v>-999</v>
      </c>
      <c r="CR80" s="27">
        <f>IF(AV80&lt;&gt;-999,AV80*$CO80, -999)</f>
        <v>-5196330.1677805558</v>
      </c>
      <c r="CS80">
        <f t="shared" si="50"/>
        <v>-42.853000000000002</v>
      </c>
      <c r="CT80">
        <f>IF(AW80&lt;&gt;-999,AW80*$CS80, -999)</f>
        <v>-8270794.0255486313</v>
      </c>
      <c r="CU80">
        <f>IF(AX80&lt;&gt;-999,AX80*$CS80, -999)</f>
        <v>-999</v>
      </c>
      <c r="CV80" s="27">
        <f>IF(AY80&lt;&gt;-999,AY80*$CS80, -999)</f>
        <v>-8270794.0255486313</v>
      </c>
      <c r="CW80">
        <f t="shared" si="51"/>
        <v>-48.780999999999999</v>
      </c>
      <c r="CX80">
        <f>IF(AZ80&lt;&gt;-999,AZ80*$CO80, -999)</f>
        <v>-6456634.7238815464</v>
      </c>
      <c r="CY80">
        <f>IF(BA80&lt;&gt;-999,BA80*$CO80, -999)</f>
        <v>-999</v>
      </c>
      <c r="CZ80" s="27">
        <f>IF(BB80&lt;&gt;-999,BB80*$CO80, -999)</f>
        <v>-6456634.7238815464</v>
      </c>
      <c r="DA80">
        <f t="shared" si="52"/>
        <v>-48.155000000000001</v>
      </c>
      <c r="DB80">
        <f>IF(BC80&lt;&gt;-999,BC80*$DA80, -999)</f>
        <v>-5932750.6031920249</v>
      </c>
      <c r="DC80">
        <f>IF(BD80&lt;&gt;-999,BD80*$DA80, -999)</f>
        <v>-999</v>
      </c>
      <c r="DD80" s="27">
        <f>IF(BE80&lt;&gt;-999,BE80*$DA80, -999)</f>
        <v>-5932750.6031920249</v>
      </c>
      <c r="DE80">
        <f t="shared" si="53"/>
        <v>-52.227000000000004</v>
      </c>
      <c r="DF80">
        <f>IF(BF80&lt;&gt;-999,BF80*$DE80, -999)</f>
        <v>-9578698.8793255519</v>
      </c>
      <c r="DG80">
        <f>IF(BG80&lt;&gt;-999,BG80*$DE80, -999)</f>
        <v>-999</v>
      </c>
      <c r="DH80" s="27">
        <f>IF(BH80&lt;&gt;-999,BH80*$DE80, -999)</f>
        <v>-9578698.8793255519</v>
      </c>
      <c r="DI80">
        <f t="shared" si="54"/>
        <v>-60.94</v>
      </c>
      <c r="DJ80">
        <f>IF(BI80&lt;&gt;-999,BI80*$DI80, -999)</f>
        <v>-9328810.2117138803</v>
      </c>
      <c r="DK80">
        <f>IF(BJ80&lt;&gt;-999,BJ80*$DI80, -999)</f>
        <v>-999</v>
      </c>
      <c r="DL80" s="27">
        <f>IF(BK80&lt;&gt;-999,BK80*$DI80, -999)</f>
        <v>-9328810.2117138803</v>
      </c>
      <c r="DM80" s="28">
        <f t="shared" si="55"/>
        <v>-44764018.611442193</v>
      </c>
      <c r="DN80" s="22">
        <f t="shared" si="56"/>
        <v>-17.170000000000002</v>
      </c>
      <c r="DO80">
        <f>IF(AT80&lt;&gt;-999,AT80*$DN80, -999)</f>
        <v>-2226072.5793610816</v>
      </c>
      <c r="DP80">
        <f>IF(AU80&lt;&gt;-999,AU80*$DN80, -999)</f>
        <v>-999</v>
      </c>
      <c r="DQ80" s="24">
        <f>IF(AV80&lt;&gt;-999,AV80*$DN80, -999)</f>
        <v>-2226072.5793610816</v>
      </c>
      <c r="DR80">
        <f t="shared" si="57"/>
        <v>-19.943000000000001</v>
      </c>
      <c r="DS80">
        <f>IF(AW80&lt;&gt;-999,AW80*$DR80, -999)</f>
        <v>-3849075.7998627019</v>
      </c>
      <c r="DT80">
        <f>IF(AX80&lt;&gt;-999,AX80*$DR80, -999)</f>
        <v>-999</v>
      </c>
      <c r="DU80" s="24">
        <f>IF(AY80&lt;&gt;-999,AY80*$DR80, -999)</f>
        <v>-3849075.7998627019</v>
      </c>
      <c r="DV80">
        <f t="shared" si="58"/>
        <v>-25.870999999999999</v>
      </c>
      <c r="DW80">
        <f>IF(AZ80&lt;&gt;-999,AZ80*$DV80, -999)</f>
        <v>-4167654.6143098674</v>
      </c>
      <c r="DX80">
        <f>IF(BA80&lt;&gt;-999,BA80*$DV80, -999)</f>
        <v>-999</v>
      </c>
      <c r="DY80" s="24">
        <f>IF(BB80&lt;&gt;-999,BB80*$DV80, -999)</f>
        <v>-4167654.6143098674</v>
      </c>
      <c r="DZ80">
        <f t="shared" si="59"/>
        <v>-25.245000000000001</v>
      </c>
      <c r="EA80">
        <f>IF(BC80&lt;&gt;-999, BC80*$DZ80, -999)</f>
        <v>-3110212.625430021</v>
      </c>
      <c r="EB80">
        <f>IF(BD80&lt;&gt;-999, BD80*$DZ80, -999)</f>
        <v>-999</v>
      </c>
      <c r="EC80" s="24">
        <f>IF(BE80&lt;&gt;-999, BE80*$DZ80, -999)</f>
        <v>-3110212.625430021</v>
      </c>
      <c r="ED80">
        <f t="shared" si="60"/>
        <v>-29.317</v>
      </c>
      <c r="EE80">
        <f>IF(BF80&lt;&gt;-999,BF80*$ED80, -999)</f>
        <v>-5376887.7217758475</v>
      </c>
      <c r="EF80">
        <f>IF(BG80&lt;&gt;-999,BG80*$ED80, -999)</f>
        <v>-999</v>
      </c>
      <c r="EG80" s="24">
        <f>IF(BH80&lt;&gt;-999,BH80*$ED80, -999)</f>
        <v>-5376887.7217758475</v>
      </c>
      <c r="EH80">
        <f t="shared" si="61"/>
        <v>-38.03</v>
      </c>
      <c r="EI80">
        <f>IF(BI80&lt;&gt;-999,BI80*$EH80, -999)</f>
        <v>-5821704.1738017537</v>
      </c>
      <c r="EJ80">
        <f>IF(BJ80&lt;&gt;-999,BJ80*$EH80, -999)</f>
        <v>-999</v>
      </c>
      <c r="EK80" s="24">
        <f>IF(BK80&lt;&gt;-999,BK80*$EH80, -999)</f>
        <v>-5821704.1738017537</v>
      </c>
      <c r="EL80" s="28">
        <f t="shared" si="62"/>
        <v>-24551607.514541272</v>
      </c>
      <c r="EM80" s="22">
        <f>-17.17-(0.1023*G80)+H80*(100+102.093-66.644-64.243)</f>
        <v>31.653888492784219</v>
      </c>
      <c r="EN80">
        <f>IF(AT80&lt;&gt;-999,AT80*$EM80, -999)</f>
        <v>4103893.6053547012</v>
      </c>
      <c r="EO80">
        <f>IF(AU80&lt;&gt;-999,AU80*$EM80, -999)</f>
        <v>-999</v>
      </c>
      <c r="EP80" s="23">
        <f>IF(AV80&lt;&gt;-999,AV80*$EM80, -999)</f>
        <v>4103893.6053547012</v>
      </c>
      <c r="EQ80">
        <f>-19.943-(0.1023*G80)+H80*(100+102.093-66.644-64.243)</f>
        <v>28.880888492784216</v>
      </c>
      <c r="ER80">
        <f>IF(AW80&lt;&gt;-999,AW80*$EQ80, -999)</f>
        <v>5574122.6984961592</v>
      </c>
      <c r="ES80">
        <f>IF(AX80&lt;&gt;-999,AX80*$EQ80, -999)</f>
        <v>-999</v>
      </c>
      <c r="ET80" s="23">
        <f>IF(AY80&lt;&gt;-999,AY80*$EQ80, -999)</f>
        <v>5574122.6984961592</v>
      </c>
      <c r="EU80">
        <f>-25.871-(0.1023*G80)+H80*(100+102.093-66.644-64.243)</f>
        <v>22.952888492784218</v>
      </c>
      <c r="EV80">
        <f>IF(AZ80&lt;&gt;-999,AZ80*$EU80, -999)</f>
        <v>3697565.2908156626</v>
      </c>
      <c r="EW80">
        <f>IF(BA80&lt;&gt;-999,BA80*$EU80, -999)</f>
        <v>-999</v>
      </c>
      <c r="EX80" s="23">
        <f>IF(BB80&lt;&gt;-999,BB80*$EU80, -999)</f>
        <v>3697565.2908156626</v>
      </c>
      <c r="EY80">
        <f>-25.245-(0.1023*G80)+H80*(100+102.093-66.644-64.243)</f>
        <v>23.578888492784216</v>
      </c>
      <c r="EZ80">
        <f>IF(BC80&lt;&gt;-999, BC80*$EY80, -999)</f>
        <v>2904945.7985289805</v>
      </c>
      <c r="FA80">
        <f>IF(BD80&lt;&gt;-999, BD80*$EY80, -999)</f>
        <v>-999</v>
      </c>
      <c r="FB80" s="23">
        <f>IF(BE80&lt;&gt;-999, BE80*$EY80, -999)</f>
        <v>2904945.7985289805</v>
      </c>
      <c r="FC80">
        <f>-29.317-(0.1023*G80)+H80*(100+102.093-66.644-64.243)</f>
        <v>19.506888492784221</v>
      </c>
      <c r="FD80">
        <f>IF(BF80&lt;&gt;-999,BF80*$FC80, -999)</f>
        <v>3577663.1042365194</v>
      </c>
      <c r="FE80">
        <f>IF(BG80&lt;&gt;-999,BG80*$FC80, -999)</f>
        <v>-999</v>
      </c>
      <c r="FF80" s="23">
        <f>IF(BH80&lt;&gt;-999,BH80*$FC80, -999)</f>
        <v>3577663.1042365194</v>
      </c>
      <c r="FG80">
        <f>-38.03-(0.1023*G80)+H80*(100+102.093-66.644-64.243)</f>
        <v>10.79388849278422</v>
      </c>
      <c r="FH80">
        <f>IF(BI80&lt;&gt;-999,BI80*$FG80, -999)</f>
        <v>1652348.8217195007</v>
      </c>
      <c r="FI80">
        <f>IF(BJ80&lt;&gt;-999,BJ80*$FG80, -999)</f>
        <v>-999</v>
      </c>
      <c r="FJ80" s="23">
        <f>IF(BK80&lt;&gt;-999,BK80*$FG80, -999)</f>
        <v>1652348.8217195007</v>
      </c>
      <c r="FK80" s="28">
        <f t="shared" si="63"/>
        <v>21510539.319151524</v>
      </c>
      <c r="FL80" s="22">
        <f t="shared" si="66"/>
        <v>10.012280000000011</v>
      </c>
      <c r="FM80">
        <f>IF(AT80&lt;&gt;-999,AT80*$FL80, -999)</f>
        <v>1298081.6520026438</v>
      </c>
      <c r="FN80">
        <f>IF(AU80&lt;&gt;-999,AU80*$FL80, -999)</f>
        <v>-999</v>
      </c>
      <c r="FO80" s="29">
        <f>IF(AV80&lt;&gt;-999,AV80*$FL80, -999)</f>
        <v>1298081.6520026438</v>
      </c>
      <c r="FP80">
        <f t="shared" si="67"/>
        <v>7.2392800000000115</v>
      </c>
      <c r="FQ80">
        <f>IF(AW80&lt;&gt;-999,AW80*$FP80, -999)</f>
        <v>1397208.9182384848</v>
      </c>
      <c r="FR80">
        <f>IF(AX80&lt;&gt;-999,AX80*$FP80, -999)</f>
        <v>-999</v>
      </c>
      <c r="FS80" s="29">
        <f>IF(AY80&lt;&gt;-999,AY80*$FP80, -999)</f>
        <v>1397208.9182384848</v>
      </c>
      <c r="FT80">
        <f t="shared" si="68"/>
        <v>1.3112800000000142</v>
      </c>
      <c r="FU80">
        <f>IF(AZ80&lt;&gt;-999,AZ80*$FT80, -999)</f>
        <v>211238.92167493727</v>
      </c>
      <c r="FV80">
        <f>IF(BA80&lt;&gt;-999,BA80*$FT80, -999)</f>
        <v>-999</v>
      </c>
      <c r="FW80" s="29">
        <f>IF(BB80&lt;&gt;-999,BB80*$FT80, -999)</f>
        <v>211238.92167493727</v>
      </c>
      <c r="FX80">
        <f t="shared" si="69"/>
        <v>1.9372800000000119</v>
      </c>
      <c r="FY80">
        <f>IF(BC80&lt;&gt;-999, BC80*$FX80, -999)</f>
        <v>238675.0926913491</v>
      </c>
      <c r="FZ80">
        <f>IF(BD80&lt;&gt;-999, BD80*$FX80, -999)</f>
        <v>-999</v>
      </c>
      <c r="GA80" s="29">
        <f>IF(BE80&lt;&gt;-999, BE80*$FX80, -999)</f>
        <v>238675.0926913491</v>
      </c>
      <c r="GB80">
        <f t="shared" si="70"/>
        <v>-2.1347199999999873</v>
      </c>
      <c r="GC80">
        <f>IF(BF80&lt;&gt;-999,BF80*$GB80, -999)</f>
        <v>-391518.56456763204</v>
      </c>
      <c r="GD80">
        <f>IF(BG80&lt;&gt;-999,BG80*$GB80, -999)</f>
        <v>-999</v>
      </c>
      <c r="GE80" s="29">
        <f>IF(BH80&lt;&gt;-999,BH80*$GB80, -999)</f>
        <v>-391518.56456763204</v>
      </c>
      <c r="GF80">
        <f t="shared" si="71"/>
        <v>-10.847719999999988</v>
      </c>
      <c r="GG80">
        <f>IF(BI80&lt;&gt;-999,BI80*$GF80, -999)</f>
        <v>-1660589.4504399865</v>
      </c>
      <c r="GH80">
        <f>IF(BJ80&lt;&gt;-999,BJ80*$GF80, -999)</f>
        <v>-999</v>
      </c>
      <c r="GI80" s="29">
        <f>IF(BK80&lt;&gt;-999,BK80*$GF80, -999)</f>
        <v>-1660589.4504399865</v>
      </c>
      <c r="GJ80" s="30">
        <f t="shared" si="64"/>
        <v>1093096.5695997963</v>
      </c>
    </row>
    <row r="81" spans="1:192">
      <c r="A81" s="48" t="s">
        <v>138</v>
      </c>
      <c r="B81" s="48" t="s">
        <v>219</v>
      </c>
      <c r="C81" s="49">
        <v>76</v>
      </c>
      <c r="D81" s="50">
        <v>0.80400000000000005</v>
      </c>
      <c r="E81" s="49">
        <v>156.721159404791</v>
      </c>
      <c r="F81" s="49">
        <v>0.78512821436068503</v>
      </c>
      <c r="G81" s="49">
        <v>146.43596808076501</v>
      </c>
      <c r="H81" s="49">
        <v>0.81300635349433903</v>
      </c>
      <c r="I81" s="42">
        <v>19028.8</v>
      </c>
      <c r="J81" s="43">
        <v>-999</v>
      </c>
      <c r="K81" s="43">
        <f t="shared" si="39"/>
        <v>19028.8</v>
      </c>
      <c r="L81" s="43">
        <v>11197.5</v>
      </c>
      <c r="M81" s="43">
        <v>-999</v>
      </c>
      <c r="N81" s="43">
        <f t="shared" si="40"/>
        <v>11197.5</v>
      </c>
      <c r="O81" s="43">
        <v>21947.8</v>
      </c>
      <c r="P81" s="43">
        <v>-999</v>
      </c>
      <c r="Q81" s="43">
        <f t="shared" si="41"/>
        <v>21947.8</v>
      </c>
      <c r="R81" s="43">
        <v>15232.6</v>
      </c>
      <c r="S81" s="43">
        <v>-999</v>
      </c>
      <c r="T81" s="43">
        <f t="shared" si="42"/>
        <v>15232.6</v>
      </c>
      <c r="U81" s="43">
        <v>8963.6</v>
      </c>
      <c r="V81" s="43">
        <v>-999</v>
      </c>
      <c r="W81" s="43">
        <f t="shared" si="43"/>
        <v>8963.6</v>
      </c>
      <c r="X81" s="43">
        <v>17569.3</v>
      </c>
      <c r="Y81" s="43">
        <v>-999</v>
      </c>
      <c r="Z81" s="43">
        <f t="shared" si="44"/>
        <v>17569.3</v>
      </c>
      <c r="AA81" s="22">
        <v>195531.5</v>
      </c>
      <c r="AB81">
        <v>-999</v>
      </c>
      <c r="AC81">
        <v>195531.5</v>
      </c>
      <c r="AD81">
        <v>115060.8</v>
      </c>
      <c r="AE81">
        <v>-999</v>
      </c>
      <c r="AF81">
        <v>115060.8</v>
      </c>
      <c r="AG81">
        <v>225526.7</v>
      </c>
      <c r="AH81">
        <v>-999</v>
      </c>
      <c r="AI81">
        <v>225526.7</v>
      </c>
      <c r="AJ81">
        <v>156523.29999999999</v>
      </c>
      <c r="AK81">
        <v>-999</v>
      </c>
      <c r="AL81">
        <v>156523.29999999999</v>
      </c>
      <c r="AM81">
        <v>92106.3</v>
      </c>
      <c r="AN81">
        <v>-999</v>
      </c>
      <c r="AO81">
        <v>92106.3</v>
      </c>
      <c r="AP81">
        <v>180534.5</v>
      </c>
      <c r="AQ81">
        <v>-999</v>
      </c>
      <c r="AR81">
        <v>180534.5</v>
      </c>
      <c r="AS81">
        <v>965283.02</v>
      </c>
      <c r="AT81" s="22">
        <f t="shared" si="72"/>
        <v>325498.25242346252</v>
      </c>
      <c r="AU81">
        <f t="shared" si="72"/>
        <v>-999</v>
      </c>
      <c r="AV81">
        <f t="shared" si="72"/>
        <v>325498.25242346252</v>
      </c>
      <c r="AW81">
        <f t="shared" si="72"/>
        <v>191539.92744108001</v>
      </c>
      <c r="AX81">
        <f t="shared" si="72"/>
        <v>-999</v>
      </c>
      <c r="AY81">
        <f t="shared" si="72"/>
        <v>191539.92744108001</v>
      </c>
      <c r="AZ81">
        <f t="shared" si="72"/>
        <v>375430.79618798255</v>
      </c>
      <c r="BA81">
        <f t="shared" si="72"/>
        <v>-999</v>
      </c>
      <c r="BB81">
        <f t="shared" si="72"/>
        <v>375430.79618798255</v>
      </c>
      <c r="BC81">
        <f t="shared" si="72"/>
        <v>260561.90748576747</v>
      </c>
      <c r="BD81">
        <f t="shared" si="72"/>
        <v>-999</v>
      </c>
      <c r="BE81">
        <f t="shared" si="72"/>
        <v>260561.90748576747</v>
      </c>
      <c r="BF81">
        <f t="shared" si="72"/>
        <v>153327.9276596925</v>
      </c>
      <c r="BG81">
        <f t="shared" si="65"/>
        <v>-999</v>
      </c>
      <c r="BH81">
        <f t="shared" si="65"/>
        <v>153327.9276596925</v>
      </c>
      <c r="BI81">
        <f t="shared" si="65"/>
        <v>300532.97935188748</v>
      </c>
      <c r="BJ81">
        <f t="shared" si="38"/>
        <v>-999</v>
      </c>
      <c r="BK81">
        <f t="shared" si="38"/>
        <v>300532.97935188748</v>
      </c>
      <c r="BL81">
        <f t="shared" si="38"/>
        <v>1606891.6573751145</v>
      </c>
      <c r="BM81" s="22">
        <f>-17.17-(0.1023*E81)+F81*(100-8.576-13.681)</f>
        <v>27.835648161932617</v>
      </c>
      <c r="BN81">
        <f>IF(AT81&lt;&gt;-999,AT81*$BM81, -999)</f>
        <v>9060454.8317834344</v>
      </c>
      <c r="BO81">
        <f>IF(AU81&lt;&gt;-999,AU81*$BM81, -999)</f>
        <v>-999</v>
      </c>
      <c r="BP81" s="25">
        <f>IF(AV81&lt;&gt;-999,AV81*$BM81, -999)</f>
        <v>9060454.8317834344</v>
      </c>
      <c r="BQ81">
        <f>-19.943-(0.1023*E81)+F81*(100-8.576-13.681)</f>
        <v>25.062648161932621</v>
      </c>
      <c r="BR81">
        <f>IF(AW81&lt;&gt;-999,AW81*$BQ81, -999)</f>
        <v>4800497.8104178915</v>
      </c>
      <c r="BS81">
        <f>IF(AX81&lt;&gt;-999,AX81*$BQ81, -999)</f>
        <v>-999</v>
      </c>
      <c r="BT81" s="25">
        <f>IF(AY81&lt;&gt;-999,AY81*$BQ81, -999)</f>
        <v>4800497.8104178915</v>
      </c>
      <c r="BU81">
        <f>-25.871-(0.1023*E81)+F81*(100-8.576-13.681)</f>
        <v>19.134648161932624</v>
      </c>
      <c r="BV81">
        <f>IF(AZ81&lt;&gt;-999,AZ81*$BU81, -999)</f>
        <v>7183736.1942112818</v>
      </c>
      <c r="BW81">
        <f>IF(BA81&lt;&gt;-999,BA81*$BU81, -999)</f>
        <v>-999</v>
      </c>
      <c r="BX81" s="25">
        <f>IF(BB81&lt;&gt;-999,BB81*$BU81, -999)</f>
        <v>7183736.1942112818</v>
      </c>
      <c r="BY81">
        <f>-25.245-(0.1023*E81)+F81*(100-8.576-13.681)</f>
        <v>19.760648161932615</v>
      </c>
      <c r="BZ81">
        <f>IF(BC81&lt;&gt;-999,BC81*$BY81, -999)</f>
        <v>5148872.178228287</v>
      </c>
      <c r="CA81">
        <f>IF(BD81&lt;&gt;-999,BD81*$BY81, -999)</f>
        <v>-999</v>
      </c>
      <c r="CB81" s="25">
        <f>IF(BE81&lt;&gt;-999,BE81*$BY81, -999)</f>
        <v>5148872.178228287</v>
      </c>
      <c r="CC81">
        <f>-29.317-(0.1023*E81)+F81*(100-8.576-13.681)</f>
        <v>15.688648161932619</v>
      </c>
      <c r="CD81">
        <f>IF(BF81&lt;&gt;-999,BF81*$CC81, -999)</f>
        <v>2405507.9104511724</v>
      </c>
      <c r="CE81">
        <f>IF(BG81&lt;&gt;-999,BG81*$CC81, -999)</f>
        <v>-999</v>
      </c>
      <c r="CF81" s="25">
        <f>IF(BH81&lt;&gt;-999,BH81*$CC81, -999)</f>
        <v>2405507.9104511724</v>
      </c>
      <c r="CG81">
        <f>-38.03-(0.1023*E81)+F81*(100-8.576-13.681)</f>
        <v>6.9756481619326181</v>
      </c>
      <c r="CH81">
        <f>IF(BI81&lt;&gt;-999,BI81*$CG81, -999)</f>
        <v>2096412.3250161274</v>
      </c>
      <c r="CI81">
        <f>IF(BJ81&lt;&gt;-999,BJ81*$CG81, -999)</f>
        <v>-999</v>
      </c>
      <c r="CJ81" s="25">
        <f>IF(BK81&lt;&gt;-999,BK81*$CG81, -999)</f>
        <v>2096412.3250161274</v>
      </c>
      <c r="CK81" s="26">
        <f t="shared" si="45"/>
        <v>30695481.250108197</v>
      </c>
      <c r="CL81">
        <f t="shared" si="46"/>
        <v>-28.425709734603153</v>
      </c>
      <c r="CM81">
        <f t="shared" si="47"/>
        <v>29.456556077236257</v>
      </c>
      <c r="CN81">
        <f t="shared" si="48"/>
        <v>-85.308138850165861</v>
      </c>
      <c r="CO81" s="22">
        <f t="shared" si="49"/>
        <v>-40.08</v>
      </c>
      <c r="CP81">
        <f>IF(AT81&lt;&gt;-999,AT81*$CO81, -999)</f>
        <v>-13045969.957132377</v>
      </c>
      <c r="CQ81">
        <f>IF(AU81&lt;&gt;-999,AU81*$CO81, -999)</f>
        <v>-999</v>
      </c>
      <c r="CR81" s="27">
        <f>IF(AV81&lt;&gt;-999,AV81*$CO81, -999)</f>
        <v>-13045969.957132377</v>
      </c>
      <c r="CS81">
        <f t="shared" si="50"/>
        <v>-42.853000000000002</v>
      </c>
      <c r="CT81">
        <f>IF(AW81&lt;&gt;-999,AW81*$CS81, -999)</f>
        <v>-8208060.5106326025</v>
      </c>
      <c r="CU81">
        <f>IF(AX81&lt;&gt;-999,AX81*$CS81, -999)</f>
        <v>-999</v>
      </c>
      <c r="CV81" s="27">
        <f>IF(AY81&lt;&gt;-999,AY81*$CS81, -999)</f>
        <v>-8208060.5106326025</v>
      </c>
      <c r="CW81">
        <f t="shared" si="51"/>
        <v>-48.780999999999999</v>
      </c>
      <c r="CX81">
        <f>IF(AZ81&lt;&gt;-999,AZ81*$CO81, -999)</f>
        <v>-15047266.311214339</v>
      </c>
      <c r="CY81">
        <f>IF(BA81&lt;&gt;-999,BA81*$CO81, -999)</f>
        <v>-999</v>
      </c>
      <c r="CZ81" s="27">
        <f>IF(BB81&lt;&gt;-999,BB81*$CO81, -999)</f>
        <v>-15047266.311214339</v>
      </c>
      <c r="DA81">
        <f t="shared" si="52"/>
        <v>-48.155000000000001</v>
      </c>
      <c r="DB81">
        <f>IF(BC81&lt;&gt;-999,BC81*$DA81, -999)</f>
        <v>-12547358.654977133</v>
      </c>
      <c r="DC81">
        <f>IF(BD81&lt;&gt;-999,BD81*$DA81, -999)</f>
        <v>-999</v>
      </c>
      <c r="DD81" s="27">
        <f>IF(BE81&lt;&gt;-999,BE81*$DA81, -999)</f>
        <v>-12547358.654977133</v>
      </c>
      <c r="DE81">
        <f t="shared" si="53"/>
        <v>-52.227000000000004</v>
      </c>
      <c r="DF81">
        <f>IF(BF81&lt;&gt;-999,BF81*$DE81, -999)</f>
        <v>-8007857.6778827608</v>
      </c>
      <c r="DG81">
        <f>IF(BG81&lt;&gt;-999,BG81*$DE81, -999)</f>
        <v>-999</v>
      </c>
      <c r="DH81" s="27">
        <f>IF(BH81&lt;&gt;-999,BH81*$DE81, -999)</f>
        <v>-8007857.6778827608</v>
      </c>
      <c r="DI81">
        <f t="shared" si="54"/>
        <v>-60.94</v>
      </c>
      <c r="DJ81">
        <f>IF(BI81&lt;&gt;-999,BI81*$DI81, -999)</f>
        <v>-18314479.761704024</v>
      </c>
      <c r="DK81">
        <f>IF(BJ81&lt;&gt;-999,BJ81*$DI81, -999)</f>
        <v>-999</v>
      </c>
      <c r="DL81" s="27">
        <f>IF(BK81&lt;&gt;-999,BK81*$DI81, -999)</f>
        <v>-18314479.761704024</v>
      </c>
      <c r="DM81" s="28">
        <f t="shared" si="55"/>
        <v>-75170992.873543233</v>
      </c>
      <c r="DN81" s="22">
        <f t="shared" si="56"/>
        <v>-17.170000000000002</v>
      </c>
      <c r="DO81">
        <f>IF(AT81&lt;&gt;-999,AT81*$DN81, -999)</f>
        <v>-5588804.9941108515</v>
      </c>
      <c r="DP81">
        <f>IF(AU81&lt;&gt;-999,AU81*$DN81, -999)</f>
        <v>-999</v>
      </c>
      <c r="DQ81" s="24">
        <f>IF(AV81&lt;&gt;-999,AV81*$DN81, -999)</f>
        <v>-5588804.9941108515</v>
      </c>
      <c r="DR81">
        <f t="shared" si="57"/>
        <v>-19.943000000000001</v>
      </c>
      <c r="DS81">
        <f>IF(AW81&lt;&gt;-999,AW81*$DR81, -999)</f>
        <v>-3819880.7729574591</v>
      </c>
      <c r="DT81">
        <f>IF(AX81&lt;&gt;-999,AX81*$DR81, -999)</f>
        <v>-999</v>
      </c>
      <c r="DU81" s="24">
        <f>IF(AY81&lt;&gt;-999,AY81*$DR81, -999)</f>
        <v>-3819880.7729574591</v>
      </c>
      <c r="DV81">
        <f t="shared" si="58"/>
        <v>-25.870999999999999</v>
      </c>
      <c r="DW81">
        <f>IF(AZ81&lt;&gt;-999,AZ81*$DV81, -999)</f>
        <v>-9712770.1281792969</v>
      </c>
      <c r="DX81">
        <f>IF(BA81&lt;&gt;-999,BA81*$DV81, -999)</f>
        <v>-999</v>
      </c>
      <c r="DY81" s="24">
        <f>IF(BB81&lt;&gt;-999,BB81*$DV81, -999)</f>
        <v>-9712770.1281792969</v>
      </c>
      <c r="DZ81">
        <f t="shared" si="59"/>
        <v>-25.245000000000001</v>
      </c>
      <c r="EA81">
        <f>IF(BC81&lt;&gt;-999, BC81*$DZ81, -999)</f>
        <v>-6577885.3544782</v>
      </c>
      <c r="EB81">
        <f>IF(BD81&lt;&gt;-999, BD81*$DZ81, -999)</f>
        <v>-999</v>
      </c>
      <c r="EC81" s="24">
        <f>IF(BE81&lt;&gt;-999, BE81*$DZ81, -999)</f>
        <v>-6577885.3544782</v>
      </c>
      <c r="ED81">
        <f t="shared" si="60"/>
        <v>-29.317</v>
      </c>
      <c r="EE81">
        <f>IF(BF81&lt;&gt;-999,BF81*$ED81, -999)</f>
        <v>-4495114.8551992048</v>
      </c>
      <c r="EF81">
        <f>IF(BG81&lt;&gt;-999,BG81*$ED81, -999)</f>
        <v>-999</v>
      </c>
      <c r="EG81" s="24">
        <f>IF(BH81&lt;&gt;-999,BH81*$ED81, -999)</f>
        <v>-4495114.8551992048</v>
      </c>
      <c r="EH81">
        <f t="shared" si="61"/>
        <v>-38.03</v>
      </c>
      <c r="EI81">
        <f>IF(BI81&lt;&gt;-999,BI81*$EH81, -999)</f>
        <v>-11429269.204752281</v>
      </c>
      <c r="EJ81">
        <f>IF(BJ81&lt;&gt;-999,BJ81*$EH81, -999)</f>
        <v>-999</v>
      </c>
      <c r="EK81" s="24">
        <f>IF(BK81&lt;&gt;-999,BK81*$EH81, -999)</f>
        <v>-11429269.204752281</v>
      </c>
      <c r="EL81" s="28">
        <f t="shared" si="62"/>
        <v>-41623725.309677295</v>
      </c>
      <c r="EM81" s="22">
        <f>-17.17-(0.1023*G81)+H81*(100+102.093-66.644-64.243)</f>
        <v>25.740530872255654</v>
      </c>
      <c r="EN81">
        <f>IF(AT81&lt;&gt;-999,AT81*$EM81, -999)</f>
        <v>8378497.8153714007</v>
      </c>
      <c r="EO81">
        <f>IF(AU81&lt;&gt;-999,AU81*$EM81, -999)</f>
        <v>-999</v>
      </c>
      <c r="EP81" s="23">
        <f>IF(AV81&lt;&gt;-999,AV81*$EM81, -999)</f>
        <v>8378497.8153714007</v>
      </c>
      <c r="EQ81">
        <f>-19.943-(0.1023*G81)+H81*(100+102.093-66.644-64.243)</f>
        <v>22.967530872255651</v>
      </c>
      <c r="ER81">
        <f>IF(AW81&lt;&gt;-999,AW81*$EQ81, -999)</f>
        <v>4399199.1967726126</v>
      </c>
      <c r="ES81">
        <f>IF(AX81&lt;&gt;-999,AX81*$EQ81, -999)</f>
        <v>-999</v>
      </c>
      <c r="ET81" s="23">
        <f>IF(AY81&lt;&gt;-999,AY81*$EQ81, -999)</f>
        <v>4399199.1967726126</v>
      </c>
      <c r="EU81">
        <f>-25.871-(0.1023*G81)+H81*(100+102.093-66.644-64.243)</f>
        <v>17.039530872255654</v>
      </c>
      <c r="EV81">
        <f>IF(AZ81&lt;&gt;-999,AZ81*$EU81, -999)</f>
        <v>6397164.6420406485</v>
      </c>
      <c r="EW81">
        <f>IF(BA81&lt;&gt;-999,BA81*$EU81, -999)</f>
        <v>-999</v>
      </c>
      <c r="EX81" s="23">
        <f>IF(BB81&lt;&gt;-999,BB81*$EU81, -999)</f>
        <v>6397164.6420406485</v>
      </c>
      <c r="EY81">
        <f>-25.245-(0.1023*G81)+H81*(100+102.093-66.644-64.243)</f>
        <v>17.665530872255658</v>
      </c>
      <c r="EZ81">
        <f>IF(BC81&lt;&gt;-999, BC81*$EY81, -999)</f>
        <v>4602964.4208236476</v>
      </c>
      <c r="FA81">
        <f>IF(BD81&lt;&gt;-999, BD81*$EY81, -999)</f>
        <v>-999</v>
      </c>
      <c r="FB81" s="23">
        <f>IF(BE81&lt;&gt;-999, BE81*$EY81, -999)</f>
        <v>4602964.4208236476</v>
      </c>
      <c r="FC81">
        <f>-29.317-(0.1023*G81)+H81*(100+102.093-66.644-64.243)</f>
        <v>13.593530872255656</v>
      </c>
      <c r="FD81">
        <f>IF(BF81&lt;&gt;-999,BF81*$FC81, -999)</f>
        <v>2084267.918221012</v>
      </c>
      <c r="FE81">
        <f>IF(BG81&lt;&gt;-999,BG81*$FC81, -999)</f>
        <v>-999</v>
      </c>
      <c r="FF81" s="23">
        <f>IF(BH81&lt;&gt;-999,BH81*$FC81, -999)</f>
        <v>2084267.918221012</v>
      </c>
      <c r="FG81">
        <f>-38.03-(0.1023*G81)+H81*(100+102.093-66.644-64.243)</f>
        <v>4.8805308722556546</v>
      </c>
      <c r="FH81">
        <f>IF(BI81&lt;&gt;-999,BI81*$FG81, -999)</f>
        <v>1466760.483857858</v>
      </c>
      <c r="FI81">
        <f>IF(BJ81&lt;&gt;-999,BJ81*$FG81, -999)</f>
        <v>-999</v>
      </c>
      <c r="FJ81" s="23">
        <f>IF(BK81&lt;&gt;-999,BK81*$FG81, -999)</f>
        <v>1466760.483857858</v>
      </c>
      <c r="FK81" s="28">
        <f t="shared" si="63"/>
        <v>27328854.477087181</v>
      </c>
      <c r="FL81" s="22">
        <f t="shared" si="66"/>
        <v>10.012280000000011</v>
      </c>
      <c r="FM81">
        <f>IF(AT81&lt;&gt;-999,AT81*$FL81, -999)</f>
        <v>3258979.6427743891</v>
      </c>
      <c r="FN81">
        <f>IF(AU81&lt;&gt;-999,AU81*$FL81, -999)</f>
        <v>-999</v>
      </c>
      <c r="FO81" s="29">
        <f>IF(AV81&lt;&gt;-999,AV81*$FL81, -999)</f>
        <v>3258979.6427743891</v>
      </c>
      <c r="FP81">
        <f t="shared" si="67"/>
        <v>7.2392800000000115</v>
      </c>
      <c r="FQ81">
        <f>IF(AW81&lt;&gt;-999,AW81*$FP81, -999)</f>
        <v>1386611.1659256639</v>
      </c>
      <c r="FR81">
        <f>IF(AX81&lt;&gt;-999,AX81*$FP81, -999)</f>
        <v>-999</v>
      </c>
      <c r="FS81" s="29">
        <f>IF(AY81&lt;&gt;-999,AY81*$FP81, -999)</f>
        <v>1386611.1659256639</v>
      </c>
      <c r="FT81">
        <f t="shared" si="68"/>
        <v>1.3112800000000142</v>
      </c>
      <c r="FU81">
        <f>IF(AZ81&lt;&gt;-999,AZ81*$FT81, -999)</f>
        <v>492294.89442538307</v>
      </c>
      <c r="FV81">
        <f>IF(BA81&lt;&gt;-999,BA81*$FT81, -999)</f>
        <v>-999</v>
      </c>
      <c r="FW81" s="29">
        <f>IF(BB81&lt;&gt;-999,BB81*$FT81, -999)</f>
        <v>492294.89442538307</v>
      </c>
      <c r="FX81">
        <f t="shared" si="69"/>
        <v>1.9372800000000119</v>
      </c>
      <c r="FY81">
        <f>IF(BC81&lt;&gt;-999, BC81*$FX81, -999)</f>
        <v>504781.37213403068</v>
      </c>
      <c r="FZ81">
        <f>IF(BD81&lt;&gt;-999, BD81*$FX81, -999)</f>
        <v>-999</v>
      </c>
      <c r="GA81" s="29">
        <f>IF(BE81&lt;&gt;-999, BE81*$FX81, -999)</f>
        <v>504781.37213403068</v>
      </c>
      <c r="GB81">
        <f t="shared" si="70"/>
        <v>-2.1347199999999873</v>
      </c>
      <c r="GC81">
        <f>IF(BF81&lt;&gt;-999,BF81*$GB81, -999)</f>
        <v>-327312.19373369683</v>
      </c>
      <c r="GD81">
        <f>IF(BG81&lt;&gt;-999,BG81*$GB81, -999)</f>
        <v>-999</v>
      </c>
      <c r="GE81" s="29">
        <f>IF(BH81&lt;&gt;-999,BH81*$GB81, -999)</f>
        <v>-327312.19373369683</v>
      </c>
      <c r="GF81">
        <f t="shared" si="71"/>
        <v>-10.847719999999988</v>
      </c>
      <c r="GG81">
        <f>IF(BI81&lt;&gt;-999,BI81*$GF81, -999)</f>
        <v>-3260097.6107750535</v>
      </c>
      <c r="GH81">
        <f>IF(BJ81&lt;&gt;-999,BJ81*$GF81, -999)</f>
        <v>-999</v>
      </c>
      <c r="GI81" s="29">
        <f>IF(BK81&lt;&gt;-999,BK81*$GF81, -999)</f>
        <v>-3260097.6107750535</v>
      </c>
      <c r="GJ81" s="30">
        <f t="shared" si="64"/>
        <v>2055257.2707507163</v>
      </c>
    </row>
    <row r="82" spans="1:192">
      <c r="A82" s="48" t="s">
        <v>161</v>
      </c>
      <c r="B82" s="48" t="s">
        <v>220</v>
      </c>
      <c r="C82" s="49">
        <v>67</v>
      </c>
      <c r="D82" s="50">
        <v>0.80200000000000005</v>
      </c>
      <c r="E82" s="49">
        <v>89.883452110955702</v>
      </c>
      <c r="F82" s="49">
        <v>0.79533433072814697</v>
      </c>
      <c r="G82" s="49">
        <v>110.223545366927</v>
      </c>
      <c r="H82" s="49">
        <v>0.81548030150740602</v>
      </c>
      <c r="I82" s="42">
        <v>45149.9</v>
      </c>
      <c r="J82" s="43">
        <v>-999</v>
      </c>
      <c r="K82" s="43">
        <f t="shared" si="39"/>
        <v>45149.9</v>
      </c>
      <c r="L82" s="43">
        <v>23675.599999999999</v>
      </c>
      <c r="M82" s="43">
        <v>-999</v>
      </c>
      <c r="N82" s="43">
        <f t="shared" si="40"/>
        <v>23675.599999999999</v>
      </c>
      <c r="O82" s="43">
        <v>78545.100000000006</v>
      </c>
      <c r="P82" s="43">
        <v>-999</v>
      </c>
      <c r="Q82" s="43">
        <f t="shared" si="41"/>
        <v>78545.100000000006</v>
      </c>
      <c r="R82" s="43">
        <v>56968.4</v>
      </c>
      <c r="S82" s="43">
        <v>-999</v>
      </c>
      <c r="T82" s="43">
        <f t="shared" si="42"/>
        <v>56968.4</v>
      </c>
      <c r="U82" s="43">
        <v>29873</v>
      </c>
      <c r="V82" s="43">
        <v>-999</v>
      </c>
      <c r="W82" s="43">
        <f t="shared" si="43"/>
        <v>29873</v>
      </c>
      <c r="X82" s="43">
        <v>99105.2</v>
      </c>
      <c r="Y82" s="43">
        <v>-999</v>
      </c>
      <c r="Z82" s="43">
        <f t="shared" si="44"/>
        <v>99105.2</v>
      </c>
      <c r="AA82" s="22">
        <v>367406.6</v>
      </c>
      <c r="AB82">
        <v>-999</v>
      </c>
      <c r="AC82">
        <v>367406.6</v>
      </c>
      <c r="AD82">
        <v>192660.1</v>
      </c>
      <c r="AE82">
        <v>-999</v>
      </c>
      <c r="AF82">
        <v>192660.1</v>
      </c>
      <c r="AG82">
        <v>639159.4</v>
      </c>
      <c r="AH82">
        <v>-999</v>
      </c>
      <c r="AI82">
        <v>639159.4</v>
      </c>
      <c r="AJ82">
        <v>463579.4</v>
      </c>
      <c r="AK82">
        <v>-999</v>
      </c>
      <c r="AL82">
        <v>463579.4</v>
      </c>
      <c r="AM82">
        <v>243091.1</v>
      </c>
      <c r="AN82">
        <v>-999</v>
      </c>
      <c r="AO82">
        <v>243091.1</v>
      </c>
      <c r="AP82">
        <v>806466.7</v>
      </c>
      <c r="AQ82">
        <v>-999</v>
      </c>
      <c r="AR82">
        <v>806466.7</v>
      </c>
      <c r="AS82">
        <v>2712363.36</v>
      </c>
      <c r="AT82" s="22">
        <f t="shared" si="72"/>
        <v>611616.0630325349</v>
      </c>
      <c r="AU82">
        <f t="shared" si="72"/>
        <v>-999</v>
      </c>
      <c r="AV82">
        <f t="shared" si="72"/>
        <v>611616.0630325349</v>
      </c>
      <c r="AW82">
        <f t="shared" si="72"/>
        <v>320718.27742194751</v>
      </c>
      <c r="AX82">
        <f t="shared" si="72"/>
        <v>-999</v>
      </c>
      <c r="AY82">
        <f t="shared" si="72"/>
        <v>320718.27742194751</v>
      </c>
      <c r="AZ82">
        <f t="shared" si="72"/>
        <v>1063998.7302303151</v>
      </c>
      <c r="BA82">
        <f t="shared" si="72"/>
        <v>-999</v>
      </c>
      <c r="BB82">
        <f t="shared" si="72"/>
        <v>1063998.7302303151</v>
      </c>
      <c r="BC82">
        <f t="shared" si="72"/>
        <v>771713.43010981509</v>
      </c>
      <c r="BD82">
        <f t="shared" si="72"/>
        <v>-999</v>
      </c>
      <c r="BE82">
        <f t="shared" si="72"/>
        <v>771713.43010981509</v>
      </c>
      <c r="BF82">
        <f t="shared" si="72"/>
        <v>404669.98018067254</v>
      </c>
      <c r="BG82">
        <f t="shared" si="65"/>
        <v>-999</v>
      </c>
      <c r="BH82">
        <f t="shared" si="65"/>
        <v>404669.98018067254</v>
      </c>
      <c r="BI82">
        <f t="shared" si="65"/>
        <v>1342512.5950944824</v>
      </c>
      <c r="BJ82">
        <f t="shared" si="38"/>
        <v>-999</v>
      </c>
      <c r="BK82">
        <f t="shared" si="38"/>
        <v>1342512.5950944824</v>
      </c>
      <c r="BL82">
        <f t="shared" si="38"/>
        <v>4515229.1759508355</v>
      </c>
      <c r="BM82" s="22">
        <f>-17.17-(0.1023*E82)+F82*(100-8.576-13.681)</f>
        <v>35.466599722847569</v>
      </c>
      <c r="BN82">
        <f>IF(AT82&lt;&gt;-999,AT82*$BM82, -999)</f>
        <v>21691942.091638822</v>
      </c>
      <c r="BO82">
        <f>IF(AU82&lt;&gt;-999,AU82*$BM82, -999)</f>
        <v>-999</v>
      </c>
      <c r="BP82" s="25">
        <f>IF(AV82&lt;&gt;-999,AV82*$BM82, -999)</f>
        <v>21691942.091638822</v>
      </c>
      <c r="BQ82">
        <f>-19.943-(0.1023*E82)+F82*(100-8.576-13.681)</f>
        <v>32.693599722847566</v>
      </c>
      <c r="BR82">
        <f>IF(AW82&lt;&gt;-999,AW82*$BQ82, -999)</f>
        <v>10485434.985834332</v>
      </c>
      <c r="BS82">
        <f>IF(AX82&lt;&gt;-999,AX82*$BQ82, -999)</f>
        <v>-999</v>
      </c>
      <c r="BT82" s="25">
        <f>IF(AY82&lt;&gt;-999,AY82*$BQ82, -999)</f>
        <v>10485434.985834332</v>
      </c>
      <c r="BU82">
        <f>-25.871-(0.1023*E82)+F82*(100-8.576-13.681)</f>
        <v>26.765599722847568</v>
      </c>
      <c r="BV82">
        <f>IF(AZ82&lt;&gt;-999,AZ82*$BU82, -999)</f>
        <v>28478564.118962687</v>
      </c>
      <c r="BW82">
        <f>IF(BA82&lt;&gt;-999,BA82*$BU82, -999)</f>
        <v>-999</v>
      </c>
      <c r="BX82" s="25">
        <f>IF(BB82&lt;&gt;-999,BB82*$BU82, -999)</f>
        <v>28478564.118962687</v>
      </c>
      <c r="BY82">
        <f>-25.245-(0.1023*E82)+F82*(100-8.576-13.681)</f>
        <v>27.391599722847566</v>
      </c>
      <c r="BZ82">
        <f>IF(BC82&lt;&gt;-999,BC82*$BY82, -999)</f>
        <v>21138465.378313754</v>
      </c>
      <c r="CA82">
        <f>IF(BD82&lt;&gt;-999,BD82*$BY82, -999)</f>
        <v>-999</v>
      </c>
      <c r="CB82" s="25">
        <f>IF(BE82&lt;&gt;-999,BE82*$BY82, -999)</f>
        <v>21138465.378313754</v>
      </c>
      <c r="CC82">
        <f>-29.317-(0.1023*E82)+F82*(100-8.576-13.681)</f>
        <v>23.31959972284757</v>
      </c>
      <c r="CD82">
        <f>IF(BF82&lt;&gt;-999,BF82*$CC82, -999)</f>
        <v>9436741.9576659426</v>
      </c>
      <c r="CE82">
        <f>IF(BG82&lt;&gt;-999,BG82*$CC82, -999)</f>
        <v>-999</v>
      </c>
      <c r="CF82" s="25">
        <f>IF(BH82&lt;&gt;-999,BH82*$CC82, -999)</f>
        <v>9436741.9576659426</v>
      </c>
      <c r="CG82">
        <f>-38.03-(0.1023*E82)+F82*(100-8.576-13.681)</f>
        <v>14.606599722847569</v>
      </c>
      <c r="CH82">
        <f>IF(BI82&lt;&gt;-999,BI82*$CG82, -999)</f>
        <v>19609544.099426437</v>
      </c>
      <c r="CI82">
        <f>IF(BJ82&lt;&gt;-999,BJ82*$CG82, -999)</f>
        <v>-999</v>
      </c>
      <c r="CJ82" s="25">
        <f>IF(BK82&lt;&gt;-999,BK82*$CG82, -999)</f>
        <v>19609544.099426437</v>
      </c>
      <c r="CK82" s="26">
        <f t="shared" si="45"/>
        <v>110840692.63184197</v>
      </c>
      <c r="CL82">
        <f t="shared" si="46"/>
        <v>-36.372334919264034</v>
      </c>
      <c r="CM82">
        <f t="shared" si="47"/>
        <v>20.767157548506162</v>
      </c>
      <c r="CN82">
        <f t="shared" si="48"/>
        <v>-92.524821080791511</v>
      </c>
      <c r="CO82" s="22">
        <f t="shared" si="49"/>
        <v>-40.08</v>
      </c>
      <c r="CP82">
        <f>IF(AT82&lt;&gt;-999,AT82*$CO82, -999)</f>
        <v>-24513571.806343999</v>
      </c>
      <c r="CQ82">
        <f>IF(AU82&lt;&gt;-999,AU82*$CO82, -999)</f>
        <v>-999</v>
      </c>
      <c r="CR82" s="27">
        <f>IF(AV82&lt;&gt;-999,AV82*$CO82, -999)</f>
        <v>-24513571.806343999</v>
      </c>
      <c r="CS82">
        <f t="shared" si="50"/>
        <v>-42.853000000000002</v>
      </c>
      <c r="CT82">
        <f>IF(AW82&lt;&gt;-999,AW82*$CS82, -999)</f>
        <v>-13743740.342362717</v>
      </c>
      <c r="CU82">
        <f>IF(AX82&lt;&gt;-999,AX82*$CS82, -999)</f>
        <v>-999</v>
      </c>
      <c r="CV82" s="27">
        <f>IF(AY82&lt;&gt;-999,AY82*$CS82, -999)</f>
        <v>-13743740.342362717</v>
      </c>
      <c r="CW82">
        <f t="shared" si="51"/>
        <v>-48.780999999999999</v>
      </c>
      <c r="CX82">
        <f>IF(AZ82&lt;&gt;-999,AZ82*$CO82, -999)</f>
        <v>-42645069.107631028</v>
      </c>
      <c r="CY82">
        <f>IF(BA82&lt;&gt;-999,BA82*$CO82, -999)</f>
        <v>-999</v>
      </c>
      <c r="CZ82" s="27">
        <f>IF(BB82&lt;&gt;-999,BB82*$CO82, -999)</f>
        <v>-42645069.107631028</v>
      </c>
      <c r="DA82">
        <f t="shared" si="52"/>
        <v>-48.155000000000001</v>
      </c>
      <c r="DB82">
        <f>IF(BC82&lt;&gt;-999,BC82*$DA82, -999)</f>
        <v>-37161860.226938143</v>
      </c>
      <c r="DC82">
        <f>IF(BD82&lt;&gt;-999,BD82*$DA82, -999)</f>
        <v>-999</v>
      </c>
      <c r="DD82" s="27">
        <f>IF(BE82&lt;&gt;-999,BE82*$DA82, -999)</f>
        <v>-37161860.226938143</v>
      </c>
      <c r="DE82">
        <f t="shared" si="53"/>
        <v>-52.227000000000004</v>
      </c>
      <c r="DF82">
        <f>IF(BF82&lt;&gt;-999,BF82*$DE82, -999)</f>
        <v>-21134699.054895986</v>
      </c>
      <c r="DG82">
        <f>IF(BG82&lt;&gt;-999,BG82*$DE82, -999)</f>
        <v>-999</v>
      </c>
      <c r="DH82" s="27">
        <f>IF(BH82&lt;&gt;-999,BH82*$DE82, -999)</f>
        <v>-21134699.054895986</v>
      </c>
      <c r="DI82">
        <f t="shared" si="54"/>
        <v>-60.94</v>
      </c>
      <c r="DJ82">
        <f>IF(BI82&lt;&gt;-999,BI82*$DI82, -999)</f>
        <v>-81812717.545057759</v>
      </c>
      <c r="DK82">
        <f>IF(BJ82&lt;&gt;-999,BJ82*$DI82, -999)</f>
        <v>-999</v>
      </c>
      <c r="DL82" s="27">
        <f>IF(BK82&lt;&gt;-999,BK82*$DI82, -999)</f>
        <v>-81812717.545057759</v>
      </c>
      <c r="DM82" s="28">
        <f t="shared" si="55"/>
        <v>-221011658.08322966</v>
      </c>
      <c r="DN82" s="22">
        <f t="shared" si="56"/>
        <v>-17.170000000000002</v>
      </c>
      <c r="DO82">
        <f>IF(AT82&lt;&gt;-999,AT82*$DN82, -999)</f>
        <v>-10501447.802268626</v>
      </c>
      <c r="DP82">
        <f>IF(AU82&lt;&gt;-999,AU82*$DN82, -999)</f>
        <v>-999</v>
      </c>
      <c r="DQ82" s="24">
        <f>IF(AV82&lt;&gt;-999,AV82*$DN82, -999)</f>
        <v>-10501447.802268626</v>
      </c>
      <c r="DR82">
        <f t="shared" si="57"/>
        <v>-19.943000000000001</v>
      </c>
      <c r="DS82">
        <f>IF(AW82&lt;&gt;-999,AW82*$DR82, -999)</f>
        <v>-6396084.6066258997</v>
      </c>
      <c r="DT82">
        <f>IF(AX82&lt;&gt;-999,AX82*$DR82, -999)</f>
        <v>-999</v>
      </c>
      <c r="DU82" s="24">
        <f>IF(AY82&lt;&gt;-999,AY82*$DR82, -999)</f>
        <v>-6396084.6066258997</v>
      </c>
      <c r="DV82">
        <f t="shared" si="58"/>
        <v>-25.870999999999999</v>
      </c>
      <c r="DW82">
        <f>IF(AZ82&lt;&gt;-999,AZ82*$DV82, -999)</f>
        <v>-27526711.14978848</v>
      </c>
      <c r="DX82">
        <f>IF(BA82&lt;&gt;-999,BA82*$DV82, -999)</f>
        <v>-999</v>
      </c>
      <c r="DY82" s="24">
        <f>IF(BB82&lt;&gt;-999,BB82*$DV82, -999)</f>
        <v>-27526711.14978848</v>
      </c>
      <c r="DZ82">
        <f t="shared" si="59"/>
        <v>-25.245000000000001</v>
      </c>
      <c r="EA82">
        <f>IF(BC82&lt;&gt;-999, BC82*$DZ82, -999)</f>
        <v>-19481905.543122284</v>
      </c>
      <c r="EB82">
        <f>IF(BD82&lt;&gt;-999, BD82*$DZ82, -999)</f>
        <v>-999</v>
      </c>
      <c r="EC82" s="24">
        <f>IF(BE82&lt;&gt;-999, BE82*$DZ82, -999)</f>
        <v>-19481905.543122284</v>
      </c>
      <c r="ED82">
        <f t="shared" si="60"/>
        <v>-29.317</v>
      </c>
      <c r="EE82">
        <f>IF(BF82&lt;&gt;-999,BF82*$ED82, -999)</f>
        <v>-11863709.808956778</v>
      </c>
      <c r="EF82">
        <f>IF(BG82&lt;&gt;-999,BG82*$ED82, -999)</f>
        <v>-999</v>
      </c>
      <c r="EG82" s="24">
        <f>IF(BH82&lt;&gt;-999,BH82*$ED82, -999)</f>
        <v>-11863709.808956778</v>
      </c>
      <c r="EH82">
        <f t="shared" si="61"/>
        <v>-38.03</v>
      </c>
      <c r="EI82">
        <f>IF(BI82&lt;&gt;-999,BI82*$EH82, -999)</f>
        <v>-51055753.991443165</v>
      </c>
      <c r="EJ82">
        <f>IF(BJ82&lt;&gt;-999,BJ82*$EH82, -999)</f>
        <v>-999</v>
      </c>
      <c r="EK82" s="24">
        <f>IF(BK82&lt;&gt;-999,BK82*$EH82, -999)</f>
        <v>-51055753.991443165</v>
      </c>
      <c r="EL82" s="28">
        <f t="shared" si="62"/>
        <v>-126825612.90220523</v>
      </c>
      <c r="EM82" s="22">
        <f>-17.17-(0.1023*G82)+H82*(100+102.093-66.644-64.243)</f>
        <v>29.621221658099731</v>
      </c>
      <c r="EN82">
        <f>IF(AT82&lt;&gt;-999,AT82*$EM82, -999)</f>
        <v>18116814.972741015</v>
      </c>
      <c r="EO82">
        <f>IF(AU82&lt;&gt;-999,AU82*$EM82, -999)</f>
        <v>-999</v>
      </c>
      <c r="EP82" s="23">
        <f>IF(AV82&lt;&gt;-999,AV82*$EM82, -999)</f>
        <v>18116814.972741015</v>
      </c>
      <c r="EQ82">
        <f>-19.943-(0.1023*G82)+H82*(100+102.093-66.644-64.243)</f>
        <v>26.848221658099732</v>
      </c>
      <c r="ER82">
        <f>IF(AW82&lt;&gt;-999,AW82*$EQ82, -999)</f>
        <v>8610715.4020283688</v>
      </c>
      <c r="ES82">
        <f>IF(AX82&lt;&gt;-999,AX82*$EQ82, -999)</f>
        <v>-999</v>
      </c>
      <c r="ET82" s="23">
        <f>IF(AY82&lt;&gt;-999,AY82*$EQ82, -999)</f>
        <v>8610715.4020283688</v>
      </c>
      <c r="EU82">
        <f>-25.871-(0.1023*G82)+H82*(100+102.093-66.644-64.243)</f>
        <v>20.920221658099734</v>
      </c>
      <c r="EV82">
        <f>IF(AZ82&lt;&gt;-999,AZ82*$EU82, -999)</f>
        <v>22259089.280354854</v>
      </c>
      <c r="EW82">
        <f>IF(BA82&lt;&gt;-999,BA82*$EU82, -999)</f>
        <v>-999</v>
      </c>
      <c r="EX82" s="23">
        <f>IF(BB82&lt;&gt;-999,BB82*$EU82, -999)</f>
        <v>22259089.280354854</v>
      </c>
      <c r="EY82">
        <f>-25.245-(0.1023*G82)+H82*(100+102.093-66.644-64.243)</f>
        <v>21.546221658099732</v>
      </c>
      <c r="EZ82">
        <f>IF(BC82&lt;&gt;-999, BC82*$EY82, -999)</f>
        <v>16627508.621678531</v>
      </c>
      <c r="FA82">
        <f>IF(BD82&lt;&gt;-999, BD82*$EY82, -999)</f>
        <v>-999</v>
      </c>
      <c r="FB82" s="23">
        <f>IF(BE82&lt;&gt;-999, BE82*$EY82, -999)</f>
        <v>16627508.621678531</v>
      </c>
      <c r="FC82">
        <f>-29.317-(0.1023*G82)+H82*(100+102.093-66.644-64.243)</f>
        <v>17.474221658099736</v>
      </c>
      <c r="FD82">
        <f>IF(BF82&lt;&gt;-999,BF82*$FC82, -999)</f>
        <v>7071292.9320558989</v>
      </c>
      <c r="FE82">
        <f>IF(BG82&lt;&gt;-999,BG82*$FC82, -999)</f>
        <v>-999</v>
      </c>
      <c r="FF82" s="23">
        <f>IF(BH82&lt;&gt;-999,BH82*$FC82, -999)</f>
        <v>7071292.9320558989</v>
      </c>
      <c r="FG82">
        <f>-38.03-(0.1023*G82)+H82*(100+102.093-66.644-64.243)</f>
        <v>8.7612216580997284</v>
      </c>
      <c r="FH82">
        <f>IF(BI82&lt;&gt;-999,BI82*$FG82, -999)</f>
        <v>11762050.42441345</v>
      </c>
      <c r="FI82">
        <f>IF(BJ82&lt;&gt;-999,BJ82*$FG82, -999)</f>
        <v>-999</v>
      </c>
      <c r="FJ82" s="23">
        <f>IF(BK82&lt;&gt;-999,BK82*$FG82, -999)</f>
        <v>11762050.42441345</v>
      </c>
      <c r="FK82" s="28">
        <f t="shared" si="63"/>
        <v>84447471.633272111</v>
      </c>
      <c r="FL82" s="22">
        <f t="shared" si="66"/>
        <v>10.012280000000011</v>
      </c>
      <c r="FM82">
        <f>IF(AT82&lt;&gt;-999,AT82*$FL82, -999)</f>
        <v>6123671.2755793957</v>
      </c>
      <c r="FN82">
        <f>IF(AU82&lt;&gt;-999,AU82*$FL82, -999)</f>
        <v>-999</v>
      </c>
      <c r="FO82" s="29">
        <f>IF(AV82&lt;&gt;-999,AV82*$FL82, -999)</f>
        <v>6123671.2755793957</v>
      </c>
      <c r="FP82">
        <f t="shared" si="67"/>
        <v>7.2392800000000115</v>
      </c>
      <c r="FQ82">
        <f>IF(AW82&lt;&gt;-999,AW82*$FP82, -999)</f>
        <v>2321769.4113751599</v>
      </c>
      <c r="FR82">
        <f>IF(AX82&lt;&gt;-999,AX82*$FP82, -999)</f>
        <v>-999</v>
      </c>
      <c r="FS82" s="29">
        <f>IF(AY82&lt;&gt;-999,AY82*$FP82, -999)</f>
        <v>2321769.4113751599</v>
      </c>
      <c r="FT82">
        <f t="shared" si="68"/>
        <v>1.3112800000000142</v>
      </c>
      <c r="FU82">
        <f>IF(AZ82&lt;&gt;-999,AZ82*$FT82, -999)</f>
        <v>1395200.2549764228</v>
      </c>
      <c r="FV82">
        <f>IF(BA82&lt;&gt;-999,BA82*$FT82, -999)</f>
        <v>-999</v>
      </c>
      <c r="FW82" s="29">
        <f>IF(BB82&lt;&gt;-999,BB82*$FT82, -999)</f>
        <v>1395200.2549764228</v>
      </c>
      <c r="FX82">
        <f t="shared" si="69"/>
        <v>1.9372800000000119</v>
      </c>
      <c r="FY82">
        <f>IF(BC82&lt;&gt;-999, BC82*$FX82, -999)</f>
        <v>1495024.9938831518</v>
      </c>
      <c r="FZ82">
        <f>IF(BD82&lt;&gt;-999, BD82*$FX82, -999)</f>
        <v>-999</v>
      </c>
      <c r="GA82" s="29">
        <f>IF(BE82&lt;&gt;-999, BE82*$FX82, -999)</f>
        <v>1495024.9938831518</v>
      </c>
      <c r="GB82">
        <f t="shared" si="70"/>
        <v>-2.1347199999999873</v>
      </c>
      <c r="GC82">
        <f>IF(BF82&lt;&gt;-999,BF82*$GB82, -999)</f>
        <v>-863857.10009128018</v>
      </c>
      <c r="GD82">
        <f>IF(BG82&lt;&gt;-999,BG82*$GB82, -999)</f>
        <v>-999</v>
      </c>
      <c r="GE82" s="29">
        <f>IF(BH82&lt;&gt;-999,BH82*$GB82, -999)</f>
        <v>-863857.10009128018</v>
      </c>
      <c r="GF82">
        <f t="shared" si="71"/>
        <v>-10.847719999999988</v>
      </c>
      <c r="GG82">
        <f>IF(BI82&lt;&gt;-999,BI82*$GF82, -999)</f>
        <v>-14563200.728058303</v>
      </c>
      <c r="GH82">
        <f>IF(BJ82&lt;&gt;-999,BJ82*$GF82, -999)</f>
        <v>-999</v>
      </c>
      <c r="GI82" s="29">
        <f>IF(BK82&lt;&gt;-999,BK82*$GF82, -999)</f>
        <v>-14563200.728058303</v>
      </c>
      <c r="GJ82" s="30">
        <f t="shared" si="64"/>
        <v>-4091391.8923354521</v>
      </c>
    </row>
    <row r="83" spans="1:192">
      <c r="A83" s="48" t="s">
        <v>178</v>
      </c>
      <c r="B83" s="48" t="s">
        <v>221</v>
      </c>
      <c r="C83" s="49">
        <v>133</v>
      </c>
      <c r="D83" s="50">
        <v>0.79300000000000004</v>
      </c>
      <c r="E83" s="49">
        <v>164.94374872433099</v>
      </c>
      <c r="F83" s="49">
        <v>0.77960726586746998</v>
      </c>
      <c r="G83" s="49">
        <v>132.143239775914</v>
      </c>
      <c r="H83" s="49">
        <v>0.81401012616746304</v>
      </c>
      <c r="I83" s="42">
        <v>5656.3</v>
      </c>
      <c r="J83" s="43">
        <v>20849.599999999999</v>
      </c>
      <c r="K83" s="43">
        <f t="shared" si="39"/>
        <v>26505.899999999998</v>
      </c>
      <c r="L83" s="43">
        <v>8565.7000000000007</v>
      </c>
      <c r="M83" s="43">
        <v>31574.2</v>
      </c>
      <c r="N83" s="43">
        <f t="shared" si="40"/>
        <v>40139.9</v>
      </c>
      <c r="O83" s="43">
        <v>19405.3</v>
      </c>
      <c r="P83" s="43">
        <v>71530.100000000006</v>
      </c>
      <c r="Q83" s="43">
        <f t="shared" si="41"/>
        <v>90935.400000000009</v>
      </c>
      <c r="R83" s="43">
        <v>6451.1</v>
      </c>
      <c r="S83" s="43">
        <v>23779.4</v>
      </c>
      <c r="T83" s="43">
        <f t="shared" si="42"/>
        <v>30230.5</v>
      </c>
      <c r="U83" s="43">
        <v>9769.4</v>
      </c>
      <c r="V83" s="43">
        <v>36011.1</v>
      </c>
      <c r="W83" s="43">
        <f t="shared" si="43"/>
        <v>45780.5</v>
      </c>
      <c r="X83" s="43">
        <v>22132.2</v>
      </c>
      <c r="Y83" s="43">
        <v>81581.7</v>
      </c>
      <c r="Z83" s="43">
        <f t="shared" si="44"/>
        <v>103713.9</v>
      </c>
      <c r="AA83" s="22">
        <v>21437.1</v>
      </c>
      <c r="AB83">
        <v>80119</v>
      </c>
      <c r="AC83">
        <v>101556.1</v>
      </c>
      <c r="AD83">
        <v>32463.9</v>
      </c>
      <c r="AE83">
        <v>121330.8</v>
      </c>
      <c r="AF83">
        <v>153794.70000000001</v>
      </c>
      <c r="AG83">
        <v>73545.7</v>
      </c>
      <c r="AH83">
        <v>274869.7</v>
      </c>
      <c r="AI83">
        <v>348415.4</v>
      </c>
      <c r="AJ83">
        <v>24449.5</v>
      </c>
      <c r="AK83">
        <v>91377.600000000006</v>
      </c>
      <c r="AL83">
        <v>115827.1</v>
      </c>
      <c r="AM83">
        <v>37025.800000000003</v>
      </c>
      <c r="AN83">
        <v>138380.5</v>
      </c>
      <c r="AO83">
        <v>175406.3</v>
      </c>
      <c r="AP83">
        <v>83880.5</v>
      </c>
      <c r="AQ83">
        <v>313495.2</v>
      </c>
      <c r="AR83">
        <v>397375.7</v>
      </c>
      <c r="AS83">
        <v>1292375.3</v>
      </c>
      <c r="AT83" s="22">
        <f t="shared" si="72"/>
        <v>35686.007559022495</v>
      </c>
      <c r="AU83">
        <f t="shared" si="72"/>
        <v>133372.85545252499</v>
      </c>
      <c r="AV83">
        <f t="shared" si="72"/>
        <v>169058.86301154751</v>
      </c>
      <c r="AW83">
        <f t="shared" si="72"/>
        <v>54042.150327952506</v>
      </c>
      <c r="AX83">
        <f t="shared" si="72"/>
        <v>201977.49909933002</v>
      </c>
      <c r="AY83">
        <f t="shared" si="72"/>
        <v>256019.64942728251</v>
      </c>
      <c r="AZ83">
        <f t="shared" si="72"/>
        <v>122430.38499300749</v>
      </c>
      <c r="BA83">
        <f t="shared" si="72"/>
        <v>457571.3222379075</v>
      </c>
      <c r="BB83">
        <f t="shared" si="72"/>
        <v>580001.70723091508</v>
      </c>
      <c r="BC83">
        <f t="shared" si="72"/>
        <v>40700.7030715125</v>
      </c>
      <c r="BD83">
        <f t="shared" si="72"/>
        <v>152114.87208276</v>
      </c>
      <c r="BE83">
        <f t="shared" si="72"/>
        <v>192815.57515427249</v>
      </c>
      <c r="BF83">
        <f t="shared" si="72"/>
        <v>61636.274434455008</v>
      </c>
      <c r="BG83">
        <f t="shared" si="65"/>
        <v>230359.86999273751</v>
      </c>
      <c r="BH83">
        <f t="shared" si="65"/>
        <v>291996.14442719246</v>
      </c>
      <c r="BI83">
        <f t="shared" si="65"/>
        <v>139634.56610523749</v>
      </c>
      <c r="BJ83">
        <f t="shared" si="38"/>
        <v>521870.59242702002</v>
      </c>
      <c r="BK83">
        <f t="shared" si="38"/>
        <v>661505.15853225742</v>
      </c>
      <c r="BL83">
        <f t="shared" si="38"/>
        <v>2151397.0977834673</v>
      </c>
      <c r="BM83" s="22">
        <f>-17.17-(0.1023*E83)+F83*(100-8.576-13.681)</f>
        <v>26.565262175835663</v>
      </c>
      <c r="BN83">
        <f>IF(AT83&lt;&gt;-999,AT83*$BM83, -999)</f>
        <v>948008.14681428589</v>
      </c>
      <c r="BO83">
        <f>IF(AU83&lt;&gt;-999,AU83*$BM83, -999)</f>
        <v>3543084.8722361596</v>
      </c>
      <c r="BP83" s="25">
        <f>IF(AV83&lt;&gt;-999,AV83*$BM83, -999)</f>
        <v>4491093.0190504463</v>
      </c>
      <c r="BQ83">
        <f>-19.943-(0.1023*E83)+F83*(100-8.576-13.681)</f>
        <v>23.792262175835667</v>
      </c>
      <c r="BR83">
        <f>IF(AW83&lt;&gt;-999,AW83*$BQ83, -999)</f>
        <v>1285785.0091485695</v>
      </c>
      <c r="BS83">
        <f>IF(AX83&lt;&gt;-999,AX83*$BQ83, -999)</f>
        <v>4805501.6121908724</v>
      </c>
      <c r="BT83" s="25">
        <f>IF(AY83&lt;&gt;-999,AY83*$BQ83, -999)</f>
        <v>6091286.6213394413</v>
      </c>
      <c r="BU83">
        <f>-25.871-(0.1023*E83)+F83*(100-8.576-13.681)</f>
        <v>17.86426217583567</v>
      </c>
      <c r="BV83">
        <f>IF(AZ83&lt;&gt;-999,AZ83*$BU83, -999)</f>
        <v>2187128.4958035829</v>
      </c>
      <c r="BW83">
        <f>IF(BA83&lt;&gt;-999,BA83*$BU83, -999)</f>
        <v>8174174.0646017659</v>
      </c>
      <c r="BX83" s="25">
        <f>IF(BB83&lt;&gt;-999,BB83*$BU83, -999)</f>
        <v>10361302.560405349</v>
      </c>
      <c r="BY83">
        <f>-25.245-(0.1023*E83)+F83*(100-8.576-13.681)</f>
        <v>18.49026217583566</v>
      </c>
      <c r="BZ83">
        <f>IF(BC83&lt;&gt;-999,BC83*$BY83, -999)</f>
        <v>752566.67053310585</v>
      </c>
      <c r="CA83">
        <f>IF(BD83&lt;&gt;-999,BD83*$BY83, -999)</f>
        <v>2812643.8656539372</v>
      </c>
      <c r="CB83" s="25">
        <f>IF(BE83&lt;&gt;-999,BE83*$BY83, -999)</f>
        <v>3565210.5361870429</v>
      </c>
      <c r="CC83">
        <f>-29.317-(0.1023*E83)+F83*(100-8.576-13.681)</f>
        <v>14.418262175835665</v>
      </c>
      <c r="CD83">
        <f>IF(BF83&lt;&gt;-999,BF83*$CC83, -999)</f>
        <v>888687.96433772938</v>
      </c>
      <c r="CE83">
        <f>IF(BG83&lt;&gt;-999,BG83*$CC83, -999)</f>
        <v>3321389.0003467086</v>
      </c>
      <c r="CF83" s="25">
        <f>IF(BH83&lt;&gt;-999,BH83*$CC83, -999)</f>
        <v>4210076.964684437</v>
      </c>
      <c r="CG83">
        <f>-38.03-(0.1023*E83)+F83*(100-8.576-13.681)</f>
        <v>5.7052621758356636</v>
      </c>
      <c r="CH83">
        <f>IF(BI83&lt;&gt;-999,BI83*$CG83, -999)</f>
        <v>796651.80843943602</v>
      </c>
      <c r="CI83">
        <f>IF(BJ83&lt;&gt;-999,BJ83*$CG83, -999)</f>
        <v>2977408.5516548268</v>
      </c>
      <c r="CJ83" s="25">
        <f>IF(BK83&lt;&gt;-999,BK83*$CG83, -999)</f>
        <v>3774060.3600942628</v>
      </c>
      <c r="CK83" s="26">
        <f t="shared" si="45"/>
        <v>32493030.061760981</v>
      </c>
      <c r="CL83">
        <f t="shared" si="46"/>
        <v>-27.705662241429771</v>
      </c>
      <c r="CM83">
        <f t="shared" si="47"/>
        <v>30.586508688292511</v>
      </c>
      <c r="CN83">
        <f t="shared" si="48"/>
        <v>-84.990915926574374</v>
      </c>
      <c r="CO83" s="22">
        <f t="shared" si="49"/>
        <v>-40.08</v>
      </c>
      <c r="CP83">
        <f>IF(AT83&lt;&gt;-999,AT83*$CO83, -999)</f>
        <v>-1430295.1829656216</v>
      </c>
      <c r="CQ83">
        <f>IF(AU83&lt;&gt;-999,AU83*$CO83, -999)</f>
        <v>-5345584.0465372019</v>
      </c>
      <c r="CR83" s="27">
        <f>IF(AV83&lt;&gt;-999,AV83*$CO83, -999)</f>
        <v>-6775879.2295028241</v>
      </c>
      <c r="CS83">
        <f t="shared" si="50"/>
        <v>-42.853000000000002</v>
      </c>
      <c r="CT83">
        <f>IF(AW83&lt;&gt;-999,AW83*$CS83, -999)</f>
        <v>-2315868.2680037487</v>
      </c>
      <c r="CU83">
        <f>IF(AX83&lt;&gt;-999,AX83*$CS83, -999)</f>
        <v>-8655341.7689035889</v>
      </c>
      <c r="CV83" s="27">
        <f>IF(AY83&lt;&gt;-999,AY83*$CS83, -999)</f>
        <v>-10971210.036907338</v>
      </c>
      <c r="CW83">
        <f t="shared" si="51"/>
        <v>-48.780999999999999</v>
      </c>
      <c r="CX83">
        <f>IF(AZ83&lt;&gt;-999,AZ83*$CO83, -999)</f>
        <v>-4907009.8305197405</v>
      </c>
      <c r="CY83">
        <f>IF(BA83&lt;&gt;-999,BA83*$CO83, -999)</f>
        <v>-18339458.595295332</v>
      </c>
      <c r="CZ83" s="27">
        <f>IF(BB83&lt;&gt;-999,BB83*$CO83, -999)</f>
        <v>-23246468.425815076</v>
      </c>
      <c r="DA83">
        <f t="shared" si="52"/>
        <v>-48.155000000000001</v>
      </c>
      <c r="DB83">
        <f>IF(BC83&lt;&gt;-999,BC83*$DA83, -999)</f>
        <v>-1959942.3564086845</v>
      </c>
      <c r="DC83">
        <f>IF(BD83&lt;&gt;-999,BD83*$DA83, -999)</f>
        <v>-7325091.6651453078</v>
      </c>
      <c r="DD83" s="27">
        <f>IF(BE83&lt;&gt;-999,BE83*$DA83, -999)</f>
        <v>-9285034.0215539914</v>
      </c>
      <c r="DE83">
        <f t="shared" si="53"/>
        <v>-52.227000000000004</v>
      </c>
      <c r="DF83">
        <f>IF(BF83&lt;&gt;-999,BF83*$DE83, -999)</f>
        <v>-3219077.7048882819</v>
      </c>
      <c r="DG83">
        <f>IF(BG83&lt;&gt;-999,BG83*$DE83, -999)</f>
        <v>-12031004.930110702</v>
      </c>
      <c r="DH83" s="27">
        <f>IF(BH83&lt;&gt;-999,BH83*$DE83, -999)</f>
        <v>-15250082.634998981</v>
      </c>
      <c r="DI83">
        <f t="shared" si="54"/>
        <v>-60.94</v>
      </c>
      <c r="DJ83">
        <f>IF(BI83&lt;&gt;-999,BI83*$DI83, -999)</f>
        <v>-8509330.4584531728</v>
      </c>
      <c r="DK83">
        <f>IF(BJ83&lt;&gt;-999,BJ83*$DI83, -999)</f>
        <v>-31802793.9025026</v>
      </c>
      <c r="DL83" s="27">
        <f>IF(BK83&lt;&gt;-999,BK83*$DI83, -999)</f>
        <v>-40312124.360955767</v>
      </c>
      <c r="DM83" s="28">
        <f t="shared" si="55"/>
        <v>-105840798.70973396</v>
      </c>
      <c r="DN83" s="22">
        <f t="shared" si="56"/>
        <v>-17.170000000000002</v>
      </c>
      <c r="DO83">
        <f>IF(AT83&lt;&gt;-999,AT83*$DN83, -999)</f>
        <v>-612728.74978841632</v>
      </c>
      <c r="DP83">
        <f>IF(AU83&lt;&gt;-999,AU83*$DN83, -999)</f>
        <v>-2290011.9281198545</v>
      </c>
      <c r="DQ83" s="24">
        <f>IF(AV83&lt;&gt;-999,AV83*$DN83, -999)</f>
        <v>-2902740.6779082711</v>
      </c>
      <c r="DR83">
        <f t="shared" si="57"/>
        <v>-19.943000000000001</v>
      </c>
      <c r="DS83">
        <f>IF(AW83&lt;&gt;-999,AW83*$DR83, -999)</f>
        <v>-1077762.6039903569</v>
      </c>
      <c r="DT83">
        <f>IF(AX83&lt;&gt;-999,AX83*$DR83, -999)</f>
        <v>-4028037.2645379389</v>
      </c>
      <c r="DU83" s="24">
        <f>IF(AY83&lt;&gt;-999,AY83*$DR83, -999)</f>
        <v>-5105799.8685282953</v>
      </c>
      <c r="DV83">
        <f t="shared" si="58"/>
        <v>-25.870999999999999</v>
      </c>
      <c r="DW83">
        <f>IF(AZ83&lt;&gt;-999,AZ83*$DV83, -999)</f>
        <v>-3167396.4901540969</v>
      </c>
      <c r="DX83">
        <f>IF(BA83&lt;&gt;-999,BA83*$DV83, -999)</f>
        <v>-11837827.677616904</v>
      </c>
      <c r="DY83" s="24">
        <f>IF(BB83&lt;&gt;-999,BB83*$DV83, -999)</f>
        <v>-15005224.167771004</v>
      </c>
      <c r="DZ83">
        <f t="shared" si="59"/>
        <v>-25.245000000000001</v>
      </c>
      <c r="EA83">
        <f>IF(BC83&lt;&gt;-999, BC83*$DZ83, -999)</f>
        <v>-1027489.2490403331</v>
      </c>
      <c r="EB83">
        <f>IF(BD83&lt;&gt;-999, BD83*$DZ83, -999)</f>
        <v>-3840139.9457292766</v>
      </c>
      <c r="EC83" s="24">
        <f>IF(BE83&lt;&gt;-999, BE83*$DZ83, -999)</f>
        <v>-4867629.1947696088</v>
      </c>
      <c r="ED83">
        <f t="shared" si="60"/>
        <v>-29.317</v>
      </c>
      <c r="EE83">
        <f>IF(BF83&lt;&gt;-999,BF83*$ED83, -999)</f>
        <v>-1806990.6575949176</v>
      </c>
      <c r="EF83">
        <f>IF(BG83&lt;&gt;-999,BG83*$ED83, -999)</f>
        <v>-6753460.3085770858</v>
      </c>
      <c r="EG83" s="24">
        <f>IF(BH83&lt;&gt;-999,BH83*$ED83, -999)</f>
        <v>-8560450.9661720004</v>
      </c>
      <c r="EH83">
        <f t="shared" si="61"/>
        <v>-38.03</v>
      </c>
      <c r="EI83">
        <f>IF(BI83&lt;&gt;-999,BI83*$EH83, -999)</f>
        <v>-5310302.5489821816</v>
      </c>
      <c r="EJ83">
        <f>IF(BJ83&lt;&gt;-999,BJ83*$EH83, -999)</f>
        <v>-19846738.629999571</v>
      </c>
      <c r="EK83" s="24">
        <f>IF(BK83&lt;&gt;-999,BK83*$EH83, -999)</f>
        <v>-25157041.178981751</v>
      </c>
      <c r="EL83" s="28">
        <f t="shared" si="62"/>
        <v>-61598886.054130934</v>
      </c>
      <c r="EM83" s="22">
        <f>-17.17-(0.1023*G83)+H83*(100+102.093-66.644-64.243)</f>
        <v>27.274151614804381</v>
      </c>
      <c r="EN83">
        <f>IF(AT83&lt;&gt;-999,AT83*$EM83, -999)</f>
        <v>973305.5806918348</v>
      </c>
      <c r="EO83">
        <f>IF(AU83&lt;&gt;-999,AU83*$EM83, -999)</f>
        <v>3637631.4809115557</v>
      </c>
      <c r="EP83" s="23">
        <f>IF(AV83&lt;&gt;-999,AV83*$EM83, -999)</f>
        <v>4610937.0616033915</v>
      </c>
      <c r="EQ83">
        <f>-19.943-(0.1023*G83)+H83*(100+102.093-66.644-64.243)</f>
        <v>24.501151614804385</v>
      </c>
      <c r="ER83">
        <f>IF(AW83&lt;&gt;-999,AW83*$EQ83, -999)</f>
        <v>1324094.9187752148</v>
      </c>
      <c r="ES83">
        <f>IF(AX83&lt;&gt;-999,AX83*$EQ83, -999)</f>
        <v>4948681.3282117005</v>
      </c>
      <c r="ET83" s="23">
        <f>IF(AY83&lt;&gt;-999,AY83*$EQ83, -999)</f>
        <v>6272776.2469869154</v>
      </c>
      <c r="EU83">
        <f>-25.871-(0.1023*G83)+H83*(100+102.093-66.644-64.243)</f>
        <v>18.573151614804388</v>
      </c>
      <c r="EV83">
        <f>IF(AZ83&lt;&gt;-999,AZ83*$EU83, -999)</f>
        <v>2273918.102734</v>
      </c>
      <c r="EW83">
        <f>IF(BA83&lt;&gt;-999,BA83*$EU83, -999)</f>
        <v>8498541.5425111707</v>
      </c>
      <c r="EX83" s="23">
        <f>IF(BB83&lt;&gt;-999,BB83*$EU83, -999)</f>
        <v>10772459.645245172</v>
      </c>
      <c r="EY83">
        <f>-25.245-(0.1023*G83)+H83*(100+102.093-66.644-64.243)</f>
        <v>19.199151614804386</v>
      </c>
      <c r="EZ83">
        <f>IF(BC83&lt;&gt;-999, BC83*$EY83, -999)</f>
        <v>781418.96909910301</v>
      </c>
      <c r="FA83">
        <f>IF(BD83&lt;&gt;-999, BD83*$EY83, -999)</f>
        <v>2920476.4919834845</v>
      </c>
      <c r="FB83" s="23">
        <f>IF(BE83&lt;&gt;-999, BE83*$EY83, -999)</f>
        <v>3701895.461082587</v>
      </c>
      <c r="FC83">
        <f>-29.317-(0.1023*G83)+H83*(100+102.093-66.644-64.243)</f>
        <v>15.127151614804383</v>
      </c>
      <c r="FD83">
        <f>IF(BF83&lt;&gt;-999,BF83*$FC83, -999)</f>
        <v>932381.26834169216</v>
      </c>
      <c r="FE83">
        <f>IF(BG83&lt;&gt;-999,BG83*$FC83, -999)</f>
        <v>3484688.6793467668</v>
      </c>
      <c r="FF83" s="23">
        <f>IF(BH83&lt;&gt;-999,BH83*$FC83, -999)</f>
        <v>4417069.9476884585</v>
      </c>
      <c r="FG83">
        <f>-38.03-(0.1023*G83)+H83*(100+102.093-66.644-64.243)</f>
        <v>6.414151614804382</v>
      </c>
      <c r="FH83">
        <f>IF(BI83&lt;&gt;-999,BI83*$FG83, -999)</f>
        <v>895637.27766641835</v>
      </c>
      <c r="FI83">
        <f>IF(BJ83&lt;&gt;-999,BJ83*$FG83, -999)</f>
        <v>3347357.1031346899</v>
      </c>
      <c r="FJ83" s="23">
        <f>IF(BK83&lt;&gt;-999,BK83*$FG83, -999)</f>
        <v>4242994.3808011077</v>
      </c>
      <c r="FK83" s="28">
        <f t="shared" si="63"/>
        <v>34018132.743407637</v>
      </c>
      <c r="FL83" s="22">
        <f t="shared" si="66"/>
        <v>10.012280000000011</v>
      </c>
      <c r="FM83">
        <f>IF(AT83&lt;&gt;-999,AT83*$FL83, -999)</f>
        <v>357298.29976305016</v>
      </c>
      <c r="FN83">
        <f>IF(AU83&lt;&gt;-999,AU83*$FL83, -999)</f>
        <v>1335366.3731902083</v>
      </c>
      <c r="FO83" s="29">
        <f>IF(AV83&lt;&gt;-999,AV83*$FL83, -999)</f>
        <v>1692664.6729532587</v>
      </c>
      <c r="FP83">
        <f t="shared" si="67"/>
        <v>7.2392800000000115</v>
      </c>
      <c r="FQ83">
        <f>IF(AW83&lt;&gt;-999,AW83*$FP83, -999)</f>
        <v>391226.25802614063</v>
      </c>
      <c r="FR83">
        <f>IF(AX83&lt;&gt;-999,AX83*$FP83, -999)</f>
        <v>1462171.6696798</v>
      </c>
      <c r="FS83" s="29">
        <f>IF(AY83&lt;&gt;-999,AY83*$FP83, -999)</f>
        <v>1853397.9277059406</v>
      </c>
      <c r="FT83">
        <f t="shared" si="68"/>
        <v>1.3112800000000142</v>
      </c>
      <c r="FU83">
        <f>IF(AZ83&lt;&gt;-999,AZ83*$FT83, -999)</f>
        <v>160540.51523363261</v>
      </c>
      <c r="FV83">
        <f>IF(BA83&lt;&gt;-999,BA83*$FT83, -999)</f>
        <v>600004.12342412979</v>
      </c>
      <c r="FW83" s="29">
        <f>IF(BB83&lt;&gt;-999,BB83*$FT83, -999)</f>
        <v>760544.63865776255</v>
      </c>
      <c r="FX83">
        <f t="shared" si="69"/>
        <v>1.9372800000000119</v>
      </c>
      <c r="FY83">
        <f>IF(BC83&lt;&gt;-999, BC83*$FX83, -999)</f>
        <v>78848.658046380224</v>
      </c>
      <c r="FZ83">
        <f>IF(BD83&lt;&gt;-999, BD83*$FX83, -999)</f>
        <v>294689.09938849113</v>
      </c>
      <c r="GA83" s="29">
        <f>IF(BE83&lt;&gt;-999, BE83*$FX83, -999)</f>
        <v>373537.75743487128</v>
      </c>
      <c r="GB83">
        <f t="shared" si="70"/>
        <v>-2.1347199999999873</v>
      </c>
      <c r="GC83">
        <f>IF(BF83&lt;&gt;-999,BF83*$GB83, -999)</f>
        <v>-131576.18776071901</v>
      </c>
      <c r="GD83">
        <f>IF(BG83&lt;&gt;-999,BG83*$GB83, -999)</f>
        <v>-491753.8216708937</v>
      </c>
      <c r="GE83" s="29">
        <f>IF(BH83&lt;&gt;-999,BH83*$GB83, -999)</f>
        <v>-623330.00943161256</v>
      </c>
      <c r="GF83">
        <f t="shared" si="71"/>
        <v>-10.847719999999988</v>
      </c>
      <c r="GG83">
        <f>IF(BI83&lt;&gt;-999,BI83*$GF83, -999)</f>
        <v>-1514716.6754311053</v>
      </c>
      <c r="GH83">
        <f>IF(BJ83&lt;&gt;-999,BJ83*$GF83, -999)</f>
        <v>-5661106.0628824271</v>
      </c>
      <c r="GI83" s="29">
        <f>IF(BK83&lt;&gt;-999,BK83*$GF83, -999)</f>
        <v>-7175822.7383135315</v>
      </c>
      <c r="GJ83" s="30">
        <f t="shared" si="64"/>
        <v>-3119007.7509933114</v>
      </c>
    </row>
    <row r="84" spans="1:192">
      <c r="A84" s="48" t="s">
        <v>142</v>
      </c>
      <c r="B84" s="48" t="s">
        <v>222</v>
      </c>
      <c r="C84" s="49">
        <v>137</v>
      </c>
      <c r="D84" s="50">
        <v>0.79300000000000004</v>
      </c>
      <c r="E84" s="49">
        <v>56.858604721331702</v>
      </c>
      <c r="F84" s="49">
        <v>0.79460105879121101</v>
      </c>
      <c r="G84" s="49">
        <v>91.695532460283601</v>
      </c>
      <c r="H84" s="49">
        <v>0.81634080166382705</v>
      </c>
      <c r="I84" s="42">
        <v>2776</v>
      </c>
      <c r="J84" s="43">
        <v>-999</v>
      </c>
      <c r="K84" s="43">
        <f t="shared" si="39"/>
        <v>2776</v>
      </c>
      <c r="L84" s="43">
        <v>3579.4</v>
      </c>
      <c r="M84" s="43">
        <v>-999</v>
      </c>
      <c r="N84" s="43">
        <f t="shared" si="40"/>
        <v>3579.4</v>
      </c>
      <c r="O84" s="43">
        <v>5009.5</v>
      </c>
      <c r="P84" s="43">
        <v>-999</v>
      </c>
      <c r="Q84" s="43">
        <f t="shared" si="41"/>
        <v>5009.5</v>
      </c>
      <c r="R84" s="43">
        <v>2508.6999999999998</v>
      </c>
      <c r="S84" s="43">
        <v>-999</v>
      </c>
      <c r="T84" s="43">
        <f t="shared" si="42"/>
        <v>2508.6999999999998</v>
      </c>
      <c r="U84" s="43">
        <v>3234.7</v>
      </c>
      <c r="V84" s="43">
        <v>-999</v>
      </c>
      <c r="W84" s="43">
        <f t="shared" si="43"/>
        <v>3234.7</v>
      </c>
      <c r="X84" s="43">
        <v>4527.2</v>
      </c>
      <c r="Y84" s="43">
        <v>-999</v>
      </c>
      <c r="Z84" s="43">
        <f t="shared" si="44"/>
        <v>4527.2</v>
      </c>
      <c r="AA84" s="22">
        <v>24509.4</v>
      </c>
      <c r="AB84">
        <v>-999</v>
      </c>
      <c r="AC84">
        <v>24509.4</v>
      </c>
      <c r="AD84">
        <v>31602.7</v>
      </c>
      <c r="AE84">
        <v>-999</v>
      </c>
      <c r="AF84">
        <v>31602.7</v>
      </c>
      <c r="AG84">
        <v>44229.599999999999</v>
      </c>
      <c r="AH84">
        <v>-999</v>
      </c>
      <c r="AI84">
        <v>44229.599999999999</v>
      </c>
      <c r="AJ84">
        <v>22149.5</v>
      </c>
      <c r="AK84">
        <v>-999</v>
      </c>
      <c r="AL84">
        <v>22149.5</v>
      </c>
      <c r="AM84">
        <v>28559.7</v>
      </c>
      <c r="AN84">
        <v>-999</v>
      </c>
      <c r="AO84">
        <v>28559.7</v>
      </c>
      <c r="AP84">
        <v>39970.800000000003</v>
      </c>
      <c r="AQ84">
        <v>-999</v>
      </c>
      <c r="AR84">
        <v>39970.800000000003</v>
      </c>
      <c r="AS84">
        <v>191021.78</v>
      </c>
      <c r="AT84" s="22">
        <f t="shared" si="72"/>
        <v>40800.417671565003</v>
      </c>
      <c r="AU84">
        <f t="shared" si="72"/>
        <v>-999</v>
      </c>
      <c r="AV84">
        <f t="shared" si="72"/>
        <v>40800.417671565003</v>
      </c>
      <c r="AW84">
        <f t="shared" si="72"/>
        <v>52608.524058082498</v>
      </c>
      <c r="AX84">
        <f t="shared" si="72"/>
        <v>-999</v>
      </c>
      <c r="AY84">
        <f t="shared" si="72"/>
        <v>52608.524058082498</v>
      </c>
      <c r="AZ84">
        <f t="shared" si="72"/>
        <v>73628.328455459996</v>
      </c>
      <c r="BA84">
        <f t="shared" si="72"/>
        <v>-999</v>
      </c>
      <c r="BB84">
        <f t="shared" si="72"/>
        <v>73628.328455459996</v>
      </c>
      <c r="BC84">
        <f t="shared" si="72"/>
        <v>36871.928779012494</v>
      </c>
      <c r="BD84">
        <f t="shared" si="72"/>
        <v>-999</v>
      </c>
      <c r="BE84">
        <f t="shared" si="72"/>
        <v>36871.928779012494</v>
      </c>
      <c r="BF84">
        <f t="shared" si="72"/>
        <v>47542.889200657504</v>
      </c>
      <c r="BG84">
        <f t="shared" si="65"/>
        <v>-999</v>
      </c>
      <c r="BH84">
        <f t="shared" si="65"/>
        <v>47542.889200657504</v>
      </c>
      <c r="BI84">
        <f t="shared" si="65"/>
        <v>66538.770213330004</v>
      </c>
      <c r="BJ84">
        <f t="shared" si="38"/>
        <v>-999</v>
      </c>
      <c r="BK84">
        <f t="shared" si="38"/>
        <v>66538.770213330004</v>
      </c>
      <c r="BL84">
        <f t="shared" si="38"/>
        <v>317990.99155286548</v>
      </c>
      <c r="BM84" s="22">
        <f>-17.17-(0.1023*E84)+F84*(100-8.576-13.681)</f>
        <v>38.788034850612888</v>
      </c>
      <c r="BN84">
        <f>IF(AT84&lt;&gt;-999,AT84*$BM84, -999)</f>
        <v>1582568.0225642254</v>
      </c>
      <c r="BO84">
        <f>IF(AU84&lt;&gt;-999,AU84*$BM84, -999)</f>
        <v>-999</v>
      </c>
      <c r="BP84" s="25">
        <f>IF(AV84&lt;&gt;-999,AV84*$BM84, -999)</f>
        <v>1582568.0225642254</v>
      </c>
      <c r="BQ84">
        <f>-19.943-(0.1023*E84)+F84*(100-8.576-13.681)</f>
        <v>36.015034850612892</v>
      </c>
      <c r="BR84">
        <f>IF(AW84&lt;&gt;-999,AW84*$BQ84, -999)</f>
        <v>1894697.8273911478</v>
      </c>
      <c r="BS84">
        <f>IF(AX84&lt;&gt;-999,AX84*$BQ84, -999)</f>
        <v>-999</v>
      </c>
      <c r="BT84" s="25">
        <f>IF(AY84&lt;&gt;-999,AY84*$BQ84, -999)</f>
        <v>1894697.8273911478</v>
      </c>
      <c r="BU84">
        <f>-25.871-(0.1023*E84)+F84*(100-8.576-13.681)</f>
        <v>30.087034850612895</v>
      </c>
      <c r="BV84">
        <f>IF(AZ84&lt;&gt;-999,AZ84*$BU84, -999)</f>
        <v>2215258.0842317981</v>
      </c>
      <c r="BW84">
        <f>IF(BA84&lt;&gt;-999,BA84*$BU84, -999)</f>
        <v>-999</v>
      </c>
      <c r="BX84" s="25">
        <f>IF(BB84&lt;&gt;-999,BB84*$BU84, -999)</f>
        <v>2215258.0842317981</v>
      </c>
      <c r="BY84">
        <f>-25.245-(0.1023*E84)+F84*(100-8.576-13.681)</f>
        <v>30.713034850612893</v>
      </c>
      <c r="BZ84">
        <f>IF(BC84&lt;&gt;-999,BC84*$BY84, -999)</f>
        <v>1132448.8335991271</v>
      </c>
      <c r="CA84">
        <f>IF(BD84&lt;&gt;-999,BD84*$BY84, -999)</f>
        <v>-999</v>
      </c>
      <c r="CB84" s="25">
        <f>IF(BE84&lt;&gt;-999,BE84*$BY84, -999)</f>
        <v>1132448.8335991271</v>
      </c>
      <c r="CC84">
        <f>-29.317-(0.1023*E84)+F84*(100-8.576-13.681)</f>
        <v>26.64103485061289</v>
      </c>
      <c r="CD84">
        <f>IF(BF84&lt;&gt;-999,BF84*$CC84, -999)</f>
        <v>1266591.7680935438</v>
      </c>
      <c r="CE84">
        <f>IF(BG84&lt;&gt;-999,BG84*$CC84, -999)</f>
        <v>-999</v>
      </c>
      <c r="CF84" s="25">
        <f>IF(BH84&lt;&gt;-999,BH84*$CC84, -999)</f>
        <v>1266591.7680935438</v>
      </c>
      <c r="CG84">
        <f>-38.03-(0.1023*E84)+F84*(100-8.576-13.681)</f>
        <v>17.928034850612889</v>
      </c>
      <c r="CH84">
        <f>IF(BI84&lt;&gt;-999,BI84*$CG84, -999)</f>
        <v>1192909.3913015032</v>
      </c>
      <c r="CI84">
        <f>IF(BJ84&lt;&gt;-999,BJ84*$CG84, -999)</f>
        <v>-999</v>
      </c>
      <c r="CJ84" s="25">
        <f>IF(BK84&lt;&gt;-999,BK84*$CG84, -999)</f>
        <v>1192909.3913015032</v>
      </c>
      <c r="CK84" s="26">
        <f t="shared" si="45"/>
        <v>9284473.9271813463</v>
      </c>
      <c r="CL84">
        <f t="shared" si="46"/>
        <v>-40.678185126839786</v>
      </c>
      <c r="CM84">
        <f t="shared" si="47"/>
        <v>16.514036677059305</v>
      </c>
      <c r="CN84">
        <f t="shared" si="48"/>
        <v>-96.882489797587581</v>
      </c>
      <c r="CO84" s="22">
        <f t="shared" si="49"/>
        <v>-40.08</v>
      </c>
      <c r="CP84">
        <f>IF(AT84&lt;&gt;-999,AT84*$CO84, -999)</f>
        <v>-1635280.7402763253</v>
      </c>
      <c r="CQ84">
        <f>IF(AU84&lt;&gt;-999,AU84*$CO84, -999)</f>
        <v>-999</v>
      </c>
      <c r="CR84" s="27">
        <f>IF(AV84&lt;&gt;-999,AV84*$CO84, -999)</f>
        <v>-1635280.7402763253</v>
      </c>
      <c r="CS84">
        <f t="shared" si="50"/>
        <v>-42.853000000000002</v>
      </c>
      <c r="CT84">
        <f>IF(AW84&lt;&gt;-999,AW84*$CS84, -999)</f>
        <v>-2254433.0814610096</v>
      </c>
      <c r="CU84">
        <f>IF(AX84&lt;&gt;-999,AX84*$CS84, -999)</f>
        <v>-999</v>
      </c>
      <c r="CV84" s="27">
        <f>IF(AY84&lt;&gt;-999,AY84*$CS84, -999)</f>
        <v>-2254433.0814610096</v>
      </c>
      <c r="CW84">
        <f t="shared" si="51"/>
        <v>-48.780999999999999</v>
      </c>
      <c r="CX84">
        <f>IF(AZ84&lt;&gt;-999,AZ84*$CO84, -999)</f>
        <v>-2951023.4044948365</v>
      </c>
      <c r="CY84">
        <f>IF(BA84&lt;&gt;-999,BA84*$CO84, -999)</f>
        <v>-999</v>
      </c>
      <c r="CZ84" s="27">
        <f>IF(BB84&lt;&gt;-999,BB84*$CO84, -999)</f>
        <v>-2951023.4044948365</v>
      </c>
      <c r="DA84">
        <f t="shared" si="52"/>
        <v>-48.155000000000001</v>
      </c>
      <c r="DB84">
        <f>IF(BC84&lt;&gt;-999,BC84*$DA84, -999)</f>
        <v>-1775567.7303533468</v>
      </c>
      <c r="DC84">
        <f>IF(BD84&lt;&gt;-999,BD84*$DA84, -999)</f>
        <v>-999</v>
      </c>
      <c r="DD84" s="27">
        <f>IF(BE84&lt;&gt;-999,BE84*$DA84, -999)</f>
        <v>-1775567.7303533468</v>
      </c>
      <c r="DE84">
        <f t="shared" si="53"/>
        <v>-52.227000000000004</v>
      </c>
      <c r="DF84">
        <f>IF(BF84&lt;&gt;-999,BF84*$DE84, -999)</f>
        <v>-2483022.4742827397</v>
      </c>
      <c r="DG84">
        <f>IF(BG84&lt;&gt;-999,BG84*$DE84, -999)</f>
        <v>-999</v>
      </c>
      <c r="DH84" s="27">
        <f>IF(BH84&lt;&gt;-999,BH84*$DE84, -999)</f>
        <v>-2483022.4742827397</v>
      </c>
      <c r="DI84">
        <f t="shared" si="54"/>
        <v>-60.94</v>
      </c>
      <c r="DJ84">
        <f>IF(BI84&lt;&gt;-999,BI84*$DI84, -999)</f>
        <v>-4054872.6568003302</v>
      </c>
      <c r="DK84">
        <f>IF(BJ84&lt;&gt;-999,BJ84*$DI84, -999)</f>
        <v>-999</v>
      </c>
      <c r="DL84" s="27">
        <f>IF(BK84&lt;&gt;-999,BK84*$DI84, -999)</f>
        <v>-4054872.6568003302</v>
      </c>
      <c r="DM84" s="28">
        <f t="shared" si="55"/>
        <v>-15154200.087668587</v>
      </c>
      <c r="DN84" s="22">
        <f t="shared" si="56"/>
        <v>-17.170000000000002</v>
      </c>
      <c r="DO84">
        <f>IF(AT84&lt;&gt;-999,AT84*$DN84, -999)</f>
        <v>-700543.17142077116</v>
      </c>
      <c r="DP84">
        <f>IF(AU84&lt;&gt;-999,AU84*$DN84, -999)</f>
        <v>-999</v>
      </c>
      <c r="DQ84" s="24">
        <f>IF(AV84&lt;&gt;-999,AV84*$DN84, -999)</f>
        <v>-700543.17142077116</v>
      </c>
      <c r="DR84">
        <f t="shared" si="57"/>
        <v>-19.943000000000001</v>
      </c>
      <c r="DS84">
        <f>IF(AW84&lt;&gt;-999,AW84*$DR84, -999)</f>
        <v>-1049171.7952903393</v>
      </c>
      <c r="DT84">
        <f>IF(AX84&lt;&gt;-999,AX84*$DR84, -999)</f>
        <v>-999</v>
      </c>
      <c r="DU84" s="24">
        <f>IF(AY84&lt;&gt;-999,AY84*$DR84, -999)</f>
        <v>-1049171.7952903393</v>
      </c>
      <c r="DV84">
        <f t="shared" si="58"/>
        <v>-25.870999999999999</v>
      </c>
      <c r="DW84">
        <f>IF(AZ84&lt;&gt;-999,AZ84*$DV84, -999)</f>
        <v>-1904838.4854712056</v>
      </c>
      <c r="DX84">
        <f>IF(BA84&lt;&gt;-999,BA84*$DV84, -999)</f>
        <v>-999</v>
      </c>
      <c r="DY84" s="24">
        <f>IF(BB84&lt;&gt;-999,BB84*$DV84, -999)</f>
        <v>-1904838.4854712056</v>
      </c>
      <c r="DZ84">
        <f t="shared" si="59"/>
        <v>-25.245000000000001</v>
      </c>
      <c r="EA84">
        <f>IF(BC84&lt;&gt;-999, BC84*$DZ84, -999)</f>
        <v>-930831.84202617046</v>
      </c>
      <c r="EB84">
        <f>IF(BD84&lt;&gt;-999, BD84*$DZ84, -999)</f>
        <v>-999</v>
      </c>
      <c r="EC84" s="24">
        <f>IF(BE84&lt;&gt;-999, BE84*$DZ84, -999)</f>
        <v>-930831.84202617046</v>
      </c>
      <c r="ED84">
        <f t="shared" si="60"/>
        <v>-29.317</v>
      </c>
      <c r="EE84">
        <f>IF(BF84&lt;&gt;-999,BF84*$ED84, -999)</f>
        <v>-1393814.8826956761</v>
      </c>
      <c r="EF84">
        <f>IF(BG84&lt;&gt;-999,BG84*$ED84, -999)</f>
        <v>-999</v>
      </c>
      <c r="EG84" s="24">
        <f>IF(BH84&lt;&gt;-999,BH84*$ED84, -999)</f>
        <v>-1393814.8826956761</v>
      </c>
      <c r="EH84">
        <f t="shared" si="61"/>
        <v>-38.03</v>
      </c>
      <c r="EI84">
        <f>IF(BI84&lt;&gt;-999,BI84*$EH84, -999)</f>
        <v>-2530469.4312129403</v>
      </c>
      <c r="EJ84">
        <f>IF(BJ84&lt;&gt;-999,BJ84*$EH84, -999)</f>
        <v>-999</v>
      </c>
      <c r="EK84" s="24">
        <f>IF(BK84&lt;&gt;-999,BK84*$EH84, -999)</f>
        <v>-2530469.4312129403</v>
      </c>
      <c r="EL84" s="28">
        <f t="shared" si="62"/>
        <v>-8509669.6081171036</v>
      </c>
      <c r="EM84" s="22">
        <f>-17.17-(0.1023*G84)+H84*(100+102.093-66.644-64.243)</f>
        <v>31.577910152587467</v>
      </c>
      <c r="EN84">
        <f>IF(AT84&lt;&gt;-999,AT84*$EM84, -999)</f>
        <v>1288391.9234207217</v>
      </c>
      <c r="EO84">
        <f>IF(AU84&lt;&gt;-999,AU84*$EM84, -999)</f>
        <v>-999</v>
      </c>
      <c r="EP84" s="23">
        <f>IF(AV84&lt;&gt;-999,AV84*$EM84, -999)</f>
        <v>1288391.9234207217</v>
      </c>
      <c r="EQ84">
        <f>-19.943-(0.1023*G84)+H84*(100+102.093-66.644-64.243)</f>
        <v>28.804910152587468</v>
      </c>
      <c r="ER84">
        <f>IF(AW84&lt;&gt;-999,AW84*$EQ84, -999)</f>
        <v>1515383.8087533026</v>
      </c>
      <c r="ES84">
        <f>IF(AX84&lt;&gt;-999,AX84*$EQ84, -999)</f>
        <v>-999</v>
      </c>
      <c r="ET84" s="23">
        <f>IF(AY84&lt;&gt;-999,AY84*$EQ84, -999)</f>
        <v>1515383.8087533026</v>
      </c>
      <c r="EU84">
        <f>-25.871-(0.1023*G84)+H84*(100+102.093-66.644-64.243)</f>
        <v>22.87691015258747</v>
      </c>
      <c r="EV84">
        <f>IF(AZ84&lt;&gt;-999,AZ84*$EU84, -999)</f>
        <v>1684388.6547607577</v>
      </c>
      <c r="EW84">
        <f>IF(BA84&lt;&gt;-999,BA84*$EU84, -999)</f>
        <v>-999</v>
      </c>
      <c r="EX84" s="23">
        <f>IF(BB84&lt;&gt;-999,BB84*$EU84, -999)</f>
        <v>1684388.6547607577</v>
      </c>
      <c r="EY84">
        <f>-25.245-(0.1023*G84)+H84*(100+102.093-66.644-64.243)</f>
        <v>23.502910152587468</v>
      </c>
      <c r="EZ84">
        <f>IF(BC84&lt;&gt;-999, BC84*$EY84, -999)</f>
        <v>866597.62924573477</v>
      </c>
      <c r="FA84">
        <f>IF(BD84&lt;&gt;-999, BD84*$EY84, -999)</f>
        <v>-999</v>
      </c>
      <c r="FB84" s="23">
        <f>IF(BE84&lt;&gt;-999, BE84*$EY84, -999)</f>
        <v>866597.62924573477</v>
      </c>
      <c r="FC84">
        <f>-29.317-(0.1023*G84)+H84*(100+102.093-66.644-64.243)</f>
        <v>19.430910152587472</v>
      </c>
      <c r="FD84">
        <f>IF(BF84&lt;&gt;-999,BF84*$FC84, -999)</f>
        <v>923801.60845239717</v>
      </c>
      <c r="FE84">
        <f>IF(BG84&lt;&gt;-999,BG84*$FC84, -999)</f>
        <v>-999</v>
      </c>
      <c r="FF84" s="23">
        <f>IF(BH84&lt;&gt;-999,BH84*$FC84, -999)</f>
        <v>923801.60845239717</v>
      </c>
      <c r="FG84">
        <f>-38.03-(0.1023*G84)+H84*(100+102.093-66.644-64.243)</f>
        <v>10.717910152587464</v>
      </c>
      <c r="FH84">
        <f>IF(BI84&lt;&gt;-999,BI84*$FG84, -999)</f>
        <v>713156.56081013405</v>
      </c>
      <c r="FI84">
        <f>IF(BJ84&lt;&gt;-999,BJ84*$FG84, -999)</f>
        <v>-999</v>
      </c>
      <c r="FJ84" s="23">
        <f>IF(BK84&lt;&gt;-999,BK84*$FG84, -999)</f>
        <v>713156.56081013405</v>
      </c>
      <c r="FK84" s="28">
        <f t="shared" si="63"/>
        <v>6991720.1854430474</v>
      </c>
      <c r="FL84" s="22">
        <f t="shared" si="66"/>
        <v>10.012280000000011</v>
      </c>
      <c r="FM84">
        <f>IF(AT84&lt;&gt;-999,AT84*$FL84, -999)</f>
        <v>408505.20584465732</v>
      </c>
      <c r="FN84">
        <f>IF(AU84&lt;&gt;-999,AU84*$FL84, -999)</f>
        <v>-999</v>
      </c>
      <c r="FO84" s="29">
        <f>IF(AV84&lt;&gt;-999,AV84*$FL84, -999)</f>
        <v>408505.20584465732</v>
      </c>
      <c r="FP84">
        <f t="shared" si="67"/>
        <v>7.2392800000000115</v>
      </c>
      <c r="FQ84">
        <f>IF(AW84&lt;&gt;-999,AW84*$FP84, -999)</f>
        <v>380847.83604319609</v>
      </c>
      <c r="FR84">
        <f>IF(AX84&lt;&gt;-999,AX84*$FP84, -999)</f>
        <v>-999</v>
      </c>
      <c r="FS84" s="29">
        <f>IF(AY84&lt;&gt;-999,AY84*$FP84, -999)</f>
        <v>380847.83604319609</v>
      </c>
      <c r="FT84">
        <f t="shared" si="68"/>
        <v>1.3112800000000142</v>
      </c>
      <c r="FU84">
        <f>IF(AZ84&lt;&gt;-999,AZ84*$FT84, -999)</f>
        <v>96547.354537076637</v>
      </c>
      <c r="FV84">
        <f>IF(BA84&lt;&gt;-999,BA84*$FT84, -999)</f>
        <v>-999</v>
      </c>
      <c r="FW84" s="29">
        <f>IF(BB84&lt;&gt;-999,BB84*$FT84, -999)</f>
        <v>96547.354537076637</v>
      </c>
      <c r="FX84">
        <f t="shared" si="69"/>
        <v>1.9372800000000119</v>
      </c>
      <c r="FY84">
        <f>IF(BC84&lt;&gt;-999, BC84*$FX84, -999)</f>
        <v>71431.25018500576</v>
      </c>
      <c r="FZ84">
        <f>IF(BD84&lt;&gt;-999, BD84*$FX84, -999)</f>
        <v>-999</v>
      </c>
      <c r="GA84" s="29">
        <f>IF(BE84&lt;&gt;-999, BE84*$FX84, -999)</f>
        <v>71431.25018500576</v>
      </c>
      <c r="GB84">
        <f t="shared" si="70"/>
        <v>-2.1347199999999873</v>
      </c>
      <c r="GC84">
        <f>IF(BF84&lt;&gt;-999,BF84*$GB84, -999)</f>
        <v>-101490.75643442698</v>
      </c>
      <c r="GD84">
        <f>IF(BG84&lt;&gt;-999,BG84*$GB84, -999)</f>
        <v>-999</v>
      </c>
      <c r="GE84" s="29">
        <f>IF(BH84&lt;&gt;-999,BH84*$GB84, -999)</f>
        <v>-101490.75643442698</v>
      </c>
      <c r="GF84">
        <f t="shared" si="71"/>
        <v>-10.847719999999988</v>
      </c>
      <c r="GG84">
        <f>IF(BI84&lt;&gt;-999,BI84*$GF84, -999)</f>
        <v>-721793.94841854332</v>
      </c>
      <c r="GH84">
        <f>IF(BJ84&lt;&gt;-999,BJ84*$GF84, -999)</f>
        <v>-999</v>
      </c>
      <c r="GI84" s="29">
        <f>IF(BK84&lt;&gt;-999,BK84*$GF84, -999)</f>
        <v>-721793.94841854332</v>
      </c>
      <c r="GJ84" s="30">
        <f t="shared" si="64"/>
        <v>134046.94175696548</v>
      </c>
    </row>
    <row r="85" spans="1:192">
      <c r="A85" s="48" t="s">
        <v>160</v>
      </c>
      <c r="B85" s="48" t="s">
        <v>223</v>
      </c>
      <c r="C85" s="49">
        <v>155</v>
      </c>
      <c r="D85" s="50">
        <v>0.79300000000000004</v>
      </c>
      <c r="E85" s="49">
        <v>190.830396945134</v>
      </c>
      <c r="F85" s="49">
        <v>0.78135276928659803</v>
      </c>
      <c r="G85" s="49">
        <v>113.146086388754</v>
      </c>
      <c r="H85" s="49">
        <v>0.81541921533745299</v>
      </c>
      <c r="I85" s="42">
        <v>15455.9</v>
      </c>
      <c r="J85" s="43">
        <v>-999</v>
      </c>
      <c r="K85" s="43">
        <f t="shared" si="39"/>
        <v>15455.9</v>
      </c>
      <c r="L85" s="43">
        <v>10312.4</v>
      </c>
      <c r="M85" s="43">
        <v>-999</v>
      </c>
      <c r="N85" s="43">
        <f t="shared" si="40"/>
        <v>10312.4</v>
      </c>
      <c r="O85" s="43">
        <v>51357.1</v>
      </c>
      <c r="P85" s="43">
        <v>-999</v>
      </c>
      <c r="Q85" s="43">
        <f t="shared" si="41"/>
        <v>51357.1</v>
      </c>
      <c r="R85" s="43">
        <v>14736.1</v>
      </c>
      <c r="S85" s="43">
        <v>-999</v>
      </c>
      <c r="T85" s="43">
        <f t="shared" si="42"/>
        <v>14736.1</v>
      </c>
      <c r="U85" s="43">
        <v>9832.2000000000007</v>
      </c>
      <c r="V85" s="43">
        <v>-999</v>
      </c>
      <c r="W85" s="43">
        <f t="shared" si="43"/>
        <v>9832.2000000000007</v>
      </c>
      <c r="X85" s="43">
        <v>48965.5</v>
      </c>
      <c r="Y85" s="43">
        <v>-999</v>
      </c>
      <c r="Z85" s="43">
        <f t="shared" si="44"/>
        <v>48965.5</v>
      </c>
      <c r="AA85" s="22">
        <v>124022.1</v>
      </c>
      <c r="AB85">
        <v>-999</v>
      </c>
      <c r="AC85">
        <v>124022.1</v>
      </c>
      <c r="AD85">
        <v>82749.7</v>
      </c>
      <c r="AE85">
        <v>-999</v>
      </c>
      <c r="AF85">
        <v>82749.7</v>
      </c>
      <c r="AG85">
        <v>412103</v>
      </c>
      <c r="AH85">
        <v>-999</v>
      </c>
      <c r="AI85">
        <v>412103</v>
      </c>
      <c r="AJ85">
        <v>118246.7</v>
      </c>
      <c r="AK85">
        <v>-999</v>
      </c>
      <c r="AL85">
        <v>118246.7</v>
      </c>
      <c r="AM85">
        <v>78896.3</v>
      </c>
      <c r="AN85">
        <v>-999</v>
      </c>
      <c r="AO85">
        <v>78896.3</v>
      </c>
      <c r="AP85">
        <v>392912.5</v>
      </c>
      <c r="AQ85">
        <v>-999</v>
      </c>
      <c r="AR85">
        <v>392912.5</v>
      </c>
      <c r="AS85">
        <v>1208930.29</v>
      </c>
      <c r="AT85" s="22">
        <f t="shared" si="72"/>
        <v>206457.66442689751</v>
      </c>
      <c r="AU85">
        <f t="shared" si="72"/>
        <v>-999</v>
      </c>
      <c r="AV85">
        <f t="shared" si="72"/>
        <v>206457.66442689751</v>
      </c>
      <c r="AW85">
        <f t="shared" si="72"/>
        <v>137752.14090090749</v>
      </c>
      <c r="AX85">
        <f t="shared" si="72"/>
        <v>-999</v>
      </c>
      <c r="AY85">
        <f t="shared" si="72"/>
        <v>137752.14090090749</v>
      </c>
      <c r="AZ85">
        <f t="shared" si="72"/>
        <v>686021.46620092506</v>
      </c>
      <c r="BA85">
        <f t="shared" si="72"/>
        <v>-999</v>
      </c>
      <c r="BB85">
        <f t="shared" si="72"/>
        <v>686021.46620092506</v>
      </c>
      <c r="BC85">
        <f t="shared" si="72"/>
        <v>196843.44570998248</v>
      </c>
      <c r="BD85">
        <f t="shared" si="72"/>
        <v>-999</v>
      </c>
      <c r="BE85">
        <f t="shared" si="72"/>
        <v>196843.44570998248</v>
      </c>
      <c r="BF85">
        <f t="shared" si="72"/>
        <v>131337.44574494252</v>
      </c>
      <c r="BG85">
        <f t="shared" si="65"/>
        <v>-999</v>
      </c>
      <c r="BH85">
        <f t="shared" si="65"/>
        <v>131337.44574494252</v>
      </c>
      <c r="BI85">
        <f t="shared" si="65"/>
        <v>654075.3387834375</v>
      </c>
      <c r="BJ85">
        <f t="shared" si="38"/>
        <v>-999</v>
      </c>
      <c r="BK85">
        <f t="shared" si="38"/>
        <v>654075.3387834375</v>
      </c>
      <c r="BL85">
        <f t="shared" si="38"/>
        <v>2012487.4851202478</v>
      </c>
      <c r="BM85" s="22">
        <f>-17.17-(0.1023*E85)+F85*(100-8.576-13.681)</f>
        <v>24.052758735160786</v>
      </c>
      <c r="BN85">
        <f>IF(AT85&lt;&gt;-999,AT85*$BM85, -999)</f>
        <v>4965876.3914849535</v>
      </c>
      <c r="BO85">
        <f>IF(AU85&lt;&gt;-999,AU85*$BM85, -999)</f>
        <v>-999</v>
      </c>
      <c r="BP85" s="25">
        <f>IF(AV85&lt;&gt;-999,AV85*$BM85, -999)</f>
        <v>4965876.3914849535</v>
      </c>
      <c r="BQ85">
        <f>-19.943-(0.1023*E85)+F85*(100-8.576-13.681)</f>
        <v>21.279758735160783</v>
      </c>
      <c r="BR85">
        <f>IF(AW85&lt;&gt;-999,AW85*$BQ85, -999)</f>
        <v>2931332.323623185</v>
      </c>
      <c r="BS85">
        <f>IF(AX85&lt;&gt;-999,AX85*$BQ85, -999)</f>
        <v>-999</v>
      </c>
      <c r="BT85" s="25">
        <f>IF(AY85&lt;&gt;-999,AY85*$BQ85, -999)</f>
        <v>2931332.323623185</v>
      </c>
      <c r="BU85">
        <f>-25.871-(0.1023*E85)+F85*(100-8.576-13.681)</f>
        <v>15.351758735160786</v>
      </c>
      <c r="BV85">
        <f>IF(AZ85&lt;&gt;-999,AZ85*$BU85, -999)</f>
        <v>10531636.036257861</v>
      </c>
      <c r="BW85">
        <f>IF(BA85&lt;&gt;-999,BA85*$BU85, -999)</f>
        <v>-999</v>
      </c>
      <c r="BX85" s="25">
        <f>IF(BB85&lt;&gt;-999,BB85*$BU85, -999)</f>
        <v>10531636.036257861</v>
      </c>
      <c r="BY85">
        <f>-25.245-(0.1023*E85)+F85*(100-8.576-13.681)</f>
        <v>15.977758735160791</v>
      </c>
      <c r="BZ85">
        <f>IF(BC85&lt;&gt;-999,BC85*$BY85, -999)</f>
        <v>3145117.0841518212</v>
      </c>
      <c r="CA85">
        <f>IF(BD85&lt;&gt;-999,BD85*$BY85, -999)</f>
        <v>-999</v>
      </c>
      <c r="CB85" s="25">
        <f>IF(BE85&lt;&gt;-999,BE85*$BY85, -999)</f>
        <v>3145117.0841518212</v>
      </c>
      <c r="CC85">
        <f>-29.317-(0.1023*E85)+F85*(100-8.576-13.681)</f>
        <v>11.905758735160788</v>
      </c>
      <c r="CD85">
        <f>IF(BF85&lt;&gt;-999,BF85*$CC85, -999)</f>
        <v>1563671.9419315555</v>
      </c>
      <c r="CE85">
        <f>IF(BG85&lt;&gt;-999,BG85*$CC85, -999)</f>
        <v>-999</v>
      </c>
      <c r="CF85" s="25">
        <f>IF(BH85&lt;&gt;-999,BH85*$CC85, -999)</f>
        <v>1563671.9419315555</v>
      </c>
      <c r="CG85">
        <f>-38.03-(0.1023*E85)+F85*(100-8.576-13.681)</f>
        <v>3.1927587351607869</v>
      </c>
      <c r="CH85">
        <f>IF(BI85&lt;&gt;-999,BI85*$CG85, -999)</f>
        <v>2088304.7513540711</v>
      </c>
      <c r="CI85">
        <f>IF(BJ85&lt;&gt;-999,BJ85*$CG85, -999)</f>
        <v>-999</v>
      </c>
      <c r="CJ85" s="25">
        <f>IF(BK85&lt;&gt;-999,BK85*$CG85, -999)</f>
        <v>2088304.7513540711</v>
      </c>
      <c r="CK85" s="26">
        <f t="shared" si="45"/>
        <v>25225938.528803453</v>
      </c>
      <c r="CL85">
        <f t="shared" si="46"/>
        <v>-24.204792700445317</v>
      </c>
      <c r="CM85">
        <f t="shared" si="47"/>
        <v>33.957156404173396</v>
      </c>
      <c r="CN85">
        <f t="shared" si="48"/>
        <v>-81.362073963780588</v>
      </c>
      <c r="CO85" s="22">
        <f t="shared" si="49"/>
        <v>-40.08</v>
      </c>
      <c r="CP85">
        <f>IF(AT85&lt;&gt;-999,AT85*$CO85, -999)</f>
        <v>-8274823.190230052</v>
      </c>
      <c r="CQ85">
        <f>IF(AU85&lt;&gt;-999,AU85*$CO85, -999)</f>
        <v>-999</v>
      </c>
      <c r="CR85" s="27">
        <f>IF(AV85&lt;&gt;-999,AV85*$CO85, -999)</f>
        <v>-8274823.190230052</v>
      </c>
      <c r="CS85">
        <f t="shared" si="50"/>
        <v>-42.853000000000002</v>
      </c>
      <c r="CT85">
        <f>IF(AW85&lt;&gt;-999,AW85*$CS85, -999)</f>
        <v>-5903092.4940265883</v>
      </c>
      <c r="CU85">
        <f>IF(AX85&lt;&gt;-999,AX85*$CS85, -999)</f>
        <v>-999</v>
      </c>
      <c r="CV85" s="27">
        <f>IF(AY85&lt;&gt;-999,AY85*$CS85, -999)</f>
        <v>-5903092.4940265883</v>
      </c>
      <c r="CW85">
        <f t="shared" si="51"/>
        <v>-48.780999999999999</v>
      </c>
      <c r="CX85">
        <f>IF(AZ85&lt;&gt;-999,AZ85*$CO85, -999)</f>
        <v>-27495740.365333077</v>
      </c>
      <c r="CY85">
        <f>IF(BA85&lt;&gt;-999,BA85*$CO85, -999)</f>
        <v>-999</v>
      </c>
      <c r="CZ85" s="27">
        <f>IF(BB85&lt;&gt;-999,BB85*$CO85, -999)</f>
        <v>-27495740.365333077</v>
      </c>
      <c r="DA85">
        <f t="shared" si="52"/>
        <v>-48.155000000000001</v>
      </c>
      <c r="DB85">
        <f>IF(BC85&lt;&gt;-999,BC85*$DA85, -999)</f>
        <v>-9478996.1281642057</v>
      </c>
      <c r="DC85">
        <f>IF(BD85&lt;&gt;-999,BD85*$DA85, -999)</f>
        <v>-999</v>
      </c>
      <c r="DD85" s="27">
        <f>IF(BE85&lt;&gt;-999,BE85*$DA85, -999)</f>
        <v>-9478996.1281642057</v>
      </c>
      <c r="DE85">
        <f t="shared" si="53"/>
        <v>-52.227000000000004</v>
      </c>
      <c r="DF85">
        <f>IF(BF85&lt;&gt;-999,BF85*$DE85, -999)</f>
        <v>-6859360.7789211133</v>
      </c>
      <c r="DG85">
        <f>IF(BG85&lt;&gt;-999,BG85*$DE85, -999)</f>
        <v>-999</v>
      </c>
      <c r="DH85" s="27">
        <f>IF(BH85&lt;&gt;-999,BH85*$DE85, -999)</f>
        <v>-6859360.7789211133</v>
      </c>
      <c r="DI85">
        <f t="shared" si="54"/>
        <v>-60.94</v>
      </c>
      <c r="DJ85">
        <f>IF(BI85&lt;&gt;-999,BI85*$DI85, -999)</f>
        <v>-39859351.145462677</v>
      </c>
      <c r="DK85">
        <f>IF(BJ85&lt;&gt;-999,BJ85*$DI85, -999)</f>
        <v>-999</v>
      </c>
      <c r="DL85" s="27">
        <f>IF(BK85&lt;&gt;-999,BK85*$DI85, -999)</f>
        <v>-39859351.145462677</v>
      </c>
      <c r="DM85" s="28">
        <f t="shared" si="55"/>
        <v>-97871364.102137715</v>
      </c>
      <c r="DN85" s="22">
        <f t="shared" si="56"/>
        <v>-17.170000000000002</v>
      </c>
      <c r="DO85">
        <f>IF(AT85&lt;&gt;-999,AT85*$DN85, -999)</f>
        <v>-3544878.0982098305</v>
      </c>
      <c r="DP85">
        <f>IF(AU85&lt;&gt;-999,AU85*$DN85, -999)</f>
        <v>-999</v>
      </c>
      <c r="DQ85" s="24">
        <f>IF(AV85&lt;&gt;-999,AV85*$DN85, -999)</f>
        <v>-3544878.0982098305</v>
      </c>
      <c r="DR85">
        <f t="shared" si="57"/>
        <v>-19.943000000000001</v>
      </c>
      <c r="DS85">
        <f>IF(AW85&lt;&gt;-999,AW85*$DR85, -999)</f>
        <v>-2747190.945986798</v>
      </c>
      <c r="DT85">
        <f>IF(AX85&lt;&gt;-999,AX85*$DR85, -999)</f>
        <v>-999</v>
      </c>
      <c r="DU85" s="24">
        <f>IF(AY85&lt;&gt;-999,AY85*$DR85, -999)</f>
        <v>-2747190.945986798</v>
      </c>
      <c r="DV85">
        <f t="shared" si="58"/>
        <v>-25.870999999999999</v>
      </c>
      <c r="DW85">
        <f>IF(AZ85&lt;&gt;-999,AZ85*$DV85, -999)</f>
        <v>-17748061.35208413</v>
      </c>
      <c r="DX85">
        <f>IF(BA85&lt;&gt;-999,BA85*$DV85, -999)</f>
        <v>-999</v>
      </c>
      <c r="DY85" s="24">
        <f>IF(BB85&lt;&gt;-999,BB85*$DV85, -999)</f>
        <v>-17748061.35208413</v>
      </c>
      <c r="DZ85">
        <f t="shared" si="59"/>
        <v>-25.245000000000001</v>
      </c>
      <c r="EA85">
        <f>IF(BC85&lt;&gt;-999, BC85*$DZ85, -999)</f>
        <v>-4969312.7869485077</v>
      </c>
      <c r="EB85">
        <f>IF(BD85&lt;&gt;-999, BD85*$DZ85, -999)</f>
        <v>-999</v>
      </c>
      <c r="EC85" s="24">
        <f>IF(BE85&lt;&gt;-999, BE85*$DZ85, -999)</f>
        <v>-4969312.7869485077</v>
      </c>
      <c r="ED85">
        <f t="shared" si="60"/>
        <v>-29.317</v>
      </c>
      <c r="EE85">
        <f>IF(BF85&lt;&gt;-999,BF85*$ED85, -999)</f>
        <v>-3850419.8969044802</v>
      </c>
      <c r="EF85">
        <f>IF(BG85&lt;&gt;-999,BG85*$ED85, -999)</f>
        <v>-999</v>
      </c>
      <c r="EG85" s="24">
        <f>IF(BH85&lt;&gt;-999,BH85*$ED85, -999)</f>
        <v>-3850419.8969044802</v>
      </c>
      <c r="EH85">
        <f t="shared" si="61"/>
        <v>-38.03</v>
      </c>
      <c r="EI85">
        <f>IF(BI85&lt;&gt;-999,BI85*$EH85, -999)</f>
        <v>-24874485.133934129</v>
      </c>
      <c r="EJ85">
        <f>IF(BJ85&lt;&gt;-999,BJ85*$EH85, -999)</f>
        <v>-999</v>
      </c>
      <c r="EK85" s="24">
        <f>IF(BK85&lt;&gt;-999,BK85*$EH85, -999)</f>
        <v>-24874485.133934129</v>
      </c>
      <c r="EL85" s="28">
        <f t="shared" si="62"/>
        <v>-57734348.214067876</v>
      </c>
      <c r="EM85" s="22">
        <f>-17.17-(0.1023*G85)+H85*(100+102.093-66.644-64.243)</f>
        <v>29.317896009749155</v>
      </c>
      <c r="EN85">
        <f>IF(AT85&lt;&gt;-999,AT85*$EM85, -999)</f>
        <v>6052904.336083469</v>
      </c>
      <c r="EO85">
        <f>IF(AU85&lt;&gt;-999,AU85*$EM85, -999)</f>
        <v>-999</v>
      </c>
      <c r="EP85" s="23">
        <f>IF(AV85&lt;&gt;-999,AV85*$EM85, -999)</f>
        <v>6052904.336083469</v>
      </c>
      <c r="EQ85">
        <f>-19.943-(0.1023*G85)+H85*(100+102.093-66.644-64.243)</f>
        <v>26.544896009749156</v>
      </c>
      <c r="ER85">
        <f>IF(AW85&lt;&gt;-999,AW85*$EQ85, -999)</f>
        <v>3656616.2553349026</v>
      </c>
      <c r="ES85">
        <f>IF(AX85&lt;&gt;-999,AX85*$EQ85, -999)</f>
        <v>-999</v>
      </c>
      <c r="ET85" s="23">
        <f>IF(AY85&lt;&gt;-999,AY85*$EQ85, -999)</f>
        <v>3656616.2553349026</v>
      </c>
      <c r="EU85">
        <f>-25.871-(0.1023*G85)+H85*(100+102.093-66.644-64.243)</f>
        <v>20.616896009749155</v>
      </c>
      <c r="EV85">
        <f>IF(AZ85&lt;&gt;-999,AZ85*$EU85, -999)</f>
        <v>14143633.229120117</v>
      </c>
      <c r="EW85">
        <f>IF(BA85&lt;&gt;-999,BA85*$EU85, -999)</f>
        <v>-999</v>
      </c>
      <c r="EX85" s="23">
        <f>IF(BB85&lt;&gt;-999,BB85*$EU85, -999)</f>
        <v>14143633.229120117</v>
      </c>
      <c r="EY85">
        <f>-25.245-(0.1023*G85)+H85*(100+102.093-66.644-64.243)</f>
        <v>21.24289600974916</v>
      </c>
      <c r="EZ85">
        <f>IF(BC85&lt;&gt;-999, BC85*$EY85, -999)</f>
        <v>4181524.8474178622</v>
      </c>
      <c r="FA85">
        <f>IF(BD85&lt;&gt;-999, BD85*$EY85, -999)</f>
        <v>-999</v>
      </c>
      <c r="FB85" s="23">
        <f>IF(BE85&lt;&gt;-999, BE85*$EY85, -999)</f>
        <v>4181524.8474178622</v>
      </c>
      <c r="FC85">
        <f>-29.317-(0.1023*G85)+H85*(100+102.093-66.644-64.243)</f>
        <v>17.170896009749157</v>
      </c>
      <c r="FD85">
        <f>IF(BF85&lt;&gt;-999,BF85*$FC85, -999)</f>
        <v>2255181.6230724799</v>
      </c>
      <c r="FE85">
        <f>IF(BG85&lt;&gt;-999,BG85*$FC85, -999)</f>
        <v>-999</v>
      </c>
      <c r="FF85" s="23">
        <f>IF(BH85&lt;&gt;-999,BH85*$FC85, -999)</f>
        <v>2255181.6230724799</v>
      </c>
      <c r="FG85">
        <f>-38.03-(0.1023*G85)+H85*(100+102.093-66.644-64.243)</f>
        <v>8.457896009749156</v>
      </c>
      <c r="FH85">
        <f>IF(BI85&lt;&gt;-999,BI85*$FG85, -999)</f>
        <v>5532101.1979717631</v>
      </c>
      <c r="FI85">
        <f>IF(BJ85&lt;&gt;-999,BJ85*$FG85, -999)</f>
        <v>-999</v>
      </c>
      <c r="FJ85" s="23">
        <f>IF(BK85&lt;&gt;-999,BK85*$FG85, -999)</f>
        <v>5532101.1979717631</v>
      </c>
      <c r="FK85" s="28">
        <f t="shared" si="63"/>
        <v>35821961.489000589</v>
      </c>
      <c r="FL85" s="22">
        <f t="shared" si="66"/>
        <v>10.012280000000011</v>
      </c>
      <c r="FM85">
        <f>IF(AT85&lt;&gt;-999,AT85*$FL85, -999)</f>
        <v>2067111.9443881398</v>
      </c>
      <c r="FN85">
        <f>IF(AU85&lt;&gt;-999,AU85*$FL85, -999)</f>
        <v>-999</v>
      </c>
      <c r="FO85" s="29">
        <f>IF(AV85&lt;&gt;-999,AV85*$FL85, -999)</f>
        <v>2067111.9443881398</v>
      </c>
      <c r="FP85">
        <f t="shared" si="67"/>
        <v>7.2392800000000115</v>
      </c>
      <c r="FQ85">
        <f>IF(AW85&lt;&gt;-999,AW85*$FP85, -999)</f>
        <v>997226.31858112314</v>
      </c>
      <c r="FR85">
        <f>IF(AX85&lt;&gt;-999,AX85*$FP85, -999)</f>
        <v>-999</v>
      </c>
      <c r="FS85" s="29">
        <f>IF(AY85&lt;&gt;-999,AY85*$FP85, -999)</f>
        <v>997226.31858112314</v>
      </c>
      <c r="FT85">
        <f t="shared" si="68"/>
        <v>1.3112800000000142</v>
      </c>
      <c r="FU85">
        <f>IF(AZ85&lt;&gt;-999,AZ85*$FT85, -999)</f>
        <v>899566.2281999588</v>
      </c>
      <c r="FV85">
        <f>IF(BA85&lt;&gt;-999,BA85*$FT85, -999)</f>
        <v>-999</v>
      </c>
      <c r="FW85" s="29">
        <f>IF(BB85&lt;&gt;-999,BB85*$FT85, -999)</f>
        <v>899566.2281999588</v>
      </c>
      <c r="FX85">
        <f t="shared" si="69"/>
        <v>1.9372800000000119</v>
      </c>
      <c r="FY85">
        <f>IF(BC85&lt;&gt;-999, BC85*$FX85, -999)</f>
        <v>381340.87050503719</v>
      </c>
      <c r="FZ85">
        <f>IF(BD85&lt;&gt;-999, BD85*$FX85, -999)</f>
        <v>-999</v>
      </c>
      <c r="GA85" s="29">
        <f>IF(BE85&lt;&gt;-999, BE85*$FX85, -999)</f>
        <v>381340.87050503719</v>
      </c>
      <c r="GB85">
        <f t="shared" si="70"/>
        <v>-2.1347199999999873</v>
      </c>
      <c r="GC85">
        <f>IF(BF85&lt;&gt;-999,BF85*$GB85, -999)</f>
        <v>-280368.67218064202</v>
      </c>
      <c r="GD85">
        <f>IF(BG85&lt;&gt;-999,BG85*$GB85, -999)</f>
        <v>-999</v>
      </c>
      <c r="GE85" s="29">
        <f>IF(BH85&lt;&gt;-999,BH85*$GB85, -999)</f>
        <v>-280368.67218064202</v>
      </c>
      <c r="GF85">
        <f t="shared" si="71"/>
        <v>-10.847719999999988</v>
      </c>
      <c r="GG85">
        <f>IF(BI85&lt;&gt;-999,BI85*$GF85, -999)</f>
        <v>-7095226.1340278629</v>
      </c>
      <c r="GH85">
        <f>IF(BJ85&lt;&gt;-999,BJ85*$GF85, -999)</f>
        <v>-999</v>
      </c>
      <c r="GI85" s="29">
        <f>IF(BK85&lt;&gt;-999,BK85*$GF85, -999)</f>
        <v>-7095226.1340278629</v>
      </c>
      <c r="GJ85" s="30">
        <f t="shared" si="64"/>
        <v>-3030349.4445342463</v>
      </c>
    </row>
    <row r="86" spans="1:192">
      <c r="A86" s="48" t="s">
        <v>161</v>
      </c>
      <c r="B86" s="48" t="s">
        <v>224</v>
      </c>
      <c r="C86" s="49">
        <v>104</v>
      </c>
      <c r="D86" s="50">
        <v>0.79100000000000004</v>
      </c>
      <c r="E86" s="49">
        <v>153.518052845879</v>
      </c>
      <c r="F86" s="49">
        <v>0.78735626550673499</v>
      </c>
      <c r="G86" s="49">
        <v>162.787331954254</v>
      </c>
      <c r="H86" s="49">
        <v>0.811915213859291</v>
      </c>
      <c r="I86" s="42">
        <v>10654.9</v>
      </c>
      <c r="J86" s="43">
        <v>67672.100000000006</v>
      </c>
      <c r="K86" s="43">
        <f t="shared" si="39"/>
        <v>78327</v>
      </c>
      <c r="L86" s="43">
        <v>3179.2</v>
      </c>
      <c r="M86" s="43">
        <v>20192</v>
      </c>
      <c r="N86" s="43">
        <f t="shared" si="40"/>
        <v>23371.200000000001</v>
      </c>
      <c r="O86" s="43">
        <v>7192.1</v>
      </c>
      <c r="P86" s="43">
        <v>45679.199999999997</v>
      </c>
      <c r="Q86" s="43">
        <f t="shared" si="41"/>
        <v>52871.299999999996</v>
      </c>
      <c r="R86" s="43">
        <v>16995.5</v>
      </c>
      <c r="S86" s="43">
        <v>107943.2</v>
      </c>
      <c r="T86" s="43">
        <f t="shared" si="42"/>
        <v>124938.7</v>
      </c>
      <c r="U86" s="43">
        <v>5071.1000000000004</v>
      </c>
      <c r="V86" s="43">
        <v>32208.1</v>
      </c>
      <c r="W86" s="43">
        <f t="shared" si="43"/>
        <v>37279.199999999997</v>
      </c>
      <c r="X86" s="43">
        <v>11472.1</v>
      </c>
      <c r="Y86" s="43">
        <v>72862.5</v>
      </c>
      <c r="Z86" s="43">
        <f t="shared" si="44"/>
        <v>84334.6</v>
      </c>
      <c r="AA86" s="22">
        <v>429693.2</v>
      </c>
      <c r="AB86">
        <v>1262876.3999999999</v>
      </c>
      <c r="AC86">
        <v>1692569.6000000001</v>
      </c>
      <c r="AD86">
        <v>128211.7</v>
      </c>
      <c r="AE86">
        <v>376816.6</v>
      </c>
      <c r="AF86">
        <v>505028.3</v>
      </c>
      <c r="AG86">
        <v>290046</v>
      </c>
      <c r="AH86">
        <v>852450.7</v>
      </c>
      <c r="AI86">
        <v>1142496.8</v>
      </c>
      <c r="AJ86">
        <v>685400.3</v>
      </c>
      <c r="AK86">
        <v>2014404.1</v>
      </c>
      <c r="AL86">
        <v>2699804.3</v>
      </c>
      <c r="AM86">
        <v>204509.5</v>
      </c>
      <c r="AN86">
        <v>601057.1</v>
      </c>
      <c r="AO86">
        <v>805566.6</v>
      </c>
      <c r="AP86">
        <v>462650.2</v>
      </c>
      <c r="AQ86">
        <v>1359737.4</v>
      </c>
      <c r="AR86">
        <v>1822387.5</v>
      </c>
      <c r="AS86">
        <v>8667853.0500000007</v>
      </c>
      <c r="AT86" s="22">
        <f t="shared" si="72"/>
        <v>715303.59905307007</v>
      </c>
      <c r="AU86">
        <f t="shared" si="72"/>
        <v>2102290.7369238897</v>
      </c>
      <c r="AV86">
        <f t="shared" si="72"/>
        <v>2817594.3359769601</v>
      </c>
      <c r="AW86">
        <f t="shared" si="72"/>
        <v>213432.02650335748</v>
      </c>
      <c r="AX86">
        <f t="shared" si="72"/>
        <v>627280.74394228496</v>
      </c>
      <c r="AY86">
        <f t="shared" si="72"/>
        <v>840712.77044564253</v>
      </c>
      <c r="AZ86">
        <f t="shared" si="72"/>
        <v>482835.07323585002</v>
      </c>
      <c r="BA86">
        <f t="shared" si="72"/>
        <v>1419061.4459928824</v>
      </c>
      <c r="BB86">
        <f t="shared" si="72"/>
        <v>1901896.68569718</v>
      </c>
      <c r="BC86">
        <f t="shared" si="72"/>
        <v>1140975.2385703425</v>
      </c>
      <c r="BD86">
        <f t="shared" si="72"/>
        <v>3353347.2316463478</v>
      </c>
      <c r="BE86">
        <f t="shared" si="72"/>
        <v>4494322.3037482426</v>
      </c>
      <c r="BF86">
        <f t="shared" si="72"/>
        <v>340443.78964001249</v>
      </c>
      <c r="BG86">
        <f t="shared" si="65"/>
        <v>1000570.4229585226</v>
      </c>
      <c r="BH86">
        <f t="shared" si="65"/>
        <v>1341014.212598535</v>
      </c>
      <c r="BI86">
        <f t="shared" si="65"/>
        <v>770166.60529564496</v>
      </c>
      <c r="BJ86">
        <f t="shared" si="38"/>
        <v>2263533.7398568648</v>
      </c>
      <c r="BK86">
        <f t="shared" si="38"/>
        <v>3033700.1786840628</v>
      </c>
      <c r="BL86">
        <f t="shared" si="38"/>
        <v>14429240.4039164</v>
      </c>
      <c r="BM86" s="22">
        <f>-17.17-(0.1023*E86)+F86*(100-8.576-13.681)</f>
        <v>28.336541343156682</v>
      </c>
      <c r="BN86">
        <f>IF(AT86&lt;&gt;-999,AT86*$BM86, -999)</f>
        <v>20269230.007476091</v>
      </c>
      <c r="BO86">
        <f>IF(AU86&lt;&gt;-999,AU86*$BM86, -999)</f>
        <v>59571648.382179126</v>
      </c>
      <c r="BP86" s="25">
        <f>IF(AV86&lt;&gt;-999,AV86*$BM86, -999)</f>
        <v>79840878.389655232</v>
      </c>
      <c r="BQ86">
        <f>-19.943-(0.1023*E86)+F86*(100-8.576-13.681)</f>
        <v>25.563541343156679</v>
      </c>
      <c r="BR86">
        <f>IF(AW86&lt;&gt;-999,AW86*$BQ86, -999)</f>
        <v>5456078.4334722906</v>
      </c>
      <c r="BS86">
        <f>IF(AX86&lt;&gt;-999,AX86*$BQ86, -999)</f>
        <v>16035517.23153468</v>
      </c>
      <c r="BT86" s="25">
        <f>IF(AY86&lt;&gt;-999,AY86*$BQ86, -999)</f>
        <v>21491595.665006973</v>
      </c>
      <c r="BU86">
        <f>-25.871-(0.1023*E86)+F86*(100-8.576-13.681)</f>
        <v>19.635541343156682</v>
      </c>
      <c r="BV86">
        <f>IF(AZ86&lt;&gt;-999,AZ86*$BU86, -999)</f>
        <v>9480728.0424486175</v>
      </c>
      <c r="BW86">
        <f>IF(BA86&lt;&gt;-999,BA86*$BU86, -999)</f>
        <v>27864039.691272944</v>
      </c>
      <c r="BX86" s="25">
        <f>IF(BB86&lt;&gt;-999,BB86*$BU86, -999)</f>
        <v>37344771.002419643</v>
      </c>
      <c r="BY86">
        <f>-25.245-(0.1023*E86)+F86*(100-8.576-13.681)</f>
        <v>20.261541343156679</v>
      </c>
      <c r="BZ86">
        <f>IF(BC86&lt;&gt;-999,BC86*$BY86, -999)</f>
        <v>23117916.967811052</v>
      </c>
      <c r="CA86">
        <f>IF(BD86&lt;&gt;-999,BD86*$BY86, -999)</f>
        <v>67943983.571962476</v>
      </c>
      <c r="CB86" s="25">
        <f>IF(BE86&lt;&gt;-999,BE86*$BY86, -999)</f>
        <v>91061897.166866183</v>
      </c>
      <c r="CC86">
        <f>-29.317-(0.1023*E86)+F86*(100-8.576-13.681)</f>
        <v>16.189541343156684</v>
      </c>
      <c r="CD86">
        <f>IF(BF86&lt;&gt;-999,BF86*$CC86, -999)</f>
        <v>5511628.8073979197</v>
      </c>
      <c r="CE86">
        <f>IF(BG86&lt;&gt;-999,BG86*$CC86, -999)</f>
        <v>16198776.22922677</v>
      </c>
      <c r="CF86" s="25">
        <f>IF(BH86&lt;&gt;-999,BH86*$CC86, -999)</f>
        <v>21710405.036624689</v>
      </c>
      <c r="CG86">
        <f>-38.03-(0.1023*E86)+F86*(100-8.576-13.681)</f>
        <v>7.4765413431566827</v>
      </c>
      <c r="CH86">
        <f>IF(BI86&lt;&gt;-999,BI86*$CG86, -999)</f>
        <v>5758182.4656115239</v>
      </c>
      <c r="CI86">
        <f>IF(BJ86&lt;&gt;-999,BJ86*$CG86, -999)</f>
        <v>16923403.587669913</v>
      </c>
      <c r="CJ86" s="25">
        <f>IF(BK86&lt;&gt;-999,BK86*$CG86, -999)</f>
        <v>22681584.80867321</v>
      </c>
      <c r="CK86" s="26">
        <f t="shared" si="45"/>
        <v>274131132.06924593</v>
      </c>
      <c r="CL86">
        <f t="shared" si="46"/>
        <v>-28.698463176565525</v>
      </c>
      <c r="CM86">
        <f t="shared" si="47"/>
        <v>29.020008106255901</v>
      </c>
      <c r="CN86">
        <f t="shared" si="48"/>
        <v>-85.419927088784803</v>
      </c>
      <c r="CO86" s="22">
        <f t="shared" si="49"/>
        <v>-40.08</v>
      </c>
      <c r="CP86">
        <f>IF(AT86&lt;&gt;-999,AT86*$CO86, -999)</f>
        <v>-28669368.250047047</v>
      </c>
      <c r="CQ86">
        <f>IF(AU86&lt;&gt;-999,AU86*$CO86, -999)</f>
        <v>-84259812.735909492</v>
      </c>
      <c r="CR86" s="27">
        <f>IF(AV86&lt;&gt;-999,AV86*$CO86, -999)</f>
        <v>-112929180.98595656</v>
      </c>
      <c r="CS86">
        <f t="shared" si="50"/>
        <v>-42.853000000000002</v>
      </c>
      <c r="CT86">
        <f>IF(AW86&lt;&gt;-999,AW86*$CS86, -999)</f>
        <v>-9146202.6317483783</v>
      </c>
      <c r="CU86">
        <f>IF(AX86&lt;&gt;-999,AX86*$CS86, -999)</f>
        <v>-26880861.720158737</v>
      </c>
      <c r="CV86" s="27">
        <f>IF(AY86&lt;&gt;-999,AY86*$CS86, -999)</f>
        <v>-36027064.351907119</v>
      </c>
      <c r="CW86">
        <f t="shared" si="51"/>
        <v>-48.780999999999999</v>
      </c>
      <c r="CX86">
        <f>IF(AZ86&lt;&gt;-999,AZ86*$CO86, -999)</f>
        <v>-19352029.735292867</v>
      </c>
      <c r="CY86">
        <f>IF(BA86&lt;&gt;-999,BA86*$CO86, -999)</f>
        <v>-56875982.75539472</v>
      </c>
      <c r="CZ86" s="27">
        <f>IF(BB86&lt;&gt;-999,BB86*$CO86, -999)</f>
        <v>-76228019.162742972</v>
      </c>
      <c r="DA86">
        <f t="shared" si="52"/>
        <v>-48.155000000000001</v>
      </c>
      <c r="DB86">
        <f>IF(BC86&lt;&gt;-999,BC86*$DA86, -999)</f>
        <v>-54943662.613354847</v>
      </c>
      <c r="DC86">
        <f>IF(BD86&lt;&gt;-999,BD86*$DA86, -999)</f>
        <v>-161480435.93992987</v>
      </c>
      <c r="DD86" s="27">
        <f>IF(BE86&lt;&gt;-999,BE86*$DA86, -999)</f>
        <v>-216424090.53699663</v>
      </c>
      <c r="DE86">
        <f t="shared" si="53"/>
        <v>-52.227000000000004</v>
      </c>
      <c r="DF86">
        <f>IF(BF86&lt;&gt;-999,BF86*$DE86, -999)</f>
        <v>-17780357.801528934</v>
      </c>
      <c r="DG86">
        <f>IF(BG86&lt;&gt;-999,BG86*$DE86, -999)</f>
        <v>-52256791.479854763</v>
      </c>
      <c r="DH86" s="27">
        <f>IF(BH86&lt;&gt;-999,BH86*$DE86, -999)</f>
        <v>-70037149.281383693</v>
      </c>
      <c r="DI86">
        <f t="shared" si="54"/>
        <v>-60.94</v>
      </c>
      <c r="DJ86">
        <f>IF(BI86&lt;&gt;-999,BI86*$DI86, -999)</f>
        <v>-46933952.926716603</v>
      </c>
      <c r="DK86">
        <f>IF(BJ86&lt;&gt;-999,BJ86*$DI86, -999)</f>
        <v>-137939746.10687733</v>
      </c>
      <c r="DL86" s="27">
        <f>IF(BK86&lt;&gt;-999,BK86*$DI86, -999)</f>
        <v>-184873688.88900679</v>
      </c>
      <c r="DM86" s="28">
        <f t="shared" si="55"/>
        <v>-696519193.20799375</v>
      </c>
      <c r="DN86" s="22">
        <f t="shared" si="56"/>
        <v>-17.170000000000002</v>
      </c>
      <c r="DO86">
        <f>IF(AT86&lt;&gt;-999,AT86*$DN86, -999)</f>
        <v>-12281762.795741213</v>
      </c>
      <c r="DP86">
        <f>IF(AU86&lt;&gt;-999,AU86*$DN86, -999)</f>
        <v>-36096331.952983193</v>
      </c>
      <c r="DQ86" s="24">
        <f>IF(AV86&lt;&gt;-999,AV86*$DN86, -999)</f>
        <v>-48378094.748724408</v>
      </c>
      <c r="DR86">
        <f t="shared" si="57"/>
        <v>-19.943000000000001</v>
      </c>
      <c r="DS86">
        <f>IF(AW86&lt;&gt;-999,AW86*$DR86, -999)</f>
        <v>-4256474.9045564588</v>
      </c>
      <c r="DT86">
        <f>IF(AX86&lt;&gt;-999,AX86*$DR86, -999)</f>
        <v>-12509859.876440989</v>
      </c>
      <c r="DU86" s="24">
        <f>IF(AY86&lt;&gt;-999,AY86*$DR86, -999)</f>
        <v>-16766334.78099745</v>
      </c>
      <c r="DV86">
        <f t="shared" si="58"/>
        <v>-25.870999999999999</v>
      </c>
      <c r="DW86">
        <f>IF(AZ86&lt;&gt;-999,AZ86*$DV86, -999)</f>
        <v>-12491426.179684676</v>
      </c>
      <c r="DX86">
        <f>IF(BA86&lt;&gt;-999,BA86*$DV86, -999)</f>
        <v>-36712538.669281855</v>
      </c>
      <c r="DY86" s="24">
        <f>IF(BB86&lt;&gt;-999,BB86*$DV86, -999)</f>
        <v>-49203969.155671738</v>
      </c>
      <c r="DZ86">
        <f t="shared" si="59"/>
        <v>-25.245000000000001</v>
      </c>
      <c r="EA86">
        <f>IF(BC86&lt;&gt;-999, BC86*$DZ86, -999)</f>
        <v>-28803919.897708297</v>
      </c>
      <c r="EB86">
        <f>IF(BD86&lt;&gt;-999, BD86*$DZ86, -999)</f>
        <v>-84655250.862912059</v>
      </c>
      <c r="EC86" s="24">
        <f>IF(BE86&lt;&gt;-999, BE86*$DZ86, -999)</f>
        <v>-113459166.55812439</v>
      </c>
      <c r="ED86">
        <f t="shared" si="60"/>
        <v>-29.317</v>
      </c>
      <c r="EE86">
        <f>IF(BF86&lt;&gt;-999,BF86*$ED86, -999)</f>
        <v>-9980790.5808762461</v>
      </c>
      <c r="EF86">
        <f>IF(BG86&lt;&gt;-999,BG86*$ED86, -999)</f>
        <v>-29333723.089875005</v>
      </c>
      <c r="EG86" s="24">
        <f>IF(BH86&lt;&gt;-999,BH86*$ED86, -999)</f>
        <v>-39314513.670751251</v>
      </c>
      <c r="EH86">
        <f t="shared" si="61"/>
        <v>-38.03</v>
      </c>
      <c r="EI86">
        <f>IF(BI86&lt;&gt;-999,BI86*$EH86, -999)</f>
        <v>-29289435.999393377</v>
      </c>
      <c r="EJ86">
        <f>IF(BJ86&lt;&gt;-999,BJ86*$EH86, -999)</f>
        <v>-86082188.126756564</v>
      </c>
      <c r="EK86" s="24">
        <f>IF(BK86&lt;&gt;-999,BK86*$EH86, -999)</f>
        <v>-115371617.79535492</v>
      </c>
      <c r="EL86" s="28">
        <f t="shared" si="62"/>
        <v>-382493696.70962417</v>
      </c>
      <c r="EM86" s="22">
        <f>-17.17-(0.1023*G86)+H86*(100+102.093-66.644-64.243)</f>
        <v>23.990090659144506</v>
      </c>
      <c r="EN86">
        <f>IF(AT86&lt;&gt;-999,AT86*$EM86, -999)</f>
        <v>17160198.190095503</v>
      </c>
      <c r="EO86">
        <f>IF(AU86&lt;&gt;-999,AU86*$EM86, -999)</f>
        <v>50434145.370683827</v>
      </c>
      <c r="EP86" s="23">
        <f>IF(AV86&lt;&gt;-999,AV86*$EM86, -999)</f>
        <v>67594343.560779333</v>
      </c>
      <c r="EQ86">
        <f>-19.943-(0.1023*G86)+H86*(100+102.093-66.644-64.243)</f>
        <v>21.217090659144503</v>
      </c>
      <c r="ER86">
        <f>IF(AW86&lt;&gt;-999,AW86*$EQ86, -999)</f>
        <v>4528406.6558866678</v>
      </c>
      <c r="ES86">
        <f>IF(AX86&lt;&gt;-999,AX86*$EQ86, -999)</f>
        <v>13309072.412959069</v>
      </c>
      <c r="ET86" s="23">
        <f>IF(AY86&lt;&gt;-999,AY86*$EQ86, -999)</f>
        <v>17837479.068845738</v>
      </c>
      <c r="EU86">
        <f>-25.871-(0.1023*G86)+H86*(100+102.093-66.644-64.243)</f>
        <v>15.289090659144506</v>
      </c>
      <c r="EV86">
        <f>IF(AZ86&lt;&gt;-999,AZ86*$EU86, -999)</f>
        <v>7382109.2081175884</v>
      </c>
      <c r="EW86">
        <f>IF(BA86&lt;&gt;-999,BA86*$EU86, -999)</f>
        <v>21696159.098681875</v>
      </c>
      <c r="EX86" s="23">
        <f>IF(BB86&lt;&gt;-999,BB86*$EU86, -999)</f>
        <v>29078270.851950649</v>
      </c>
      <c r="EY86">
        <f>-25.245-(0.1023*G86)+H86*(100+102.093-66.644-64.243)</f>
        <v>15.915090659144511</v>
      </c>
      <c r="EZ86">
        <f>IF(BC86&lt;&gt;-999, BC86*$EY86, -999)</f>
        <v>18158724.36168604</v>
      </c>
      <c r="FA86">
        <f>IF(BD86&lt;&gt;-999, BD86*$EY86, -999)</f>
        <v>53368825.203242891</v>
      </c>
      <c r="FB86" s="23">
        <f>IF(BE86&lt;&gt;-999, BE86*$EY86, -999)</f>
        <v>71527546.915568501</v>
      </c>
      <c r="FC86">
        <f>-29.317-(0.1023*G86)+H86*(100+102.093-66.644-64.243)</f>
        <v>11.843090659144508</v>
      </c>
      <c r="FD86">
        <f>IF(BF86&lt;&gt;-999,BF86*$FC86, -999)</f>
        <v>4031906.6650493899</v>
      </c>
      <c r="FE86">
        <f>IF(BG86&lt;&gt;-999,BG86*$FC86, -999)</f>
        <v>11849846.229956347</v>
      </c>
      <c r="FF86" s="23">
        <f>IF(BH86&lt;&gt;-999,BH86*$FC86, -999)</f>
        <v>15881752.895005737</v>
      </c>
      <c r="FG86">
        <f>-38.03-(0.1023*G86)+H86*(100+102.093-66.644-64.243)</f>
        <v>3.130090659144507</v>
      </c>
      <c r="FH86">
        <f>IF(BI86&lt;&gt;-999,BI86*$FG86, -999)</f>
        <v>2410691.2972209328</v>
      </c>
      <c r="FI86">
        <f>IF(BJ86&lt;&gt;-999,BJ86*$FG86, -999)</f>
        <v>7085065.815784405</v>
      </c>
      <c r="FJ86" s="23">
        <f>IF(BK86&lt;&gt;-999,BK86*$FG86, -999)</f>
        <v>9495756.5919440072</v>
      </c>
      <c r="FK86" s="28">
        <f t="shared" si="63"/>
        <v>211415149.88409394</v>
      </c>
      <c r="FL86" s="22">
        <f t="shared" si="66"/>
        <v>10.012280000000011</v>
      </c>
      <c r="FM86">
        <f>IF(AT86&lt;&gt;-999,AT86*$FL86, -999)</f>
        <v>7161819.9187270803</v>
      </c>
      <c r="FN86">
        <f>IF(AU86&lt;&gt;-999,AU86*$FL86, -999)</f>
        <v>21048723.499488346</v>
      </c>
      <c r="FO86" s="29">
        <f>IF(AV86&lt;&gt;-999,AV86*$FL86, -999)</f>
        <v>28210543.418215431</v>
      </c>
      <c r="FP86">
        <f t="shared" si="67"/>
        <v>7.2392800000000115</v>
      </c>
      <c r="FQ86">
        <f>IF(AW86&lt;&gt;-999,AW86*$FP86, -999)</f>
        <v>1545094.2008252281</v>
      </c>
      <c r="FR86">
        <f>IF(AX86&lt;&gt;-999,AX86*$FP86, -999)</f>
        <v>4541060.9440065119</v>
      </c>
      <c r="FS86" s="29">
        <f>IF(AY86&lt;&gt;-999,AY86*$FP86, -999)</f>
        <v>6086155.1448317403</v>
      </c>
      <c r="FT86">
        <f t="shared" si="68"/>
        <v>1.3112800000000142</v>
      </c>
      <c r="FU86">
        <f>IF(AZ86&lt;&gt;-999,AZ86*$FT86, -999)</f>
        <v>633131.97483271232</v>
      </c>
      <c r="FV86">
        <f>IF(BA86&lt;&gt;-999,BA86*$FT86, -999)</f>
        <v>1860786.892901567</v>
      </c>
      <c r="FW86" s="29">
        <f>IF(BB86&lt;&gt;-999,BB86*$FT86, -999)</f>
        <v>2493919.0860210252</v>
      </c>
      <c r="FX86">
        <f t="shared" si="69"/>
        <v>1.9372800000000119</v>
      </c>
      <c r="FY86">
        <f>IF(BC86&lt;&gt;-999, BC86*$FX86, -999)</f>
        <v>2210388.5101775667</v>
      </c>
      <c r="FZ86">
        <f>IF(BD86&lt;&gt;-999, BD86*$FX86, -999)</f>
        <v>6496372.5249238769</v>
      </c>
      <c r="GA86" s="29">
        <f>IF(BE86&lt;&gt;-999, BE86*$FX86, -999)</f>
        <v>8706760.7126054484</v>
      </c>
      <c r="GB86">
        <f t="shared" si="70"/>
        <v>-2.1347199999999873</v>
      </c>
      <c r="GC86">
        <f>IF(BF86&lt;&gt;-999,BF86*$GB86, -999)</f>
        <v>-726752.16662032309</v>
      </c>
      <c r="GD86">
        <f>IF(BG86&lt;&gt;-999,BG86*$GB86, -999)</f>
        <v>-2135937.6932980046</v>
      </c>
      <c r="GE86" s="29">
        <f>IF(BH86&lt;&gt;-999,BH86*$GB86, -999)</f>
        <v>-2862689.8599183275</v>
      </c>
      <c r="GF86">
        <f t="shared" si="71"/>
        <v>-10.847719999999988</v>
      </c>
      <c r="GG86">
        <f>IF(BI86&lt;&gt;-999,BI86*$GF86, -999)</f>
        <v>-8354551.687597665</v>
      </c>
      <c r="GH86">
        <f>IF(BJ86&lt;&gt;-999,BJ86*$GF86, -999)</f>
        <v>-24554180.220520083</v>
      </c>
      <c r="GI86" s="29">
        <f>IF(BK86&lt;&gt;-999,BK86*$GF86, -999)</f>
        <v>-32908730.102314647</v>
      </c>
      <c r="GJ86" s="30">
        <f t="shared" si="64"/>
        <v>9725958.3994406722</v>
      </c>
    </row>
    <row r="87" spans="1:192">
      <c r="A87" s="48" t="s">
        <v>138</v>
      </c>
      <c r="B87" s="48" t="s">
        <v>225</v>
      </c>
      <c r="C87" s="49">
        <v>135</v>
      </c>
      <c r="D87" s="50">
        <v>0.78700000000000003</v>
      </c>
      <c r="E87" s="49">
        <v>288.60809929659598</v>
      </c>
      <c r="F87" s="49">
        <v>0.75263938727498603</v>
      </c>
      <c r="G87" s="49">
        <v>177.50628745416199</v>
      </c>
      <c r="H87" s="49">
        <v>0.80947687203979402</v>
      </c>
      <c r="I87" s="42">
        <v>4529.6000000000004</v>
      </c>
      <c r="J87" s="43">
        <v>29753.4</v>
      </c>
      <c r="K87" s="43">
        <f t="shared" si="39"/>
        <v>34283</v>
      </c>
      <c r="L87" s="43">
        <v>37.200000000000003</v>
      </c>
      <c r="M87" s="43">
        <v>244.6</v>
      </c>
      <c r="N87" s="43">
        <f t="shared" si="40"/>
        <v>281.8</v>
      </c>
      <c r="O87" s="43">
        <v>2117.6</v>
      </c>
      <c r="P87" s="43">
        <v>13909.7</v>
      </c>
      <c r="Q87" s="43">
        <f t="shared" si="41"/>
        <v>16027.300000000001</v>
      </c>
      <c r="R87" s="43">
        <v>9282.7000000000007</v>
      </c>
      <c r="S87" s="43">
        <v>60975.4</v>
      </c>
      <c r="T87" s="43">
        <f t="shared" si="42"/>
        <v>70258.100000000006</v>
      </c>
      <c r="U87" s="43">
        <v>76.3</v>
      </c>
      <c r="V87" s="43">
        <v>501.2</v>
      </c>
      <c r="W87" s="43">
        <f t="shared" si="43"/>
        <v>577.5</v>
      </c>
      <c r="X87" s="43">
        <v>4339.7</v>
      </c>
      <c r="Y87" s="43">
        <v>28505.9</v>
      </c>
      <c r="Z87" s="43">
        <f t="shared" si="44"/>
        <v>32845.599999999999</v>
      </c>
      <c r="AA87" s="22">
        <v>78009</v>
      </c>
      <c r="AB87">
        <v>371423.8</v>
      </c>
      <c r="AC87">
        <v>449432.8</v>
      </c>
      <c r="AD87">
        <v>641.20000000000005</v>
      </c>
      <c r="AE87">
        <v>3052.9</v>
      </c>
      <c r="AF87">
        <v>3694.1</v>
      </c>
      <c r="AG87">
        <v>36469.1</v>
      </c>
      <c r="AH87">
        <v>173640.3</v>
      </c>
      <c r="AI87">
        <v>210109.5</v>
      </c>
      <c r="AJ87">
        <v>159868.1</v>
      </c>
      <c r="AK87">
        <v>761179.2</v>
      </c>
      <c r="AL87">
        <v>921047.3</v>
      </c>
      <c r="AM87">
        <v>1314</v>
      </c>
      <c r="AN87">
        <v>6256.5</v>
      </c>
      <c r="AO87">
        <v>7570.6</v>
      </c>
      <c r="AP87">
        <v>74738.2</v>
      </c>
      <c r="AQ87">
        <v>355850.6</v>
      </c>
      <c r="AR87">
        <v>430588.9</v>
      </c>
      <c r="AS87">
        <v>2022443.11</v>
      </c>
      <c r="AT87" s="22">
        <f t="shared" si="72"/>
        <v>129860.37121027499</v>
      </c>
      <c r="AU87">
        <f t="shared" si="72"/>
        <v>618303.43350550497</v>
      </c>
      <c r="AV87">
        <f t="shared" si="72"/>
        <v>748163.80471577996</v>
      </c>
      <c r="AW87">
        <f t="shared" si="72"/>
        <v>1067.3956853700001</v>
      </c>
      <c r="AX87">
        <f t="shared" si="72"/>
        <v>5082.1152337274998</v>
      </c>
      <c r="AY87">
        <f t="shared" si="72"/>
        <v>6149.5109190974999</v>
      </c>
      <c r="AZ87">
        <f t="shared" si="72"/>
        <v>60709.544587222495</v>
      </c>
      <c r="BA87">
        <f t="shared" si="72"/>
        <v>289056.3116443425</v>
      </c>
      <c r="BB87">
        <f t="shared" ref="BB87:BL116" si="73">IF(AI87&lt;&gt;-999,AI87*0.5*3.67*0.907185, -999)</f>
        <v>349766.02270001249</v>
      </c>
      <c r="BC87">
        <f t="shared" si="73"/>
        <v>266129.94411774754</v>
      </c>
      <c r="BD87">
        <f t="shared" si="73"/>
        <v>1267123.19693292</v>
      </c>
      <c r="BE87">
        <f t="shared" si="73"/>
        <v>1533253.1410506675</v>
      </c>
      <c r="BF87">
        <f t="shared" si="73"/>
        <v>2187.3954001500001</v>
      </c>
      <c r="BG87">
        <f t="shared" si="65"/>
        <v>10415.0984178375</v>
      </c>
      <c r="BH87">
        <f t="shared" si="65"/>
        <v>12602.660286435001</v>
      </c>
      <c r="BI87">
        <f t="shared" si="65"/>
        <v>124415.52122944499</v>
      </c>
      <c r="BJ87">
        <f t="shared" si="38"/>
        <v>592378.96923943493</v>
      </c>
      <c r="BK87">
        <f t="shared" si="38"/>
        <v>716794.65693732759</v>
      </c>
      <c r="BL87">
        <f t="shared" si="38"/>
        <v>3366729.6467877175</v>
      </c>
      <c r="BM87" s="22">
        <f>-17.17-(0.1023*E87)+F87*(100-8.576-13.681)</f>
        <v>11.817835326877471</v>
      </c>
      <c r="BN87">
        <f>IF(AT87&lt;&gt;-999,AT87*$BM87, -999)</f>
        <v>1534668.4824502098</v>
      </c>
      <c r="BO87">
        <f>IF(AU87&lt;&gt;-999,AU87*$BM87, -999)</f>
        <v>7307008.159210992</v>
      </c>
      <c r="BP87" s="25">
        <f>IF(AV87&lt;&gt;-999,AV87*$BM87, -999)</f>
        <v>8841676.6416612025</v>
      </c>
      <c r="BQ87">
        <f>-19.943-(0.1023*E87)+F87*(100-8.576-13.681)</f>
        <v>9.0448353268774682</v>
      </c>
      <c r="BR87">
        <f>IF(AW87&lt;&gt;-999,AW87*$BQ87, -999)</f>
        <v>9654.4182027911647</v>
      </c>
      <c r="BS87">
        <f>IF(AX87&lt;&gt;-999,AX87*$BQ87, -999)</f>
        <v>45966.895401280628</v>
      </c>
      <c r="BT87" s="25">
        <f>IF(AY87&lt;&gt;-999,AY87*$BQ87, -999)</f>
        <v>55621.313604071795</v>
      </c>
      <c r="BU87">
        <f>-25.871-(0.1023*E87)+F87*(100-8.576-13.681)</f>
        <v>3.1168353268774709</v>
      </c>
      <c r="BV87">
        <f>IF(AZ87&lt;&gt;-999,AZ87*$BU87, -999)</f>
        <v>189221.65324809801</v>
      </c>
      <c r="BW87">
        <f>IF(BA87&lt;&gt;-999,BA87*$BU87, -999)</f>
        <v>900940.92358999036</v>
      </c>
      <c r="BX87" s="25">
        <f>IF(BB87&lt;&gt;-999,BB87*$BU87, -999)</f>
        <v>1090163.0956928264</v>
      </c>
      <c r="BY87">
        <f>-25.245-(0.1023*E87)+F87*(100-8.576-13.681)</f>
        <v>3.7428353268774757</v>
      </c>
      <c r="BZ87">
        <f>IF(BC87&lt;&gt;-999,BC87*$BY87, -999)</f>
        <v>996080.55638383399</v>
      </c>
      <c r="CA87">
        <f>IF(BD87&lt;&gt;-999,BD87*$BY87, -999)</f>
        <v>4742633.4649864575</v>
      </c>
      <c r="CB87" s="25">
        <f>IF(BE87&lt;&gt;-999,BE87*$BY87, -999)</f>
        <v>5738714.0213702917</v>
      </c>
      <c r="CC87">
        <f>-29.317-(0.1023*E87)+F87*(100-8.576-13.681)</f>
        <v>-0.32916467312252706</v>
      </c>
      <c r="CD87">
        <f>IF(BF87&lt;&gt;-999,BF87*$CC87, -999)</f>
        <v>-720.01329188009402</v>
      </c>
      <c r="CE87">
        <f>IF(BG87&lt;&gt;-999,BG87*$CC87, -999)</f>
        <v>-3428.2824662464295</v>
      </c>
      <c r="CF87" s="25">
        <f>IF(BH87&lt;&gt;-999,BH87*$CC87, -999)</f>
        <v>-4148.3505536586299</v>
      </c>
      <c r="CG87">
        <f>-38.03-(0.1023*E87)+F87*(100-8.576-13.681)</f>
        <v>-9.0421646731225209</v>
      </c>
      <c r="CH87">
        <f>IF(BI87&lt;&gt;-999,BI87*$CG87, -999)</f>
        <v>-1124985.6308490124</v>
      </c>
      <c r="CI87">
        <f>IF(BJ87&lt;&gt;-999,BJ87*$CG87, -999)</f>
        <v>-5356388.1887575509</v>
      </c>
      <c r="CJ87" s="25">
        <f>IF(BK87&lt;&gt;-999,BK87*$CG87, -999)</f>
        <v>-6481375.32484168</v>
      </c>
      <c r="CK87" s="26">
        <f t="shared" si="45"/>
        <v>9240651.3969330546</v>
      </c>
      <c r="CL87">
        <f t="shared" si="46"/>
        <v>-12.687213505994817</v>
      </c>
      <c r="CM87">
        <f t="shared" si="47"/>
        <v>47.693628592288974</v>
      </c>
      <c r="CN87">
        <f t="shared" si="48"/>
        <v>-72.025059432045069</v>
      </c>
      <c r="CO87" s="22">
        <f t="shared" si="49"/>
        <v>-40.08</v>
      </c>
      <c r="CP87">
        <f>IF(AT87&lt;&gt;-999,AT87*$CO87, -999)</f>
        <v>-5204803.6781078214</v>
      </c>
      <c r="CQ87">
        <f>IF(AU87&lt;&gt;-999,AU87*$CO87, -999)</f>
        <v>-24781601.614900637</v>
      </c>
      <c r="CR87" s="27">
        <f>IF(AV87&lt;&gt;-999,AV87*$CO87, -999)</f>
        <v>-29986405.293008458</v>
      </c>
      <c r="CS87">
        <f t="shared" si="50"/>
        <v>-42.853000000000002</v>
      </c>
      <c r="CT87">
        <f>IF(AW87&lt;&gt;-999,AW87*$CS87, -999)</f>
        <v>-45741.107305160614</v>
      </c>
      <c r="CU87">
        <f>IF(AX87&lt;&gt;-999,AX87*$CS87, -999)</f>
        <v>-217783.88411092455</v>
      </c>
      <c r="CV87" s="27">
        <f>IF(AY87&lt;&gt;-999,AY87*$CS87, -999)</f>
        <v>-263524.99141608516</v>
      </c>
      <c r="CW87">
        <f t="shared" si="51"/>
        <v>-48.780999999999999</v>
      </c>
      <c r="CX87">
        <f>IF(AZ87&lt;&gt;-999,AZ87*$CO87, -999)</f>
        <v>-2433238.5470558777</v>
      </c>
      <c r="CY87">
        <f>IF(BA87&lt;&gt;-999,BA87*$CO87, -999)</f>
        <v>-11585376.970705247</v>
      </c>
      <c r="CZ87" s="27">
        <f>IF(BB87&lt;&gt;-999,BB87*$CO87, -999)</f>
        <v>-14018622.189816499</v>
      </c>
      <c r="DA87">
        <f t="shared" si="52"/>
        <v>-48.155000000000001</v>
      </c>
      <c r="DB87">
        <f>IF(BC87&lt;&gt;-999,BC87*$DA87, -999)</f>
        <v>-12815487.458990132</v>
      </c>
      <c r="DC87">
        <f>IF(BD87&lt;&gt;-999,BD87*$DA87, -999)</f>
        <v>-61018317.548304766</v>
      </c>
      <c r="DD87" s="27">
        <f>IF(BE87&lt;&gt;-999,BE87*$DA87, -999)</f>
        <v>-73833805.007294893</v>
      </c>
      <c r="DE87">
        <f t="shared" si="53"/>
        <v>-52.227000000000004</v>
      </c>
      <c r="DF87">
        <f>IF(BF87&lt;&gt;-999,BF87*$DE87, -999)</f>
        <v>-114241.09956363407</v>
      </c>
      <c r="DG87">
        <f>IF(BG87&lt;&gt;-999,BG87*$DE87, -999)</f>
        <v>-543949.34506839921</v>
      </c>
      <c r="DH87" s="27">
        <f>IF(BH87&lt;&gt;-999,BH87*$DE87, -999)</f>
        <v>-658199.13877964078</v>
      </c>
      <c r="DI87">
        <f t="shared" si="54"/>
        <v>-60.94</v>
      </c>
      <c r="DJ87">
        <f>IF(BI87&lt;&gt;-999,BI87*$DI87, -999)</f>
        <v>-7581881.8637223775</v>
      </c>
      <c r="DK87">
        <f>IF(BJ87&lt;&gt;-999,BJ87*$DI87, -999)</f>
        <v>-36099574.38545116</v>
      </c>
      <c r="DL87" s="27">
        <f>IF(BK87&lt;&gt;-999,BK87*$DI87, -999)</f>
        <v>-43681466.393760741</v>
      </c>
      <c r="DM87" s="28">
        <f t="shared" si="55"/>
        <v>-162442023.01407632</v>
      </c>
      <c r="DN87" s="22">
        <f t="shared" si="56"/>
        <v>-17.170000000000002</v>
      </c>
      <c r="DO87">
        <f>IF(AT87&lt;&gt;-999,AT87*$DN87, -999)</f>
        <v>-2229702.5736804218</v>
      </c>
      <c r="DP87">
        <f>IF(AU87&lt;&gt;-999,AU87*$DN87, -999)</f>
        <v>-10616269.953289522</v>
      </c>
      <c r="DQ87" s="24">
        <f>IF(AV87&lt;&gt;-999,AV87*$DN87, -999)</f>
        <v>-12845972.526969943</v>
      </c>
      <c r="DR87">
        <f t="shared" si="57"/>
        <v>-19.943000000000001</v>
      </c>
      <c r="DS87">
        <f>IF(AW87&lt;&gt;-999,AW87*$DR87, -999)</f>
        <v>-21287.072153333913</v>
      </c>
      <c r="DT87">
        <f>IF(AX87&lt;&gt;-999,AX87*$DR87, -999)</f>
        <v>-101352.62410622754</v>
      </c>
      <c r="DU87" s="24">
        <f>IF(AY87&lt;&gt;-999,AY87*$DR87, -999)</f>
        <v>-122639.69625956145</v>
      </c>
      <c r="DV87">
        <f t="shared" si="58"/>
        <v>-25.870999999999999</v>
      </c>
      <c r="DW87">
        <f>IF(AZ87&lt;&gt;-999,AZ87*$DV87, -999)</f>
        <v>-1570616.6280160332</v>
      </c>
      <c r="DX87">
        <f>IF(BA87&lt;&gt;-999,BA87*$DV87, -999)</f>
        <v>-7478175.8385507846</v>
      </c>
      <c r="DY87" s="24">
        <f>IF(BB87&lt;&gt;-999,BB87*$DV87, -999)</f>
        <v>-9048796.7732720226</v>
      </c>
      <c r="DZ87">
        <f t="shared" si="59"/>
        <v>-25.245000000000001</v>
      </c>
      <c r="EA87">
        <f>IF(BC87&lt;&gt;-999, BC87*$DZ87, -999)</f>
        <v>-6718450.4392525367</v>
      </c>
      <c r="EB87">
        <f>IF(BD87&lt;&gt;-999, BD87*$DZ87, -999)</f>
        <v>-31988525.106571566</v>
      </c>
      <c r="EC87" s="24">
        <f>IF(BE87&lt;&gt;-999, BE87*$DZ87, -999)</f>
        <v>-38706975.545824103</v>
      </c>
      <c r="ED87">
        <f t="shared" si="60"/>
        <v>-29.317</v>
      </c>
      <c r="EE87">
        <f>IF(BF87&lt;&gt;-999,BF87*$ED87, -999)</f>
        <v>-64127.870946197552</v>
      </c>
      <c r="EF87">
        <f>IF(BG87&lt;&gt;-999,BG87*$ED87, -999)</f>
        <v>-305339.44031574199</v>
      </c>
      <c r="EG87" s="24">
        <f>IF(BH87&lt;&gt;-999,BH87*$ED87, -999)</f>
        <v>-369472.19161741494</v>
      </c>
      <c r="EH87">
        <f t="shared" si="61"/>
        <v>-38.03</v>
      </c>
      <c r="EI87">
        <f>IF(BI87&lt;&gt;-999,BI87*$EH87, -999)</f>
        <v>-4731522.272355793</v>
      </c>
      <c r="EJ87">
        <f>IF(BJ87&lt;&gt;-999,BJ87*$EH87, -999)</f>
        <v>-22528172.20017571</v>
      </c>
      <c r="EK87" s="24">
        <f>IF(BK87&lt;&gt;-999,BK87*$EH87, -999)</f>
        <v>-27259700.803326569</v>
      </c>
      <c r="EL87" s="28">
        <f t="shared" si="62"/>
        <v>-88353557.537269622</v>
      </c>
      <c r="EM87" s="22">
        <f>-17.17-(0.1023*G87)+H87*(100+102.093-66.644-64.243)</f>
        <v>22.310716943904808</v>
      </c>
      <c r="EN87">
        <f>IF(AT87&lt;&gt;-999,AT87*$EM87, -999)</f>
        <v>2897277.9843028504</v>
      </c>
      <c r="EO87">
        <f>IF(AU87&lt;&gt;-999,AU87*$EM87, -999)</f>
        <v>13794792.89038579</v>
      </c>
      <c r="EP87" s="23">
        <f>IF(AV87&lt;&gt;-999,AV87*$EM87, -999)</f>
        <v>16692070.87468864</v>
      </c>
      <c r="EQ87">
        <f>-19.943-(0.1023*G87)+H87*(100+102.093-66.644-64.243)</f>
        <v>19.537716943904812</v>
      </c>
      <c r="ER87">
        <f>IF(AW87&lt;&gt;-999,AW87*$EQ87, -999)</f>
        <v>20854.474767904339</v>
      </c>
      <c r="ES87">
        <f>IF(AX87&lt;&gt;-999,AX87*$EQ87, -999)</f>
        <v>99292.928912874529</v>
      </c>
      <c r="ET87" s="23">
        <f>IF(AY87&lt;&gt;-999,AY87*$EQ87, -999)</f>
        <v>120147.40368077888</v>
      </c>
      <c r="EU87">
        <f>-25.871-(0.1023*G87)+H87*(100+102.093-66.644-64.243)</f>
        <v>13.609716943904814</v>
      </c>
      <c r="EV87">
        <f>IF(AZ87&lt;&gt;-999,AZ87*$EU87, -999)</f>
        <v>826239.71762546676</v>
      </c>
      <c r="EW87">
        <f>IF(BA87&lt;&gt;-999,BA87*$EU87, -999)</f>
        <v>3933974.5823286385</v>
      </c>
      <c r="EX87" s="23">
        <f>IF(BB87&lt;&gt;-999,BB87*$EU87, -999)</f>
        <v>4760216.5655425563</v>
      </c>
      <c r="EY87">
        <f>-25.245-(0.1023*G87)+H87*(100+102.093-66.644-64.243)</f>
        <v>14.235716943904812</v>
      </c>
      <c r="EZ87">
        <f>IF(BC87&lt;&gt;-999, BC87*$EY87, -999)</f>
        <v>3788550.5547574596</v>
      </c>
      <c r="FA87">
        <f>IF(BD87&lt;&gt;-999, BD87*$EY87, -999)</f>
        <v>18038407.164592803</v>
      </c>
      <c r="FB87" s="23">
        <f>IF(BE87&lt;&gt;-999, BE87*$EY87, -999)</f>
        <v>21826957.719350263</v>
      </c>
      <c r="FC87">
        <f>-29.317-(0.1023*G87)+H87*(100+102.093-66.644-64.243)</f>
        <v>10.163716943904817</v>
      </c>
      <c r="FD87">
        <f>IF(BF87&lt;&gt;-999,BF87*$FC87, -999)</f>
        <v>22232.067691524011</v>
      </c>
      <c r="FE87">
        <f>IF(BG87&lt;&gt;-999,BG87*$FC87, -999)</f>
        <v>105856.11226181124</v>
      </c>
      <c r="FF87" s="23">
        <f>IF(BH87&lt;&gt;-999,BH87*$FC87, -999)</f>
        <v>128089.87189151575</v>
      </c>
      <c r="FG87">
        <f>-38.03-(0.1023*G87)+H87*(100+102.093-66.644-64.243)</f>
        <v>1.4507169439048084</v>
      </c>
      <c r="FH87">
        <f>IF(BI87&lt;&gt;-999,BI87*$FG87, -999)</f>
        <v>180491.70473230424</v>
      </c>
      <c r="FI87">
        <f>IF(BJ87&lt;&gt;-999,BJ87*$FG87, -999)</f>
        <v>859374.20788851357</v>
      </c>
      <c r="FJ87" s="23">
        <f>IF(BK87&lt;&gt;-999,BK87*$FG87, -999)</f>
        <v>1039866.1541194154</v>
      </c>
      <c r="FK87" s="28">
        <f t="shared" si="63"/>
        <v>44567348.58927317</v>
      </c>
      <c r="FL87" s="22">
        <f t="shared" si="66"/>
        <v>10.012280000000011</v>
      </c>
      <c r="FM87">
        <f>IF(AT87&lt;&gt;-999,AT87*$FL87, -999)</f>
        <v>1300198.3974612134</v>
      </c>
      <c r="FN87">
        <f>IF(AU87&lt;&gt;-999,AU87*$FL87, -999)</f>
        <v>6190627.1012185039</v>
      </c>
      <c r="FO87" s="29">
        <f>IF(AV87&lt;&gt;-999,AV87*$FL87, -999)</f>
        <v>7490825.498679718</v>
      </c>
      <c r="FP87">
        <f t="shared" si="67"/>
        <v>7.2392800000000115</v>
      </c>
      <c r="FQ87">
        <f>IF(AW87&lt;&gt;-999,AW87*$FP87, -999)</f>
        <v>7727.1762371853465</v>
      </c>
      <c r="FR87">
        <f>IF(AX87&lt;&gt;-999,AX87*$FP87, -999)</f>
        <v>36790.85516921887</v>
      </c>
      <c r="FS87" s="29">
        <f>IF(AY87&lt;&gt;-999,AY87*$FP87, -999)</f>
        <v>44518.031406404218</v>
      </c>
      <c r="FT87">
        <f t="shared" si="68"/>
        <v>1.3112800000000142</v>
      </c>
      <c r="FU87">
        <f>IF(AZ87&lt;&gt;-999,AZ87*$FT87, -999)</f>
        <v>79607.21162633397</v>
      </c>
      <c r="FV87">
        <f>IF(BA87&lt;&gt;-999,BA87*$FT87, -999)</f>
        <v>379033.76033299754</v>
      </c>
      <c r="FW87" s="29">
        <f>IF(BB87&lt;&gt;-999,BB87*$FT87, -999)</f>
        <v>458641.19024607737</v>
      </c>
      <c r="FX87">
        <f t="shared" si="69"/>
        <v>1.9372800000000119</v>
      </c>
      <c r="FY87">
        <f>IF(BC87&lt;&gt;-999, BC87*$FX87, -999)</f>
        <v>515568.21814043313</v>
      </c>
      <c r="FZ87">
        <f>IF(BD87&lt;&gt;-999, BD87*$FX87, -999)</f>
        <v>2454772.4269542224</v>
      </c>
      <c r="GA87" s="29">
        <f>IF(BE87&lt;&gt;-999, BE87*$FX87, -999)</f>
        <v>2970340.6450946555</v>
      </c>
      <c r="GB87">
        <f t="shared" si="70"/>
        <v>-2.1347199999999873</v>
      </c>
      <c r="GC87">
        <f>IF(BF87&lt;&gt;-999,BF87*$GB87, -999)</f>
        <v>-4669.4767086081802</v>
      </c>
      <c r="GD87">
        <f>IF(BG87&lt;&gt;-999,BG87*$GB87, -999)</f>
        <v>-22233.318894525935</v>
      </c>
      <c r="GE87" s="29">
        <f>IF(BH87&lt;&gt;-999,BH87*$GB87, -999)</f>
        <v>-26903.150966658366</v>
      </c>
      <c r="GF87">
        <f t="shared" si="71"/>
        <v>-10.847719999999988</v>
      </c>
      <c r="GG87">
        <f>IF(BI87&lt;&gt;-999,BI87*$GF87, -999)</f>
        <v>-1349624.7379510736</v>
      </c>
      <c r="GH87">
        <f>IF(BJ87&lt;&gt;-999,BJ87*$GF87, -999)</f>
        <v>-6425961.1921979962</v>
      </c>
      <c r="GI87" s="29">
        <f>IF(BK87&lt;&gt;-999,BK87*$GF87, -999)</f>
        <v>-7775587.7359521789</v>
      </c>
      <c r="GJ87" s="30">
        <f t="shared" si="64"/>
        <v>3161834.478508017</v>
      </c>
    </row>
    <row r="88" spans="1:192">
      <c r="A88" s="48" t="s">
        <v>138</v>
      </c>
      <c r="B88" s="48" t="s">
        <v>226</v>
      </c>
      <c r="C88" s="49">
        <v>171</v>
      </c>
      <c r="D88" s="50">
        <v>0.78200000000000003</v>
      </c>
      <c r="E88" s="49">
        <v>230.381497717641</v>
      </c>
      <c r="F88" s="49">
        <v>0.72047148011907103</v>
      </c>
      <c r="G88" s="49">
        <v>177.83038529805401</v>
      </c>
      <c r="H88" s="49">
        <v>0.80967108052796399</v>
      </c>
      <c r="I88" s="42">
        <v>59830</v>
      </c>
      <c r="J88" s="43">
        <v>-999</v>
      </c>
      <c r="K88" s="43">
        <f t="shared" si="39"/>
        <v>59830</v>
      </c>
      <c r="L88" s="43">
        <v>27296.400000000001</v>
      </c>
      <c r="M88" s="43">
        <v>-999</v>
      </c>
      <c r="N88" s="43">
        <f t="shared" si="40"/>
        <v>27296.400000000001</v>
      </c>
      <c r="O88" s="43">
        <v>32362.400000000001</v>
      </c>
      <c r="P88" s="43">
        <v>-999</v>
      </c>
      <c r="Q88" s="43">
        <f t="shared" si="41"/>
        <v>32362.400000000001</v>
      </c>
      <c r="R88" s="43">
        <v>38853.4</v>
      </c>
      <c r="S88" s="43">
        <v>-999</v>
      </c>
      <c r="T88" s="43">
        <f t="shared" si="42"/>
        <v>38853.4</v>
      </c>
      <c r="U88" s="43">
        <v>17726.2</v>
      </c>
      <c r="V88" s="43">
        <v>-999</v>
      </c>
      <c r="W88" s="43">
        <f t="shared" si="43"/>
        <v>17726.2</v>
      </c>
      <c r="X88" s="43">
        <v>21016</v>
      </c>
      <c r="Y88" s="43">
        <v>-999</v>
      </c>
      <c r="Z88" s="43">
        <f t="shared" si="44"/>
        <v>21016</v>
      </c>
      <c r="AA88" s="22">
        <v>629529.19999999995</v>
      </c>
      <c r="AB88">
        <v>-999</v>
      </c>
      <c r="AC88">
        <v>629529.19999999995</v>
      </c>
      <c r="AD88">
        <v>287212.09999999998</v>
      </c>
      <c r="AE88">
        <v>-999</v>
      </c>
      <c r="AF88">
        <v>287212.09999999998</v>
      </c>
      <c r="AG88">
        <v>340516.1</v>
      </c>
      <c r="AH88">
        <v>-999</v>
      </c>
      <c r="AI88">
        <v>340516.1</v>
      </c>
      <c r="AJ88">
        <v>408814</v>
      </c>
      <c r="AK88">
        <v>-999</v>
      </c>
      <c r="AL88">
        <v>408814</v>
      </c>
      <c r="AM88">
        <v>186514.5</v>
      </c>
      <c r="AN88">
        <v>-999</v>
      </c>
      <c r="AO88">
        <v>186514.5</v>
      </c>
      <c r="AP88">
        <v>221129.9</v>
      </c>
      <c r="AQ88">
        <v>-999</v>
      </c>
      <c r="AR88">
        <v>221129.9</v>
      </c>
      <c r="AS88">
        <v>2073715.78</v>
      </c>
      <c r="AT88" s="22">
        <f t="shared" ref="AT88:BI118" si="74">IF(AA88&lt;&gt;-999,AA88*0.5*3.67*0.907185, -999)</f>
        <v>1047967.48579917</v>
      </c>
      <c r="AU88">
        <f t="shared" si="74"/>
        <v>-999</v>
      </c>
      <c r="AV88">
        <f t="shared" si="74"/>
        <v>1047967.48579917</v>
      </c>
      <c r="AW88">
        <f t="shared" si="74"/>
        <v>478117.52390214748</v>
      </c>
      <c r="AX88">
        <f t="shared" si="74"/>
        <v>-999</v>
      </c>
      <c r="AY88">
        <f t="shared" si="74"/>
        <v>478117.52390214748</v>
      </c>
      <c r="AZ88">
        <f t="shared" si="74"/>
        <v>566851.86515754741</v>
      </c>
      <c r="BA88">
        <f t="shared" si="74"/>
        <v>-999</v>
      </c>
      <c r="BB88">
        <f t="shared" si="73"/>
        <v>566851.86515754741</v>
      </c>
      <c r="BC88">
        <f t="shared" si="73"/>
        <v>680546.31896264991</v>
      </c>
      <c r="BD88">
        <f t="shared" si="73"/>
        <v>-999</v>
      </c>
      <c r="BE88">
        <f t="shared" si="73"/>
        <v>680546.31896264991</v>
      </c>
      <c r="BF88">
        <f t="shared" si="73"/>
        <v>310487.7925123875</v>
      </c>
      <c r="BG88">
        <f t="shared" si="65"/>
        <v>-999</v>
      </c>
      <c r="BH88">
        <f t="shared" si="65"/>
        <v>310487.7925123875</v>
      </c>
      <c r="BI88">
        <f t="shared" si="65"/>
        <v>368111.51148830249</v>
      </c>
      <c r="BJ88">
        <f t="shared" si="38"/>
        <v>-999</v>
      </c>
      <c r="BK88">
        <f t="shared" si="38"/>
        <v>368111.51148830249</v>
      </c>
      <c r="BL88">
        <f t="shared" si="38"/>
        <v>3452082.4645285159</v>
      </c>
      <c r="BM88" s="22">
        <f>-17.17-(0.1023*E88)+F88*(100-8.576-13.681)</f>
        <v>15.273587062382262</v>
      </c>
      <c r="BN88">
        <f>IF(AT88&lt;&gt;-999,AT88*$BM88, -999)</f>
        <v>16006222.632899469</v>
      </c>
      <c r="BO88">
        <f>IF(AU88&lt;&gt;-999,AU88*$BM88, -999)</f>
        <v>-999</v>
      </c>
      <c r="BP88" s="25">
        <f>IF(AV88&lt;&gt;-999,AV88*$BM88, -999)</f>
        <v>16006222.632899469</v>
      </c>
      <c r="BQ88">
        <f>-19.943-(0.1023*E88)+F88*(100-8.576-13.681)</f>
        <v>12.500587062382266</v>
      </c>
      <c r="BR88">
        <f>IF(AW88&lt;&gt;-999,AW88*$BQ88, -999)</f>
        <v>5976749.7335894285</v>
      </c>
      <c r="BS88">
        <f>IF(AX88&lt;&gt;-999,AX88*$BQ88, -999)</f>
        <v>-999</v>
      </c>
      <c r="BT88" s="25">
        <f>IF(AY88&lt;&gt;-999,AY88*$BQ88, -999)</f>
        <v>5976749.7335894285</v>
      </c>
      <c r="BU88">
        <f>-25.871-(0.1023*E88)+F88*(100-8.576-13.681)</f>
        <v>6.5725870623822686</v>
      </c>
      <c r="BV88">
        <f>IF(AZ88&lt;&gt;-999,AZ88*$BU88, -999)</f>
        <v>3725683.2352217543</v>
      </c>
      <c r="BW88">
        <f>IF(BA88&lt;&gt;-999,BA88*$BU88, -999)</f>
        <v>-999</v>
      </c>
      <c r="BX88" s="25">
        <f>IF(BB88&lt;&gt;-999,BB88*$BU88, -999)</f>
        <v>3725683.2352217543</v>
      </c>
      <c r="BY88">
        <f>-25.245-(0.1023*E88)+F88*(100-8.576-13.681)</f>
        <v>7.1985870623822663</v>
      </c>
      <c r="BZ88">
        <f>IF(BC88&lt;&gt;-999,BC88*$BY88, -999)</f>
        <v>4898971.9270364065</v>
      </c>
      <c r="CA88">
        <f>IF(BD88&lt;&gt;-999,BD88*$BY88, -999)</f>
        <v>-999</v>
      </c>
      <c r="CB88" s="25">
        <f>IF(BE88&lt;&gt;-999,BE88*$BY88, -999)</f>
        <v>4898971.9270364065</v>
      </c>
      <c r="CC88">
        <f>-29.317-(0.1023*E88)+F88*(100-8.576-13.681)</f>
        <v>3.1265870623822707</v>
      </c>
      <c r="CD88">
        <f>IF(BF88&lt;&gt;-999,BF88*$CC88, -999)</f>
        <v>970767.11509686161</v>
      </c>
      <c r="CE88">
        <f>IF(BG88&lt;&gt;-999,BG88*$CC88, -999)</f>
        <v>-999</v>
      </c>
      <c r="CF88" s="25">
        <f>IF(BH88&lt;&gt;-999,BH88*$CC88, -999)</f>
        <v>970767.11509686161</v>
      </c>
      <c r="CG88">
        <f>-38.03-(0.1023*E88)+F88*(100-8.576-13.681)</f>
        <v>-5.5864129376177374</v>
      </c>
      <c r="CH88">
        <f>IF(BI88&lt;&gt;-999,BI88*$CG88, -999)</f>
        <v>-2056422.9102642734</v>
      </c>
      <c r="CI88">
        <f>IF(BJ88&lt;&gt;-999,BJ88*$CG88, -999)</f>
        <v>-999</v>
      </c>
      <c r="CJ88" s="25">
        <f>IF(BK88&lt;&gt;-999,BK88*$CG88, -999)</f>
        <v>-2056422.9102642734</v>
      </c>
      <c r="CK88" s="26">
        <f t="shared" si="45"/>
        <v>29521971.733579651</v>
      </c>
      <c r="CL88">
        <f t="shared" si="46"/>
        <v>-22.515032861251179</v>
      </c>
      <c r="CM88">
        <f t="shared" si="47"/>
        <v>40.561717924899831</v>
      </c>
      <c r="CN88">
        <f t="shared" si="48"/>
        <v>-84.502219352823502</v>
      </c>
      <c r="CO88" s="22">
        <f t="shared" si="49"/>
        <v>-40.08</v>
      </c>
      <c r="CP88">
        <f>IF(AT88&lt;&gt;-999,AT88*$CO88, -999)</f>
        <v>-42002536.83083073</v>
      </c>
      <c r="CQ88">
        <f>IF(AU88&lt;&gt;-999,AU88*$CO88, -999)</f>
        <v>-999</v>
      </c>
      <c r="CR88" s="27">
        <f>IF(AV88&lt;&gt;-999,AV88*$CO88, -999)</f>
        <v>-42002536.83083073</v>
      </c>
      <c r="CS88">
        <f t="shared" si="50"/>
        <v>-42.853000000000002</v>
      </c>
      <c r="CT88">
        <f>IF(AW88&lt;&gt;-999,AW88*$CS88, -999)</f>
        <v>-20488770.251778726</v>
      </c>
      <c r="CU88">
        <f>IF(AX88&lt;&gt;-999,AX88*$CS88, -999)</f>
        <v>-999</v>
      </c>
      <c r="CV88" s="27">
        <f>IF(AY88&lt;&gt;-999,AY88*$CS88, -999)</f>
        <v>-20488770.251778726</v>
      </c>
      <c r="CW88">
        <f t="shared" si="51"/>
        <v>-48.780999999999999</v>
      </c>
      <c r="CX88">
        <f>IF(AZ88&lt;&gt;-999,AZ88*$CO88, -999)</f>
        <v>-22719422.755514499</v>
      </c>
      <c r="CY88">
        <f>IF(BA88&lt;&gt;-999,BA88*$CO88, -999)</f>
        <v>-999</v>
      </c>
      <c r="CZ88" s="27">
        <f>IF(BB88&lt;&gt;-999,BB88*$CO88, -999)</f>
        <v>-22719422.755514499</v>
      </c>
      <c r="DA88">
        <f t="shared" si="52"/>
        <v>-48.155000000000001</v>
      </c>
      <c r="DB88">
        <f>IF(BC88&lt;&gt;-999,BC88*$DA88, -999)</f>
        <v>-32771707.989646409</v>
      </c>
      <c r="DC88">
        <f>IF(BD88&lt;&gt;-999,BD88*$DA88, -999)</f>
        <v>-999</v>
      </c>
      <c r="DD88" s="27">
        <f>IF(BE88&lt;&gt;-999,BE88*$DA88, -999)</f>
        <v>-32771707.989646409</v>
      </c>
      <c r="DE88">
        <f t="shared" si="53"/>
        <v>-52.227000000000004</v>
      </c>
      <c r="DF88">
        <f>IF(BF88&lt;&gt;-999,BF88*$DE88, -999)</f>
        <v>-16215845.939544464</v>
      </c>
      <c r="DG88">
        <f>IF(BG88&lt;&gt;-999,BG88*$DE88, -999)</f>
        <v>-999</v>
      </c>
      <c r="DH88" s="27">
        <f>IF(BH88&lt;&gt;-999,BH88*$DE88, -999)</f>
        <v>-16215845.939544464</v>
      </c>
      <c r="DI88">
        <f t="shared" si="54"/>
        <v>-60.94</v>
      </c>
      <c r="DJ88">
        <f>IF(BI88&lt;&gt;-999,BI88*$DI88, -999)</f>
        <v>-22432715.510097153</v>
      </c>
      <c r="DK88">
        <f>IF(BJ88&lt;&gt;-999,BJ88*$DI88, -999)</f>
        <v>-999</v>
      </c>
      <c r="DL88" s="27">
        <f>IF(BK88&lt;&gt;-999,BK88*$DI88, -999)</f>
        <v>-22432715.510097153</v>
      </c>
      <c r="DM88" s="28">
        <f t="shared" si="55"/>
        <v>-156630999.277412</v>
      </c>
      <c r="DN88" s="22">
        <f t="shared" si="56"/>
        <v>-17.170000000000002</v>
      </c>
      <c r="DO88">
        <f>IF(AT88&lt;&gt;-999,AT88*$DN88, -999)</f>
        <v>-17993601.73117175</v>
      </c>
      <c r="DP88">
        <f>IF(AU88&lt;&gt;-999,AU88*$DN88, -999)</f>
        <v>-999</v>
      </c>
      <c r="DQ88" s="24">
        <f>IF(AV88&lt;&gt;-999,AV88*$DN88, -999)</f>
        <v>-17993601.73117175</v>
      </c>
      <c r="DR88">
        <f t="shared" si="57"/>
        <v>-19.943000000000001</v>
      </c>
      <c r="DS88">
        <f>IF(AW88&lt;&gt;-999,AW88*$DR88, -999)</f>
        <v>-9535097.7791805286</v>
      </c>
      <c r="DT88">
        <f>IF(AX88&lt;&gt;-999,AX88*$DR88, -999)</f>
        <v>-999</v>
      </c>
      <c r="DU88" s="24">
        <f>IF(AY88&lt;&gt;-999,AY88*$DR88, -999)</f>
        <v>-9535097.7791805286</v>
      </c>
      <c r="DV88">
        <f t="shared" si="58"/>
        <v>-25.870999999999999</v>
      </c>
      <c r="DW88">
        <f>IF(AZ88&lt;&gt;-999,AZ88*$DV88, -999)</f>
        <v>-14665024.603490908</v>
      </c>
      <c r="DX88">
        <f>IF(BA88&lt;&gt;-999,BA88*$DV88, -999)</f>
        <v>-999</v>
      </c>
      <c r="DY88" s="24">
        <f>IF(BB88&lt;&gt;-999,BB88*$DV88, -999)</f>
        <v>-14665024.603490908</v>
      </c>
      <c r="DZ88">
        <f t="shared" si="59"/>
        <v>-25.245000000000001</v>
      </c>
      <c r="EA88">
        <f>IF(BC88&lt;&gt;-999, BC88*$DZ88, -999)</f>
        <v>-17180391.822212096</v>
      </c>
      <c r="EB88">
        <f>IF(BD88&lt;&gt;-999, BD88*$DZ88, -999)</f>
        <v>-999</v>
      </c>
      <c r="EC88" s="24">
        <f>IF(BE88&lt;&gt;-999, BE88*$DZ88, -999)</f>
        <v>-17180391.822212096</v>
      </c>
      <c r="ED88">
        <f t="shared" si="60"/>
        <v>-29.317</v>
      </c>
      <c r="EE88">
        <f>IF(BF88&lt;&gt;-999,BF88*$ED88, -999)</f>
        <v>-9102570.6130856648</v>
      </c>
      <c r="EF88">
        <f>IF(BG88&lt;&gt;-999,BG88*$ED88, -999)</f>
        <v>-999</v>
      </c>
      <c r="EG88" s="24">
        <f>IF(BH88&lt;&gt;-999,BH88*$ED88, -999)</f>
        <v>-9102570.6130856648</v>
      </c>
      <c r="EH88">
        <f t="shared" si="61"/>
        <v>-38.03</v>
      </c>
      <c r="EI88">
        <f>IF(BI88&lt;&gt;-999,BI88*$EH88, -999)</f>
        <v>-13999280.781900145</v>
      </c>
      <c r="EJ88">
        <f>IF(BJ88&lt;&gt;-999,BJ88*$EH88, -999)</f>
        <v>-999</v>
      </c>
      <c r="EK88" s="24">
        <f>IF(BK88&lt;&gt;-999,BK88*$EH88, -999)</f>
        <v>-13999280.781900145</v>
      </c>
      <c r="EL88" s="28">
        <f t="shared" si="62"/>
        <v>-82475967.331041098</v>
      </c>
      <c r="EM88" s="22">
        <f>-17.17-(0.1023*G88)+H88*(100+102.093-66.644-64.243)</f>
        <v>22.291390544083292</v>
      </c>
      <c r="EN88">
        <f>IF(AT88&lt;&gt;-999,AT88*$EM88, -999)</f>
        <v>23360652.50345036</v>
      </c>
      <c r="EO88">
        <f>IF(AU88&lt;&gt;-999,AU88*$EM88, -999)</f>
        <v>-999</v>
      </c>
      <c r="EP88" s="23">
        <f>IF(AV88&lt;&gt;-999,AV88*$EM88, -999)</f>
        <v>23360652.50345036</v>
      </c>
      <c r="EQ88">
        <f>-19.943-(0.1023*G88)+H88*(100+102.093-66.644-64.243)</f>
        <v>19.518390544083296</v>
      </c>
      <c r="ER88">
        <f>IF(AW88&lt;&gt;-999,AW88*$EQ88, -999)</f>
        <v>9332084.5574921947</v>
      </c>
      <c r="ES88">
        <f>IF(AX88&lt;&gt;-999,AX88*$EQ88, -999)</f>
        <v>-999</v>
      </c>
      <c r="ET88" s="23">
        <f>IF(AY88&lt;&gt;-999,AY88*$EQ88, -999)</f>
        <v>9332084.5574921947</v>
      </c>
      <c r="EU88">
        <f>-25.871-(0.1023*G88)+H88*(100+102.093-66.644-64.243)</f>
        <v>13.590390544083299</v>
      </c>
      <c r="EV88">
        <f>IF(AZ88&lt;&gt;-999,AZ88*$EU88, -999)</f>
        <v>7703738.2281331131</v>
      </c>
      <c r="EW88">
        <f>IF(BA88&lt;&gt;-999,BA88*$EU88, -999)</f>
        <v>-999</v>
      </c>
      <c r="EX88" s="23">
        <f>IF(BB88&lt;&gt;-999,BB88*$EU88, -999)</f>
        <v>7703738.2281331131</v>
      </c>
      <c r="EY88">
        <f>-25.245-(0.1023*G88)+H88*(100+102.093-66.644-64.243)</f>
        <v>14.216390544083289</v>
      </c>
      <c r="EZ88">
        <f>IF(BC88&lt;&gt;-999, BC88*$EY88, -999)</f>
        <v>9674912.2537113056</v>
      </c>
      <c r="FA88">
        <f>IF(BD88&lt;&gt;-999, BD88*$EY88, -999)</f>
        <v>-999</v>
      </c>
      <c r="FB88" s="23">
        <f>IF(BE88&lt;&gt;-999, BE88*$EY88, -999)</f>
        <v>9674912.2537113056</v>
      </c>
      <c r="FC88">
        <f>-29.317-(0.1023*G88)+H88*(100+102.093-66.644-64.243)</f>
        <v>10.144390544083294</v>
      </c>
      <c r="FD88">
        <f>IF(BF88&lt;&gt;-999,BF88*$FC88, -999)</f>
        <v>3149709.4264159594</v>
      </c>
      <c r="FE88">
        <f>IF(BG88&lt;&gt;-999,BG88*$FC88, -999)</f>
        <v>-999</v>
      </c>
      <c r="FF88" s="23">
        <f>IF(BH88&lt;&gt;-999,BH88*$FC88, -999)</f>
        <v>3149709.4264159594</v>
      </c>
      <c r="FG88">
        <f>-38.03-(0.1023*G88)+H88*(100+102.093-66.644-64.243)</f>
        <v>1.4313905440832926</v>
      </c>
      <c r="FH88">
        <f>IF(BI88&lt;&gt;-999,BI88*$FG88, -999)</f>
        <v>526911.33671256446</v>
      </c>
      <c r="FI88">
        <f>IF(BJ88&lt;&gt;-999,BJ88*$FG88, -999)</f>
        <v>-999</v>
      </c>
      <c r="FJ88" s="23">
        <f>IF(BK88&lt;&gt;-999,BK88*$FG88, -999)</f>
        <v>526911.33671256446</v>
      </c>
      <c r="FK88" s="28">
        <f t="shared" si="63"/>
        <v>53748008.30591549</v>
      </c>
      <c r="FL88" s="22">
        <f t="shared" si="66"/>
        <v>10.012280000000011</v>
      </c>
      <c r="FM88">
        <f>IF(AT88&lt;&gt;-999,AT88*$FL88, -999)</f>
        <v>10492543.898717325</v>
      </c>
      <c r="FN88">
        <f>IF(AU88&lt;&gt;-999,AU88*$FL88, -999)</f>
        <v>-999</v>
      </c>
      <c r="FO88" s="29">
        <f>IF(AV88&lt;&gt;-999,AV88*$FL88, -999)</f>
        <v>10492543.898717325</v>
      </c>
      <c r="FP88">
        <f t="shared" si="67"/>
        <v>7.2392800000000115</v>
      </c>
      <c r="FQ88">
        <f>IF(AW88&lt;&gt;-999,AW88*$FP88, -999)</f>
        <v>3461226.6284343437</v>
      </c>
      <c r="FR88">
        <f>IF(AX88&lt;&gt;-999,AX88*$FP88, -999)</f>
        <v>-999</v>
      </c>
      <c r="FS88" s="29">
        <f>IF(AY88&lt;&gt;-999,AY88*$FP88, -999)</f>
        <v>3461226.6284343437</v>
      </c>
      <c r="FT88">
        <f t="shared" si="68"/>
        <v>1.3112800000000142</v>
      </c>
      <c r="FU88">
        <f>IF(AZ88&lt;&gt;-999,AZ88*$FT88, -999)</f>
        <v>743301.51374379685</v>
      </c>
      <c r="FV88">
        <f>IF(BA88&lt;&gt;-999,BA88*$FT88, -999)</f>
        <v>-999</v>
      </c>
      <c r="FW88" s="29">
        <f>IF(BB88&lt;&gt;-999,BB88*$FT88, -999)</f>
        <v>743301.51374379685</v>
      </c>
      <c r="FX88">
        <f t="shared" si="69"/>
        <v>1.9372800000000119</v>
      </c>
      <c r="FY88">
        <f>IF(BC88&lt;&gt;-999, BC88*$FX88, -999)</f>
        <v>1318408.7727999706</v>
      </c>
      <c r="FZ88">
        <f>IF(BD88&lt;&gt;-999, BD88*$FX88, -999)</f>
        <v>-999</v>
      </c>
      <c r="GA88" s="29">
        <f>IF(BE88&lt;&gt;-999, BE88*$FX88, -999)</f>
        <v>1318408.7727999706</v>
      </c>
      <c r="GB88">
        <f t="shared" si="70"/>
        <v>-2.1347199999999873</v>
      </c>
      <c r="GC88">
        <f>IF(BF88&lt;&gt;-999,BF88*$GB88, -999)</f>
        <v>-662804.50043203996</v>
      </c>
      <c r="GD88">
        <f>IF(BG88&lt;&gt;-999,BG88*$GB88, -999)</f>
        <v>-999</v>
      </c>
      <c r="GE88" s="29">
        <f>IF(BH88&lt;&gt;-999,BH88*$GB88, -999)</f>
        <v>-662804.50043203996</v>
      </c>
      <c r="GF88">
        <f t="shared" si="71"/>
        <v>-10.847719999999988</v>
      </c>
      <c r="GG88">
        <f>IF(BI88&lt;&gt;-999,BI88*$GF88, -999)</f>
        <v>-3993170.6054018843</v>
      </c>
      <c r="GH88">
        <f>IF(BJ88&lt;&gt;-999,BJ88*$GF88, -999)</f>
        <v>-999</v>
      </c>
      <c r="GI88" s="29">
        <f>IF(BK88&lt;&gt;-999,BK88*$GF88, -999)</f>
        <v>-3993170.6054018843</v>
      </c>
      <c r="GJ88" s="30">
        <f t="shared" si="64"/>
        <v>11359505.707861511</v>
      </c>
    </row>
    <row r="89" spans="1:192">
      <c r="A89" s="48" t="s">
        <v>178</v>
      </c>
      <c r="B89" s="48" t="s">
        <v>187</v>
      </c>
      <c r="C89" s="49">
        <v>86</v>
      </c>
      <c r="D89" s="50">
        <v>0.77800000000000002</v>
      </c>
      <c r="E89" s="49">
        <v>118.71259889114999</v>
      </c>
      <c r="F89" s="49">
        <v>0.78326173875622396</v>
      </c>
      <c r="G89" s="49">
        <v>151.643706190052</v>
      </c>
      <c r="H89" s="49">
        <v>0.81271840727765599</v>
      </c>
      <c r="I89" s="42">
        <v>8592.2000000000007</v>
      </c>
      <c r="J89" s="43">
        <v>16497.8</v>
      </c>
      <c r="K89" s="43">
        <f t="shared" si="39"/>
        <v>25090</v>
      </c>
      <c r="L89" s="43">
        <v>3480.3</v>
      </c>
      <c r="M89" s="43">
        <v>6682.4</v>
      </c>
      <c r="N89" s="43">
        <f t="shared" si="40"/>
        <v>10162.700000000001</v>
      </c>
      <c r="O89" s="43">
        <v>5689.2</v>
      </c>
      <c r="P89" s="43">
        <v>10923.8</v>
      </c>
      <c r="Q89" s="43">
        <f t="shared" si="41"/>
        <v>16613</v>
      </c>
      <c r="R89" s="43">
        <v>6927.2</v>
      </c>
      <c r="S89" s="43">
        <v>13300.7</v>
      </c>
      <c r="T89" s="43">
        <f t="shared" si="42"/>
        <v>20227.900000000001</v>
      </c>
      <c r="U89" s="43">
        <v>2805.8</v>
      </c>
      <c r="V89" s="43">
        <v>5387.4</v>
      </c>
      <c r="W89" s="43">
        <f t="shared" si="43"/>
        <v>8193.2000000000007</v>
      </c>
      <c r="X89" s="43">
        <v>4586.7</v>
      </c>
      <c r="Y89" s="43">
        <v>8806.9</v>
      </c>
      <c r="Z89" s="43">
        <f t="shared" si="44"/>
        <v>13393.599999999999</v>
      </c>
      <c r="AA89" s="22">
        <v>89282.5</v>
      </c>
      <c r="AB89">
        <v>187659.7</v>
      </c>
      <c r="AC89">
        <v>276942.2</v>
      </c>
      <c r="AD89">
        <v>36163.699999999997</v>
      </c>
      <c r="AE89">
        <v>76011.199999999997</v>
      </c>
      <c r="AF89">
        <v>112174.8</v>
      </c>
      <c r="AG89">
        <v>59116.800000000003</v>
      </c>
      <c r="AH89">
        <v>124255.6</v>
      </c>
      <c r="AI89">
        <v>183372.5</v>
      </c>
      <c r="AJ89">
        <v>71980.5</v>
      </c>
      <c r="AK89">
        <v>151293.29999999999</v>
      </c>
      <c r="AL89">
        <v>223273.8</v>
      </c>
      <c r="AM89">
        <v>29155.5</v>
      </c>
      <c r="AN89">
        <v>61281</v>
      </c>
      <c r="AO89">
        <v>90436.6</v>
      </c>
      <c r="AP89">
        <v>47660.6</v>
      </c>
      <c r="AQ89">
        <v>100176.3</v>
      </c>
      <c r="AR89">
        <v>147836.9</v>
      </c>
      <c r="AS89">
        <v>1034036.75</v>
      </c>
      <c r="AT89" s="22">
        <f t="shared" si="74"/>
        <v>148627.19163918748</v>
      </c>
      <c r="AU89">
        <f t="shared" si="74"/>
        <v>312394.1891731575</v>
      </c>
      <c r="AV89">
        <f t="shared" si="74"/>
        <v>461021.38081234501</v>
      </c>
      <c r="AW89">
        <f t="shared" si="74"/>
        <v>60201.14994855749</v>
      </c>
      <c r="AX89">
        <f t="shared" si="74"/>
        <v>126534.66456612</v>
      </c>
      <c r="AY89">
        <f t="shared" si="74"/>
        <v>186735.64804623</v>
      </c>
      <c r="AZ89">
        <f t="shared" si="74"/>
        <v>98410.819171680007</v>
      </c>
      <c r="BA89">
        <f t="shared" si="74"/>
        <v>206846.36825181002</v>
      </c>
      <c r="BB89">
        <f t="shared" si="73"/>
        <v>305257.35389193747</v>
      </c>
      <c r="BC89">
        <f t="shared" si="73"/>
        <v>119824.8208527375</v>
      </c>
      <c r="BD89">
        <f t="shared" si="73"/>
        <v>251855.60768151749</v>
      </c>
      <c r="BE89">
        <f t="shared" si="73"/>
        <v>371680.42853425496</v>
      </c>
      <c r="BF89">
        <f t="shared" si="73"/>
        <v>48534.708210862496</v>
      </c>
      <c r="BG89">
        <f t="shared" si="65"/>
        <v>102013.529312475</v>
      </c>
      <c r="BH89">
        <f t="shared" si="65"/>
        <v>150548.40399178502</v>
      </c>
      <c r="BI89">
        <f t="shared" si="65"/>
        <v>79339.860889185002</v>
      </c>
      <c r="BJ89">
        <f t="shared" si="38"/>
        <v>166761.93137294252</v>
      </c>
      <c r="BK89">
        <f t="shared" si="38"/>
        <v>246101.79226212748</v>
      </c>
      <c r="BL89">
        <f t="shared" si="38"/>
        <v>1721344.9243044562</v>
      </c>
      <c r="BM89" s="22">
        <f>-17.17-(0.1023*E89)+F89*(100-8.576-13.681)</f>
        <v>31.578818489560476</v>
      </c>
      <c r="BN89">
        <f>IF(AT89&lt;&gt;-999,AT89*$BM89, -999)</f>
        <v>4693471.1073870221</v>
      </c>
      <c r="BO89">
        <f>IF(AU89&lt;&gt;-999,AU89*$BM89, -999)</f>
        <v>9865039.3970925584</v>
      </c>
      <c r="BP89" s="25">
        <f>IF(AV89&lt;&gt;-999,AV89*$BM89, -999)</f>
        <v>14558510.504479581</v>
      </c>
      <c r="BQ89">
        <f>-19.943-(0.1023*E89)+F89*(100-8.576-13.681)</f>
        <v>28.80581848956048</v>
      </c>
      <c r="BR89">
        <f>IF(AW89&lt;&gt;-999,AW89*$BQ89, -999)</f>
        <v>1734143.3982809603</v>
      </c>
      <c r="BS89">
        <f>IF(AX89&lt;&gt;-999,AX89*$BQ89, -999)</f>
        <v>3644934.580129073</v>
      </c>
      <c r="BT89" s="25">
        <f>IF(AY89&lt;&gt;-999,AY89*$BQ89, -999)</f>
        <v>5379073.1831501499</v>
      </c>
      <c r="BU89">
        <f>-25.871-(0.1023*E89)+F89*(100-8.576-13.681)</f>
        <v>22.877818489560482</v>
      </c>
      <c r="BV89">
        <f>IF(AZ89&lt;&gt;-999,AZ89*$BU89, -999)</f>
        <v>2251424.8584186542</v>
      </c>
      <c r="BW89">
        <f>IF(BA89&lt;&gt;-999,BA89*$BU89, -999)</f>
        <v>4732193.6680896953</v>
      </c>
      <c r="BX89" s="25">
        <f>IF(BB89&lt;&gt;-999,BB89*$BU89, -999)</f>
        <v>6983622.334943275</v>
      </c>
      <c r="BY89">
        <f>-25.245-(0.1023*E89)+F89*(100-8.576-13.681)</f>
        <v>23.50381848956048</v>
      </c>
      <c r="BZ89">
        <f>IF(BC89&lt;&gt;-999,BC89*$BY89, -999)</f>
        <v>2816340.8398668435</v>
      </c>
      <c r="CA89">
        <f>IF(BD89&lt;&gt;-999,BD89*$BY89, -999)</f>
        <v>5919568.488524341</v>
      </c>
      <c r="CB89" s="25">
        <f>IF(BE89&lt;&gt;-999,BE89*$BY89, -999)</f>
        <v>8735909.328391185</v>
      </c>
      <c r="CC89">
        <f>-29.317-(0.1023*E89)+F89*(100-8.576-13.681)</f>
        <v>19.431818489560477</v>
      </c>
      <c r="CD89">
        <f>IF(BF89&lt;&gt;-999,BF89*$CC89, -999)</f>
        <v>943117.64039726055</v>
      </c>
      <c r="CE89">
        <f>IF(BG89&lt;&gt;-999,BG89*$CC89, -999)</f>
        <v>1982308.3850794714</v>
      </c>
      <c r="CF89" s="25">
        <f>IF(BH89&lt;&gt;-999,BH89*$CC89, -999)</f>
        <v>2925429.2602613885</v>
      </c>
      <c r="CG89">
        <f>-38.03-(0.1023*E89)+F89*(100-8.576-13.681)</f>
        <v>10.718818489560476</v>
      </c>
      <c r="CH89">
        <f>IF(BI89&lt;&gt;-999,BI89*$CG89, -999)</f>
        <v>850429.56785815232</v>
      </c>
      <c r="CI89">
        <f>IF(BJ89&lt;&gt;-999,BJ89*$CG89, -999)</f>
        <v>1787490.8733551116</v>
      </c>
      <c r="CJ89" s="25">
        <f>IF(BK89&lt;&gt;-999,BK89*$CG89, -999)</f>
        <v>2637920.4412132632</v>
      </c>
      <c r="CK89" s="26">
        <f t="shared" si="45"/>
        <v>41220465.05243884</v>
      </c>
      <c r="CL89">
        <f t="shared" si="46"/>
        <v>-33.510694210108973</v>
      </c>
      <c r="CM89">
        <f t="shared" si="47"/>
        <v>24.509502298103122</v>
      </c>
      <c r="CN89">
        <f t="shared" si="48"/>
        <v>-90.528671458579694</v>
      </c>
      <c r="CO89" s="22">
        <f t="shared" si="49"/>
        <v>-40.08</v>
      </c>
      <c r="CP89">
        <f>IF(AT89&lt;&gt;-999,AT89*$CO89, -999)</f>
        <v>-5956977.8408986339</v>
      </c>
      <c r="CQ89">
        <f>IF(AU89&lt;&gt;-999,AU89*$CO89, -999)</f>
        <v>-12520759.102060152</v>
      </c>
      <c r="CR89" s="27">
        <f>IF(AV89&lt;&gt;-999,AV89*$CO89, -999)</f>
        <v>-18477736.942958787</v>
      </c>
      <c r="CS89">
        <f t="shared" si="50"/>
        <v>-42.853000000000002</v>
      </c>
      <c r="CT89">
        <f>IF(AW89&lt;&gt;-999,AW89*$CS89, -999)</f>
        <v>-2579799.878745534</v>
      </c>
      <c r="CU89">
        <f>IF(AX89&lt;&gt;-999,AX89*$CS89, -999)</f>
        <v>-5422389.9806519402</v>
      </c>
      <c r="CV89" s="27">
        <f>IF(AY89&lt;&gt;-999,AY89*$CS89, -999)</f>
        <v>-8002182.7257250939</v>
      </c>
      <c r="CW89">
        <f t="shared" si="51"/>
        <v>-48.780999999999999</v>
      </c>
      <c r="CX89">
        <f>IF(AZ89&lt;&gt;-999,AZ89*$CO89, -999)</f>
        <v>-3944305.6324009346</v>
      </c>
      <c r="CY89">
        <f>IF(BA89&lt;&gt;-999,BA89*$CO89, -999)</f>
        <v>-8290402.4395325454</v>
      </c>
      <c r="CZ89" s="27">
        <f>IF(BB89&lt;&gt;-999,BB89*$CO89, -999)</f>
        <v>-12234714.743988853</v>
      </c>
      <c r="DA89">
        <f t="shared" si="52"/>
        <v>-48.155000000000001</v>
      </c>
      <c r="DB89">
        <f>IF(BC89&lt;&gt;-999,BC89*$DA89, -999)</f>
        <v>-5770164.2481635744</v>
      </c>
      <c r="DC89">
        <f>IF(BD89&lt;&gt;-999,BD89*$DA89, -999)</f>
        <v>-12128106.787903475</v>
      </c>
      <c r="DD89" s="27">
        <f>IF(BE89&lt;&gt;-999,BE89*$DA89, -999)</f>
        <v>-17898271.036067046</v>
      </c>
      <c r="DE89">
        <f t="shared" si="53"/>
        <v>-52.227000000000004</v>
      </c>
      <c r="DF89">
        <f>IF(BF89&lt;&gt;-999,BF89*$DE89, -999)</f>
        <v>-2534822.2057287158</v>
      </c>
      <c r="DG89">
        <f>IF(BG89&lt;&gt;-999,BG89*$DE89, -999)</f>
        <v>-5327860.5954026319</v>
      </c>
      <c r="DH89" s="27">
        <f>IF(BH89&lt;&gt;-999,BH89*$DE89, -999)</f>
        <v>-7862691.4952789564</v>
      </c>
      <c r="DI89">
        <f t="shared" si="54"/>
        <v>-60.94</v>
      </c>
      <c r="DJ89">
        <f>IF(BI89&lt;&gt;-999,BI89*$DI89, -999)</f>
        <v>-4834971.1225869339</v>
      </c>
      <c r="DK89">
        <f>IF(BJ89&lt;&gt;-999,BJ89*$DI89, -999)</f>
        <v>-10162472.097867116</v>
      </c>
      <c r="DL89" s="27">
        <f>IF(BK89&lt;&gt;-999,BK89*$DI89, -999)</f>
        <v>-14997443.220454048</v>
      </c>
      <c r="DM89" s="28">
        <f t="shared" si="55"/>
        <v>-79473040.164472774</v>
      </c>
      <c r="DN89" s="22">
        <f t="shared" si="56"/>
        <v>-17.170000000000002</v>
      </c>
      <c r="DO89">
        <f>IF(AT89&lt;&gt;-999,AT89*$DN89, -999)</f>
        <v>-2551928.8804448494</v>
      </c>
      <c r="DP89">
        <f>IF(AU89&lt;&gt;-999,AU89*$DN89, -999)</f>
        <v>-5363808.2281031152</v>
      </c>
      <c r="DQ89" s="24">
        <f>IF(AV89&lt;&gt;-999,AV89*$DN89, -999)</f>
        <v>-7915737.1085479651</v>
      </c>
      <c r="DR89">
        <f t="shared" si="57"/>
        <v>-19.943000000000001</v>
      </c>
      <c r="DS89">
        <f>IF(AW89&lt;&gt;-999,AW89*$DR89, -999)</f>
        <v>-1200591.5334240822</v>
      </c>
      <c r="DT89">
        <f>IF(AX89&lt;&gt;-999,AX89*$DR89, -999)</f>
        <v>-2523480.8154421314</v>
      </c>
      <c r="DU89" s="24">
        <f>IF(AY89&lt;&gt;-999,AY89*$DR89, -999)</f>
        <v>-3724069.0289859651</v>
      </c>
      <c r="DV89">
        <f t="shared" si="58"/>
        <v>-25.870999999999999</v>
      </c>
      <c r="DW89">
        <f>IF(AZ89&lt;&gt;-999,AZ89*$DV89, -999)</f>
        <v>-2545986.3027905333</v>
      </c>
      <c r="DX89">
        <f>IF(BA89&lt;&gt;-999,BA89*$DV89, -999)</f>
        <v>-5351322.3930425765</v>
      </c>
      <c r="DY89" s="24">
        <f>IF(BB89&lt;&gt;-999,BB89*$DV89, -999)</f>
        <v>-7897313.0025383141</v>
      </c>
      <c r="DZ89">
        <f t="shared" si="59"/>
        <v>-25.245000000000001</v>
      </c>
      <c r="EA89">
        <f>IF(BC89&lt;&gt;-999, BC89*$DZ89, -999)</f>
        <v>-3024977.6024273583</v>
      </c>
      <c r="EB89">
        <f>IF(BD89&lt;&gt;-999, BD89*$DZ89, -999)</f>
        <v>-6358094.8159199096</v>
      </c>
      <c r="EC89" s="24">
        <f>IF(BE89&lt;&gt;-999, BE89*$DZ89, -999)</f>
        <v>-9383072.4183472674</v>
      </c>
      <c r="ED89">
        <f t="shared" si="60"/>
        <v>-29.317</v>
      </c>
      <c r="EE89">
        <f>IF(BF89&lt;&gt;-999,BF89*$ED89, -999)</f>
        <v>-1422892.0406178557</v>
      </c>
      <c r="EF89">
        <f>IF(BG89&lt;&gt;-999,BG89*$ED89, -999)</f>
        <v>-2990730.6388538298</v>
      </c>
      <c r="EG89" s="24">
        <f>IF(BH89&lt;&gt;-999,BH89*$ED89, -999)</f>
        <v>-4413627.559827161</v>
      </c>
      <c r="EH89">
        <f t="shared" si="61"/>
        <v>-38.03</v>
      </c>
      <c r="EI89">
        <f>IF(BI89&lt;&gt;-999,BI89*$EH89, -999)</f>
        <v>-3017294.9096157057</v>
      </c>
      <c r="EJ89">
        <f>IF(BJ89&lt;&gt;-999,BJ89*$EH89, -999)</f>
        <v>-6341956.2501130039</v>
      </c>
      <c r="EK89" s="24">
        <f>IF(BK89&lt;&gt;-999,BK89*$EH89, -999)</f>
        <v>-9359251.1597287077</v>
      </c>
      <c r="EL89" s="28">
        <f t="shared" si="62"/>
        <v>-42693070.27797538</v>
      </c>
      <c r="EM89" s="22">
        <f>-17.17-(0.1023*G89)+H89*(100+102.093-66.644-64.243)</f>
        <v>25.187275765370465</v>
      </c>
      <c r="EN89">
        <f>IF(AT89&lt;&gt;-999,AT89*$EM89, -999)</f>
        <v>3743514.0620487789</v>
      </c>
      <c r="EO89">
        <f>IF(AU89&lt;&gt;-999,AU89*$EM89, -999)</f>
        <v>7868358.5902036261</v>
      </c>
      <c r="EP89" s="23">
        <f>IF(AV89&lt;&gt;-999,AV89*$EM89, -999)</f>
        <v>11611872.652252406</v>
      </c>
      <c r="EQ89">
        <f>-19.943-(0.1023*G89)+H89*(100+102.093-66.644-64.243)</f>
        <v>22.414275765370462</v>
      </c>
      <c r="ER89">
        <f>IF(AW89&lt;&gt;-999,AW89*$EQ89, -999)</f>
        <v>1349365.1763393853</v>
      </c>
      <c r="ES89">
        <f>IF(AX89&lt;&gt;-999,AX89*$EQ89, -999)</f>
        <v>2836182.8654636643</v>
      </c>
      <c r="ET89" s="23">
        <f>IF(AY89&lt;&gt;-999,AY89*$EQ89, -999)</f>
        <v>4185544.310533361</v>
      </c>
      <c r="EU89">
        <f>-25.871-(0.1023*G89)+H89*(100+102.093-66.644-64.243)</f>
        <v>16.486275765370465</v>
      </c>
      <c r="EV89">
        <f>IF(AZ89&lt;&gt;-999,AZ89*$EU89, -999)</f>
        <v>1622427.9031603232</v>
      </c>
      <c r="EW89">
        <f>IF(BA89&lt;&gt;-999,BA89*$EU89, -999)</f>
        <v>3410126.2680647103</v>
      </c>
      <c r="EX89" s="23">
        <f>IF(BB89&lt;&gt;-999,BB89*$EU89, -999)</f>
        <v>5032556.9156697644</v>
      </c>
      <c r="EY89">
        <f>-25.245-(0.1023*G89)+H89*(100+102.093-66.644-64.243)</f>
        <v>17.112275765370462</v>
      </c>
      <c r="EZ89">
        <f>IF(BC89&lt;&gt;-999, BC89*$EY89, -999)</f>
        <v>2050475.3779681572</v>
      </c>
      <c r="FA89">
        <f>IF(BD89&lt;&gt;-999, BD89*$EY89, -999)</f>
        <v>4309822.6117010824</v>
      </c>
      <c r="FB89" s="23">
        <f>IF(BE89&lt;&gt;-999, BE89*$EY89, -999)</f>
        <v>6360297.9896692391</v>
      </c>
      <c r="FC89">
        <f>-29.317-(0.1023*G89)+H89*(100+102.093-66.644-64.243)</f>
        <v>13.040275765370467</v>
      </c>
      <c r="FD89">
        <f>IF(BF89&lt;&gt;-999,BF89*$FC89, -999)</f>
        <v>632905.9792614372</v>
      </c>
      <c r="FE89">
        <f>IF(BG89&lt;&gt;-999,BG89*$FC89, -999)</f>
        <v>1330284.5540333774</v>
      </c>
      <c r="FF89" s="23">
        <f>IF(BH89&lt;&gt;-999,BH89*$FC89, -999)</f>
        <v>1963192.7040892765</v>
      </c>
      <c r="FG89">
        <f>-38.03-(0.1023*G89)+H89*(100+102.093-66.644-64.243)</f>
        <v>4.3272757653704659</v>
      </c>
      <c r="FH89">
        <f>IF(BI89&lt;&gt;-999,BI89*$FG89, -999)</f>
        <v>343325.45725363435</v>
      </c>
      <c r="FI89">
        <f>IF(BJ89&lt;&gt;-999,BJ89*$FG89, -999)</f>
        <v>721624.86421650695</v>
      </c>
      <c r="FJ89" s="23">
        <f>IF(BK89&lt;&gt;-999,BK89*$FG89, -999)</f>
        <v>1064950.3214701412</v>
      </c>
      <c r="FK89" s="28">
        <f t="shared" si="63"/>
        <v>30218414.893684186</v>
      </c>
      <c r="FL89" s="22">
        <f t="shared" si="66"/>
        <v>10.012280000000011</v>
      </c>
      <c r="FM89">
        <f>IF(AT89&lt;&gt;-999,AT89*$FL89, -999)</f>
        <v>1488097.0583052058</v>
      </c>
      <c r="FN89">
        <f>IF(AU89&lt;&gt;-999,AU89*$FL89, -999)</f>
        <v>3127778.0923746247</v>
      </c>
      <c r="FO89" s="29">
        <f>IF(AV89&lt;&gt;-999,AV89*$FL89, -999)</f>
        <v>4615875.1506798305</v>
      </c>
      <c r="FP89">
        <f t="shared" si="67"/>
        <v>7.2392800000000115</v>
      </c>
      <c r="FQ89">
        <f>IF(AW89&lt;&gt;-999,AW89*$FP89, -999)</f>
        <v>435812.98079959396</v>
      </c>
      <c r="FR89">
        <f>IF(AX89&lt;&gt;-999,AX89*$FP89, -999)</f>
        <v>916019.86650022271</v>
      </c>
      <c r="FS89" s="29">
        <f>IF(AY89&lt;&gt;-999,AY89*$FP89, -999)</f>
        <v>1351831.6421881141</v>
      </c>
      <c r="FT89">
        <f t="shared" si="68"/>
        <v>1.3112800000000142</v>
      </c>
      <c r="FU89">
        <f>IF(AZ89&lt;&gt;-999,AZ89*$FT89, -999)</f>
        <v>129044.13896344196</v>
      </c>
      <c r="FV89">
        <f>IF(BA89&lt;&gt;-999,BA89*$FT89, -999)</f>
        <v>271233.50576123642</v>
      </c>
      <c r="FW89" s="29">
        <f>IF(BB89&lt;&gt;-999,BB89*$FT89, -999)</f>
        <v>400277.86301142408</v>
      </c>
      <c r="FX89">
        <f t="shared" si="69"/>
        <v>1.9372800000000119</v>
      </c>
      <c r="FY89">
        <f>IF(BC89&lt;&gt;-999, BC89*$FX89, -999)</f>
        <v>232134.22894159271</v>
      </c>
      <c r="FZ89">
        <f>IF(BD89&lt;&gt;-999, BD89*$FX89, -999)</f>
        <v>487914.8316492532</v>
      </c>
      <c r="GA89" s="29">
        <f>IF(BE89&lt;&gt;-999, BE89*$FX89, -999)</f>
        <v>720049.06059084588</v>
      </c>
      <c r="GB89">
        <f t="shared" si="70"/>
        <v>-2.1347199999999873</v>
      </c>
      <c r="GC89">
        <f>IF(BF89&lt;&gt;-999,BF89*$GB89, -999)</f>
        <v>-103608.01231189177</v>
      </c>
      <c r="GD89">
        <f>IF(BG89&lt;&gt;-999,BG89*$GB89, -999)</f>
        <v>-217770.32129392534</v>
      </c>
      <c r="GE89" s="29">
        <f>IF(BH89&lt;&gt;-999,BH89*$GB89, -999)</f>
        <v>-321378.6889693414</v>
      </c>
      <c r="GF89">
        <f t="shared" si="71"/>
        <v>-10.847719999999988</v>
      </c>
      <c r="GG89">
        <f>IF(BI89&lt;&gt;-999,BI89*$GF89, -999)</f>
        <v>-860656.59576482896</v>
      </c>
      <c r="GH89">
        <f>IF(BJ89&lt;&gt;-999,BJ89*$GF89, -999)</f>
        <v>-1808986.738192894</v>
      </c>
      <c r="GI89" s="29">
        <f>IF(BK89&lt;&gt;-999,BK89*$GF89, -999)</f>
        <v>-2669643.3339577224</v>
      </c>
      <c r="GJ89" s="30">
        <f t="shared" si="64"/>
        <v>4097011.693543151</v>
      </c>
    </row>
    <row r="90" spans="1:192">
      <c r="A90" s="48" t="s">
        <v>178</v>
      </c>
      <c r="B90" s="48" t="s">
        <v>227</v>
      </c>
      <c r="C90" s="49">
        <v>162</v>
      </c>
      <c r="D90" s="50">
        <v>0.77800000000000002</v>
      </c>
      <c r="E90" s="49">
        <v>63.962336143243803</v>
      </c>
      <c r="F90" s="49">
        <v>0.78506950534729003</v>
      </c>
      <c r="G90" s="49">
        <v>58.717842831785497</v>
      </c>
      <c r="H90" s="49">
        <v>0.81877554699467403</v>
      </c>
      <c r="I90" s="42">
        <v>7555.1</v>
      </c>
      <c r="J90" s="43">
        <v>-999</v>
      </c>
      <c r="K90" s="43">
        <f t="shared" si="39"/>
        <v>7555.1</v>
      </c>
      <c r="L90" s="43">
        <v>1883.9</v>
      </c>
      <c r="M90" s="43">
        <v>-999</v>
      </c>
      <c r="N90" s="43">
        <f t="shared" si="40"/>
        <v>1883.9</v>
      </c>
      <c r="O90" s="43">
        <v>2230.3000000000002</v>
      </c>
      <c r="P90" s="43">
        <v>-999</v>
      </c>
      <c r="Q90" s="43">
        <f t="shared" si="41"/>
        <v>2230.3000000000002</v>
      </c>
      <c r="R90" s="43">
        <v>12069</v>
      </c>
      <c r="S90" s="43">
        <v>-999</v>
      </c>
      <c r="T90" s="43">
        <f t="shared" si="42"/>
        <v>12069</v>
      </c>
      <c r="U90" s="43">
        <v>3009.4</v>
      </c>
      <c r="V90" s="43">
        <v>-999</v>
      </c>
      <c r="W90" s="43">
        <f t="shared" si="43"/>
        <v>3009.4</v>
      </c>
      <c r="X90" s="43">
        <v>3562.8</v>
      </c>
      <c r="Y90" s="43">
        <v>-999</v>
      </c>
      <c r="Z90" s="43">
        <f t="shared" si="44"/>
        <v>3562.8</v>
      </c>
      <c r="AA90" s="22">
        <v>243517.9</v>
      </c>
      <c r="AB90">
        <v>-999</v>
      </c>
      <c r="AC90">
        <v>243517.9</v>
      </c>
      <c r="AD90">
        <v>60722.1</v>
      </c>
      <c r="AE90">
        <v>-999</v>
      </c>
      <c r="AF90">
        <v>60722.1</v>
      </c>
      <c r="AG90">
        <v>71886.7</v>
      </c>
      <c r="AH90">
        <v>-999</v>
      </c>
      <c r="AI90">
        <v>71886.7</v>
      </c>
      <c r="AJ90">
        <v>389011.9</v>
      </c>
      <c r="AK90">
        <v>-999</v>
      </c>
      <c r="AL90">
        <v>389011.9</v>
      </c>
      <c r="AM90">
        <v>97001.600000000006</v>
      </c>
      <c r="AN90">
        <v>-999</v>
      </c>
      <c r="AO90">
        <v>97001.600000000006</v>
      </c>
      <c r="AP90">
        <v>114836.6</v>
      </c>
      <c r="AQ90">
        <v>-999</v>
      </c>
      <c r="AR90">
        <v>114836.6</v>
      </c>
      <c r="AS90">
        <v>976976.69</v>
      </c>
      <c r="AT90" s="22">
        <f t="shared" si="74"/>
        <v>405380.46751460247</v>
      </c>
      <c r="AU90">
        <f t="shared" si="74"/>
        <v>-999</v>
      </c>
      <c r="AV90">
        <f t="shared" si="74"/>
        <v>405380.46751460247</v>
      </c>
      <c r="AW90">
        <f t="shared" si="74"/>
        <v>101083.13715939749</v>
      </c>
      <c r="AX90">
        <f t="shared" si="74"/>
        <v>-999</v>
      </c>
      <c r="AY90">
        <f t="shared" si="74"/>
        <v>101083.13715939749</v>
      </c>
      <c r="AZ90">
        <f t="shared" si="74"/>
        <v>119668.6734489825</v>
      </c>
      <c r="BA90">
        <f t="shared" si="74"/>
        <v>-999</v>
      </c>
      <c r="BB90">
        <f t="shared" si="73"/>
        <v>119668.6734489825</v>
      </c>
      <c r="BC90">
        <f t="shared" si="73"/>
        <v>647582.07052025246</v>
      </c>
      <c r="BD90">
        <f t="shared" si="73"/>
        <v>-999</v>
      </c>
      <c r="BE90">
        <f t="shared" si="73"/>
        <v>647582.07052025246</v>
      </c>
      <c r="BF90">
        <f t="shared" si="73"/>
        <v>161477.05757016002</v>
      </c>
      <c r="BG90">
        <f t="shared" si="65"/>
        <v>-999</v>
      </c>
      <c r="BH90">
        <f t="shared" si="65"/>
        <v>161477.05757016002</v>
      </c>
      <c r="BI90">
        <f t="shared" si="65"/>
        <v>191166.70518178499</v>
      </c>
      <c r="BJ90">
        <f t="shared" si="38"/>
        <v>-999</v>
      </c>
      <c r="BK90">
        <f t="shared" si="38"/>
        <v>191166.70518178499</v>
      </c>
      <c r="BL90">
        <f t="shared" si="38"/>
        <v>1626357.9282798877</v>
      </c>
      <c r="BM90" s="22">
        <f>-17.17-(0.1023*E90)+F90*(100-8.576-13.681)</f>
        <v>37.320311566760537</v>
      </c>
      <c r="BN90">
        <f>IF(AT90&lt;&gt;-999,AT90*$BM90, -999)</f>
        <v>15128925.350724014</v>
      </c>
      <c r="BO90">
        <f>IF(AU90&lt;&gt;-999,AU90*$BM90, -999)</f>
        <v>-999</v>
      </c>
      <c r="BP90" s="25">
        <f>IF(AV90&lt;&gt;-999,AV90*$BM90, -999)</f>
        <v>15128925.350724014</v>
      </c>
      <c r="BQ90">
        <f>-19.943-(0.1023*E90)+F90*(100-8.576-13.681)</f>
        <v>34.547311566760534</v>
      </c>
      <c r="BR90">
        <f>IF(AW90&lt;&gt;-999,AW90*$BQ90, -999)</f>
        <v>3492150.6335912943</v>
      </c>
      <c r="BS90">
        <f>IF(AX90&lt;&gt;-999,AX90*$BQ90, -999)</f>
        <v>-999</v>
      </c>
      <c r="BT90" s="25">
        <f>IF(AY90&lt;&gt;-999,AY90*$BQ90, -999)</f>
        <v>3492150.6335912943</v>
      </c>
      <c r="BU90">
        <f>-25.871-(0.1023*E90)+F90*(100-8.576-13.681)</f>
        <v>28.619311566760537</v>
      </c>
      <c r="BV90">
        <f>IF(AZ90&lt;&gt;-999,AZ90*$BU90, -999)</f>
        <v>3424835.0502173547</v>
      </c>
      <c r="BW90">
        <f>IF(BA90&lt;&gt;-999,BA90*$BU90, -999)</f>
        <v>-999</v>
      </c>
      <c r="BX90" s="25">
        <f>IF(BB90&lt;&gt;-999,BB90*$BU90, -999)</f>
        <v>3424835.0502173547</v>
      </c>
      <c r="BY90">
        <f>-25.245-(0.1023*E90)+F90*(100-8.576-13.681)</f>
        <v>29.245311566760535</v>
      </c>
      <c r="BZ90">
        <f>IF(BC90&lt;&gt;-999,BC90*$BY90, -999)</f>
        <v>18938739.417412676</v>
      </c>
      <c r="CA90">
        <f>IF(BD90&lt;&gt;-999,BD90*$BY90, -999)</f>
        <v>-999</v>
      </c>
      <c r="CB90" s="25">
        <f>IF(BE90&lt;&gt;-999,BE90*$BY90, -999)</f>
        <v>18938739.417412676</v>
      </c>
      <c r="CC90">
        <f>-29.317-(0.1023*E90)+F90*(100-8.576-13.681)</f>
        <v>25.173311566760539</v>
      </c>
      <c r="CD90">
        <f>IF(BF90&lt;&gt;-999,BF90*$CC90, -999)</f>
        <v>4064912.2810973665</v>
      </c>
      <c r="CE90">
        <f>IF(BG90&lt;&gt;-999,BG90*$CC90, -999)</f>
        <v>-999</v>
      </c>
      <c r="CF90" s="25">
        <f>IF(BH90&lt;&gt;-999,BH90*$CC90, -999)</f>
        <v>4064912.2810973665</v>
      </c>
      <c r="CG90">
        <f>-38.03-(0.1023*E90)+F90*(100-8.576-13.681)</f>
        <v>16.460311566760531</v>
      </c>
      <c r="CH90">
        <f>IF(BI90&lt;&gt;-999,BI90*$CG90, -999)</f>
        <v>3146663.5284832357</v>
      </c>
      <c r="CI90">
        <f>IF(BJ90&lt;&gt;-999,BJ90*$CG90, -999)</f>
        <v>-999</v>
      </c>
      <c r="CJ90" s="25">
        <f>IF(BK90&lt;&gt;-999,BK90*$CG90, -999)</f>
        <v>3146663.5284832357</v>
      </c>
      <c r="CK90" s="26">
        <f t="shared" si="45"/>
        <v>48196226.261525936</v>
      </c>
      <c r="CL90">
        <f t="shared" si="46"/>
        <v>-40.516617720313192</v>
      </c>
      <c r="CM90">
        <f t="shared" si="47"/>
        <v>17.369976639120704</v>
      </c>
      <c r="CN90">
        <f t="shared" si="48"/>
        <v>-97.403300613751796</v>
      </c>
      <c r="CO90" s="22">
        <f t="shared" si="49"/>
        <v>-40.08</v>
      </c>
      <c r="CP90">
        <f>IF(AT90&lt;&gt;-999,AT90*$CO90, -999)</f>
        <v>-16247649.137985267</v>
      </c>
      <c r="CQ90">
        <f>IF(AU90&lt;&gt;-999,AU90*$CO90, -999)</f>
        <v>-999</v>
      </c>
      <c r="CR90" s="27">
        <f>IF(AV90&lt;&gt;-999,AV90*$CO90, -999)</f>
        <v>-16247649.137985267</v>
      </c>
      <c r="CS90">
        <f t="shared" si="50"/>
        <v>-42.853000000000002</v>
      </c>
      <c r="CT90">
        <f>IF(AW90&lt;&gt;-999,AW90*$CS90, -999)</f>
        <v>-4331715.6766916607</v>
      </c>
      <c r="CU90">
        <f>IF(AX90&lt;&gt;-999,AX90*$CS90, -999)</f>
        <v>-999</v>
      </c>
      <c r="CV90" s="27">
        <f>IF(AY90&lt;&gt;-999,AY90*$CS90, -999)</f>
        <v>-4331715.6766916607</v>
      </c>
      <c r="CW90">
        <f t="shared" si="51"/>
        <v>-48.780999999999999</v>
      </c>
      <c r="CX90">
        <f>IF(AZ90&lt;&gt;-999,AZ90*$CO90, -999)</f>
        <v>-4796320.4318352183</v>
      </c>
      <c r="CY90">
        <f>IF(BA90&lt;&gt;-999,BA90*$CO90, -999)</f>
        <v>-999</v>
      </c>
      <c r="CZ90" s="27">
        <f>IF(BB90&lt;&gt;-999,BB90*$CO90, -999)</f>
        <v>-4796320.4318352183</v>
      </c>
      <c r="DA90">
        <f t="shared" si="52"/>
        <v>-48.155000000000001</v>
      </c>
      <c r="DB90">
        <f>IF(BC90&lt;&gt;-999,BC90*$DA90, -999)</f>
        <v>-31184314.605902757</v>
      </c>
      <c r="DC90">
        <f>IF(BD90&lt;&gt;-999,BD90*$DA90, -999)</f>
        <v>-999</v>
      </c>
      <c r="DD90" s="27">
        <f>IF(BE90&lt;&gt;-999,BE90*$DA90, -999)</f>
        <v>-31184314.605902757</v>
      </c>
      <c r="DE90">
        <f t="shared" si="53"/>
        <v>-52.227000000000004</v>
      </c>
      <c r="DF90">
        <f>IF(BF90&lt;&gt;-999,BF90*$DE90, -999)</f>
        <v>-8433462.2857167479</v>
      </c>
      <c r="DG90">
        <f>IF(BG90&lt;&gt;-999,BG90*$DE90, -999)</f>
        <v>-999</v>
      </c>
      <c r="DH90" s="27">
        <f>IF(BH90&lt;&gt;-999,BH90*$DE90, -999)</f>
        <v>-8433462.2857167479</v>
      </c>
      <c r="DI90">
        <f t="shared" si="54"/>
        <v>-60.94</v>
      </c>
      <c r="DJ90">
        <f>IF(BI90&lt;&gt;-999,BI90*$DI90, -999)</f>
        <v>-11649699.013777977</v>
      </c>
      <c r="DK90">
        <f>IF(BJ90&lt;&gt;-999,BJ90*$DI90, -999)</f>
        <v>-999</v>
      </c>
      <c r="DL90" s="27">
        <f>IF(BK90&lt;&gt;-999,BK90*$DI90, -999)</f>
        <v>-11649699.013777977</v>
      </c>
      <c r="DM90" s="28">
        <f t="shared" si="55"/>
        <v>-76643161.151909634</v>
      </c>
      <c r="DN90" s="22">
        <f t="shared" si="56"/>
        <v>-17.170000000000002</v>
      </c>
      <c r="DO90">
        <f>IF(AT90&lt;&gt;-999,AT90*$DN90, -999)</f>
        <v>-6960382.627225725</v>
      </c>
      <c r="DP90">
        <f>IF(AU90&lt;&gt;-999,AU90*$DN90, -999)</f>
        <v>-999</v>
      </c>
      <c r="DQ90" s="24">
        <f>IF(AV90&lt;&gt;-999,AV90*$DN90, -999)</f>
        <v>-6960382.627225725</v>
      </c>
      <c r="DR90">
        <f t="shared" si="57"/>
        <v>-19.943000000000001</v>
      </c>
      <c r="DS90">
        <f>IF(AW90&lt;&gt;-999,AW90*$DR90, -999)</f>
        <v>-2015901.0043698642</v>
      </c>
      <c r="DT90">
        <f>IF(AX90&lt;&gt;-999,AX90*$DR90, -999)</f>
        <v>-999</v>
      </c>
      <c r="DU90" s="24">
        <f>IF(AY90&lt;&gt;-999,AY90*$DR90, -999)</f>
        <v>-2015901.0043698642</v>
      </c>
      <c r="DV90">
        <f t="shared" si="58"/>
        <v>-25.870999999999999</v>
      </c>
      <c r="DW90">
        <f>IF(AZ90&lt;&gt;-999,AZ90*$DV90, -999)</f>
        <v>-3095948.2507986263</v>
      </c>
      <c r="DX90">
        <f>IF(BA90&lt;&gt;-999,BA90*$DV90, -999)</f>
        <v>-999</v>
      </c>
      <c r="DY90" s="24">
        <f>IF(BB90&lt;&gt;-999,BB90*$DV90, -999)</f>
        <v>-3095948.2507986263</v>
      </c>
      <c r="DZ90">
        <f t="shared" si="59"/>
        <v>-25.245000000000001</v>
      </c>
      <c r="EA90">
        <f>IF(BC90&lt;&gt;-999, BC90*$DZ90, -999)</f>
        <v>-16348209.370283773</v>
      </c>
      <c r="EB90">
        <f>IF(BD90&lt;&gt;-999, BD90*$DZ90, -999)</f>
        <v>-999</v>
      </c>
      <c r="EC90" s="24">
        <f>IF(BE90&lt;&gt;-999, BE90*$DZ90, -999)</f>
        <v>-16348209.370283773</v>
      </c>
      <c r="ED90">
        <f t="shared" si="60"/>
        <v>-29.317</v>
      </c>
      <c r="EE90">
        <f>IF(BF90&lt;&gt;-999,BF90*$ED90, -999)</f>
        <v>-4734022.896784381</v>
      </c>
      <c r="EF90">
        <f>IF(BG90&lt;&gt;-999,BG90*$ED90, -999)</f>
        <v>-999</v>
      </c>
      <c r="EG90" s="24">
        <f>IF(BH90&lt;&gt;-999,BH90*$ED90, -999)</f>
        <v>-4734022.896784381</v>
      </c>
      <c r="EH90">
        <f t="shared" si="61"/>
        <v>-38.03</v>
      </c>
      <c r="EI90">
        <f>IF(BI90&lt;&gt;-999,BI90*$EH90, -999)</f>
        <v>-7270069.7980632829</v>
      </c>
      <c r="EJ90">
        <f>IF(BJ90&lt;&gt;-999,BJ90*$EH90, -999)</f>
        <v>-999</v>
      </c>
      <c r="EK90" s="24">
        <f>IF(BK90&lt;&gt;-999,BK90*$EH90, -999)</f>
        <v>-7270069.7980632829</v>
      </c>
      <c r="EL90" s="28">
        <f t="shared" si="62"/>
        <v>-40424533.94752565</v>
      </c>
      <c r="EM90" s="22">
        <f>-17.17-(0.1023*G90)+H90*(100+102.093-66.644-64.243)</f>
        <v>35.124896277611114</v>
      </c>
      <c r="EN90">
        <f>IF(AT90&lt;&gt;-999,AT90*$EM90, -999)</f>
        <v>14238946.874419913</v>
      </c>
      <c r="EO90">
        <f>IF(AU90&lt;&gt;-999,AU90*$EM90, -999)</f>
        <v>-999</v>
      </c>
      <c r="EP90" s="23">
        <f>IF(AV90&lt;&gt;-999,AV90*$EM90, -999)</f>
        <v>14238946.874419913</v>
      </c>
      <c r="EQ90">
        <f>-19.943-(0.1023*G90)+H90*(100+102.093-66.644-64.243)</f>
        <v>32.351896277611118</v>
      </c>
      <c r="ER90">
        <f>IF(AW90&lt;&gt;-999,AW90*$EQ90, -999)</f>
        <v>3270231.1687963656</v>
      </c>
      <c r="ES90">
        <f>IF(AX90&lt;&gt;-999,AX90*$EQ90, -999)</f>
        <v>-999</v>
      </c>
      <c r="ET90" s="23">
        <f>IF(AY90&lt;&gt;-999,AY90*$EQ90, -999)</f>
        <v>3270231.1687963656</v>
      </c>
      <c r="EU90">
        <f>-25.871-(0.1023*G90)+H90*(100+102.093-66.644-64.243)</f>
        <v>26.423896277611121</v>
      </c>
      <c r="EV90">
        <f>IF(AZ90&lt;&gt;-999,AZ90*$EU90, -999)</f>
        <v>3162112.6148952297</v>
      </c>
      <c r="EW90">
        <f>IF(BA90&lt;&gt;-999,BA90*$EU90, -999)</f>
        <v>-999</v>
      </c>
      <c r="EX90" s="23">
        <f>IF(BB90&lt;&gt;-999,BB90*$EU90, -999)</f>
        <v>3162112.6148952297</v>
      </c>
      <c r="EY90">
        <f>-25.245-(0.1023*G90)+H90*(100+102.093-66.644-64.243)</f>
        <v>27.049896277611118</v>
      </c>
      <c r="EZ90">
        <f>IF(BC90&lt;&gt;-999, BC90*$EY90, -999)</f>
        <v>17517027.838813476</v>
      </c>
      <c r="FA90">
        <f>IF(BD90&lt;&gt;-999, BD90*$EY90, -999)</f>
        <v>-999</v>
      </c>
      <c r="FB90" s="23">
        <f>IF(BE90&lt;&gt;-999, BE90*$EY90, -999)</f>
        <v>17517027.838813476</v>
      </c>
      <c r="FC90">
        <f>-29.317-(0.1023*G90)+H90*(100+102.093-66.644-64.243)</f>
        <v>22.977896277611123</v>
      </c>
      <c r="FD90">
        <f>IF(BF90&lt;&gt;-999,BF90*$FC90, -999)</f>
        <v>3710403.080060977</v>
      </c>
      <c r="FE90">
        <f>IF(BG90&lt;&gt;-999,BG90*$FC90, -999)</f>
        <v>-999</v>
      </c>
      <c r="FF90" s="23">
        <f>IF(BH90&lt;&gt;-999,BH90*$FC90, -999)</f>
        <v>3710403.080060977</v>
      </c>
      <c r="FG90">
        <f>-38.03-(0.1023*G90)+H90*(100+102.093-66.644-64.243)</f>
        <v>14.264896277611122</v>
      </c>
      <c r="FH90">
        <f>IF(BI90&lt;&gt;-999,BI90*$FG90, -999)</f>
        <v>2726973.2211508276</v>
      </c>
      <c r="FI90">
        <f>IF(BJ90&lt;&gt;-999,BJ90*$FG90, -999)</f>
        <v>-999</v>
      </c>
      <c r="FJ90" s="23">
        <f>IF(BK90&lt;&gt;-999,BK90*$FG90, -999)</f>
        <v>2726973.2211508276</v>
      </c>
      <c r="FK90" s="28">
        <f t="shared" si="63"/>
        <v>44625694.798136786</v>
      </c>
      <c r="FL90" s="22">
        <f t="shared" si="66"/>
        <v>10.012280000000011</v>
      </c>
      <c r="FM90">
        <f>IF(AT90&lt;&gt;-999,AT90*$FL90, -999)</f>
        <v>4058782.7472871086</v>
      </c>
      <c r="FN90">
        <f>IF(AU90&lt;&gt;-999,AU90*$FL90, -999)</f>
        <v>-999</v>
      </c>
      <c r="FO90" s="29">
        <f>IF(AV90&lt;&gt;-999,AV90*$FL90, -999)</f>
        <v>4058782.7472871086</v>
      </c>
      <c r="FP90">
        <f t="shared" si="67"/>
        <v>7.2392800000000115</v>
      </c>
      <c r="FQ90">
        <f>IF(AW90&lt;&gt;-999,AW90*$FP90, -999)</f>
        <v>731769.13317528425</v>
      </c>
      <c r="FR90">
        <f>IF(AX90&lt;&gt;-999,AX90*$FP90, -999)</f>
        <v>-999</v>
      </c>
      <c r="FS90" s="29">
        <f>IF(AY90&lt;&gt;-999,AY90*$FP90, -999)</f>
        <v>731769.13317528425</v>
      </c>
      <c r="FT90">
        <f t="shared" si="68"/>
        <v>1.3112800000000142</v>
      </c>
      <c r="FU90">
        <f>IF(AZ90&lt;&gt;-999,AZ90*$FT90, -999)</f>
        <v>156919.13812018349</v>
      </c>
      <c r="FV90">
        <f>IF(BA90&lt;&gt;-999,BA90*$FT90, -999)</f>
        <v>-999</v>
      </c>
      <c r="FW90" s="29">
        <f>IF(BB90&lt;&gt;-999,BB90*$FT90, -999)</f>
        <v>156919.13812018349</v>
      </c>
      <c r="FX90">
        <f t="shared" si="69"/>
        <v>1.9372800000000119</v>
      </c>
      <c r="FY90">
        <f>IF(BC90&lt;&gt;-999, BC90*$FX90, -999)</f>
        <v>1254547.7935774825</v>
      </c>
      <c r="FZ90">
        <f>IF(BD90&lt;&gt;-999, BD90*$FX90, -999)</f>
        <v>-999</v>
      </c>
      <c r="GA90" s="29">
        <f>IF(BE90&lt;&gt;-999, BE90*$FX90, -999)</f>
        <v>1254547.7935774825</v>
      </c>
      <c r="GB90">
        <f t="shared" si="70"/>
        <v>-2.1347199999999873</v>
      </c>
      <c r="GC90">
        <f>IF(BF90&lt;&gt;-999,BF90*$GB90, -999)</f>
        <v>-344708.30433616997</v>
      </c>
      <c r="GD90">
        <f>IF(BG90&lt;&gt;-999,BG90*$GB90, -999)</f>
        <v>-999</v>
      </c>
      <c r="GE90" s="29">
        <f>IF(BH90&lt;&gt;-999,BH90*$GB90, -999)</f>
        <v>-344708.30433616997</v>
      </c>
      <c r="GF90">
        <f t="shared" si="71"/>
        <v>-10.847719999999988</v>
      </c>
      <c r="GG90">
        <f>IF(BI90&lt;&gt;-999,BI90*$GF90, -999)</f>
        <v>-2073722.8911345503</v>
      </c>
      <c r="GH90">
        <f>IF(BJ90&lt;&gt;-999,BJ90*$GF90, -999)</f>
        <v>-999</v>
      </c>
      <c r="GI90" s="29">
        <f>IF(BK90&lt;&gt;-999,BK90*$GF90, -999)</f>
        <v>-2073722.8911345503</v>
      </c>
      <c r="GJ90" s="30">
        <f t="shared" si="64"/>
        <v>3783587.6166893397</v>
      </c>
    </row>
    <row r="91" spans="1:192">
      <c r="A91" s="48" t="s">
        <v>178</v>
      </c>
      <c r="B91" s="48" t="s">
        <v>228</v>
      </c>
      <c r="C91" s="49">
        <v>167</v>
      </c>
      <c r="D91" s="50">
        <v>0.76600000000000001</v>
      </c>
      <c r="E91" s="49">
        <v>183.22847086620001</v>
      </c>
      <c r="F91" s="49">
        <v>0.77687343256353403</v>
      </c>
      <c r="G91" s="49">
        <v>24.875464557901999</v>
      </c>
      <c r="H91" s="49">
        <v>0.82164999108293402</v>
      </c>
      <c r="I91" s="42">
        <v>18275</v>
      </c>
      <c r="J91" s="43">
        <v>1299.0999999999999</v>
      </c>
      <c r="K91" s="43">
        <f t="shared" si="39"/>
        <v>19574.099999999999</v>
      </c>
      <c r="L91" s="43">
        <v>9518</v>
      </c>
      <c r="M91" s="43">
        <v>676.6</v>
      </c>
      <c r="N91" s="43">
        <f t="shared" si="40"/>
        <v>10194.6</v>
      </c>
      <c r="O91" s="43">
        <v>29104.2</v>
      </c>
      <c r="P91" s="43">
        <v>2068.9</v>
      </c>
      <c r="Q91" s="43">
        <f t="shared" si="41"/>
        <v>31173.100000000002</v>
      </c>
      <c r="R91" s="43">
        <v>51000.7</v>
      </c>
      <c r="S91" s="43">
        <v>3625.4</v>
      </c>
      <c r="T91" s="43">
        <f t="shared" si="42"/>
        <v>54626.1</v>
      </c>
      <c r="U91" s="43">
        <v>26562.1</v>
      </c>
      <c r="V91" s="43">
        <v>1888.2</v>
      </c>
      <c r="W91" s="43">
        <f t="shared" si="43"/>
        <v>28450.3</v>
      </c>
      <c r="X91" s="43">
        <v>81222</v>
      </c>
      <c r="Y91" s="43">
        <v>5773.6</v>
      </c>
      <c r="Z91" s="43">
        <f t="shared" si="44"/>
        <v>86995.6</v>
      </c>
      <c r="AA91" s="22">
        <v>126182.6</v>
      </c>
      <c r="AB91">
        <v>7363.6</v>
      </c>
      <c r="AC91">
        <v>133546.29999999999</v>
      </c>
      <c r="AD91">
        <v>65718.3</v>
      </c>
      <c r="AE91">
        <v>3835.1</v>
      </c>
      <c r="AF91">
        <v>69553.399999999994</v>
      </c>
      <c r="AG91">
        <v>200954.2</v>
      </c>
      <c r="AH91">
        <v>11727.1</v>
      </c>
      <c r="AI91">
        <v>212681.3</v>
      </c>
      <c r="AJ91">
        <v>352142.1</v>
      </c>
      <c r="AK91">
        <v>20549.900000000001</v>
      </c>
      <c r="AL91">
        <v>372692.1</v>
      </c>
      <c r="AM91">
        <v>183402.2</v>
      </c>
      <c r="AN91">
        <v>10702.8</v>
      </c>
      <c r="AO91">
        <v>194105</v>
      </c>
      <c r="AP91">
        <v>560809.80000000005</v>
      </c>
      <c r="AQ91">
        <v>32727.1</v>
      </c>
      <c r="AR91">
        <v>593536.9</v>
      </c>
      <c r="AS91">
        <v>1576114.91</v>
      </c>
      <c r="AT91" s="22">
        <f t="shared" si="74"/>
        <v>210054.21523513499</v>
      </c>
      <c r="AU91">
        <f t="shared" si="74"/>
        <v>12258.070600110001</v>
      </c>
      <c r="AV91">
        <f t="shared" si="74"/>
        <v>222312.45230369249</v>
      </c>
      <c r="AW91">
        <f t="shared" si="74"/>
        <v>109400.2337333925</v>
      </c>
      <c r="AX91">
        <f t="shared" si="74"/>
        <v>6384.2314300724993</v>
      </c>
      <c r="AY91">
        <f t="shared" si="74"/>
        <v>115784.46516346499</v>
      </c>
      <c r="AZ91">
        <f t="shared" si="74"/>
        <v>334525.33692604501</v>
      </c>
      <c r="BA91">
        <f t="shared" si="74"/>
        <v>19521.921306772503</v>
      </c>
      <c r="BB91">
        <f t="shared" si="73"/>
        <v>354047.25823281746</v>
      </c>
      <c r="BC91">
        <f t="shared" si="73"/>
        <v>586205.48686389753</v>
      </c>
      <c r="BD91">
        <f t="shared" si="73"/>
        <v>34209.099492802503</v>
      </c>
      <c r="BE91">
        <f t="shared" si="73"/>
        <v>620414.75282514747</v>
      </c>
      <c r="BF91">
        <f t="shared" si="73"/>
        <v>305306.79502084502</v>
      </c>
      <c r="BG91">
        <f t="shared" si="65"/>
        <v>17816.784999029998</v>
      </c>
      <c r="BH91">
        <f t="shared" si="65"/>
        <v>323123.58001987502</v>
      </c>
      <c r="BI91">
        <f t="shared" si="65"/>
        <v>933571.36748785502</v>
      </c>
      <c r="BJ91">
        <f t="shared" si="38"/>
        <v>54480.295281772502</v>
      </c>
      <c r="BK91">
        <f t="shared" si="38"/>
        <v>988051.66276962752</v>
      </c>
      <c r="BL91">
        <f t="shared" si="38"/>
        <v>2623734.0214930219</v>
      </c>
      <c r="BM91" s="22">
        <f>-17.17-(0.1023*E91)+F91*(100-8.576-13.681)</f>
        <v>24.482198698174571</v>
      </c>
      <c r="BN91">
        <f>IF(AT91&lt;&gt;-999,AT91*$BM91, -999)</f>
        <v>5142589.0347757032</v>
      </c>
      <c r="BO91">
        <f>IF(AU91&lt;&gt;-999,AU91*$BM91, -999)</f>
        <v>300104.52008814504</v>
      </c>
      <c r="BP91" s="25">
        <f>IF(AV91&lt;&gt;-999,AV91*$BM91, -999)</f>
        <v>5442697.6303774565</v>
      </c>
      <c r="BQ91">
        <f>-19.943-(0.1023*E91)+F91*(100-8.576-13.681)</f>
        <v>21.709198698174575</v>
      </c>
      <c r="BR91">
        <f>IF(AW91&lt;&gt;-999,AW91*$BQ91, -999)</f>
        <v>2374991.4117449587</v>
      </c>
      <c r="BS91">
        <f>IF(AX91&lt;&gt;-999,AX91*$BQ91, -999)</f>
        <v>138596.5486505751</v>
      </c>
      <c r="BT91" s="25">
        <f>IF(AY91&lt;&gt;-999,AY91*$BQ91, -999)</f>
        <v>2513587.9603955336</v>
      </c>
      <c r="BU91">
        <f>-25.871-(0.1023*E91)+F91*(100-8.576-13.681)</f>
        <v>15.781198698174578</v>
      </c>
      <c r="BV91">
        <f>IF(AZ91&lt;&gt;-999,AZ91*$BU91, -999)</f>
        <v>5279210.8116037138</v>
      </c>
      <c r="BW91">
        <f>IF(BA91&lt;&gt;-999,BA91*$BU91, -999)</f>
        <v>308079.31911230477</v>
      </c>
      <c r="BX91" s="25">
        <f>IF(BB91&lt;&gt;-999,BB91*$BU91, -999)</f>
        <v>5587290.1307160174</v>
      </c>
      <c r="BY91">
        <f>-25.245-(0.1023*E91)+F91*(100-8.576-13.681)</f>
        <v>16.407198698174575</v>
      </c>
      <c r="BZ91">
        <f>IF(BC91&lt;&gt;-999,BC91*$BY91, -999)</f>
        <v>9617989.9009361323</v>
      </c>
      <c r="CA91">
        <f>IF(BD91&lt;&gt;-999,BD91*$BY91, -999)</f>
        <v>561275.49266403378</v>
      </c>
      <c r="CB91" s="25">
        <f>IF(BE91&lt;&gt;-999,BE91*$BY91, -999)</f>
        <v>10179268.124881061</v>
      </c>
      <c r="CC91">
        <f>-29.317-(0.1023*E91)+F91*(100-8.576-13.681)</f>
        <v>12.33519869817458</v>
      </c>
      <c r="CD91">
        <f>IF(BF91&lt;&gt;-999,BF91*$CC91, -999)</f>
        <v>3766019.9804849806</v>
      </c>
      <c r="CE91">
        <f>IF(BG91&lt;&gt;-999,BG91*$CC91, -999)</f>
        <v>219773.58312569122</v>
      </c>
      <c r="CF91" s="25">
        <f>IF(BH91&lt;&gt;-999,BH91*$CC91, -999)</f>
        <v>3985793.563610672</v>
      </c>
      <c r="CG91">
        <f>-38.03-(0.1023*E91)+F91*(100-8.576-13.681)</f>
        <v>3.6221986981745715</v>
      </c>
      <c r="CH91">
        <f>IF(BI91&lt;&gt;-999,BI91*$CG91, -999)</f>
        <v>3381580.9919675631</v>
      </c>
      <c r="CI91">
        <f>IF(BJ91&lt;&gt;-999,BJ91*$CG91, -999)</f>
        <v>197338.45464580262</v>
      </c>
      <c r="CJ91" s="25">
        <f>IF(BK91&lt;&gt;-999,BK91*$CG91, -999)</f>
        <v>3578919.4466133658</v>
      </c>
      <c r="CK91" s="26">
        <f t="shared" si="45"/>
        <v>31287556.856594108</v>
      </c>
      <c r="CL91">
        <f t="shared" si="46"/>
        <v>-25.473718899767775</v>
      </c>
      <c r="CM91">
        <f t="shared" si="47"/>
        <v>33.023583357100726</v>
      </c>
      <c r="CN91">
        <f t="shared" si="48"/>
        <v>-82.960560549932737</v>
      </c>
      <c r="CO91" s="22">
        <f t="shared" si="49"/>
        <v>-40.08</v>
      </c>
      <c r="CP91">
        <f>IF(AT91&lt;&gt;-999,AT91*$CO91, -999)</f>
        <v>-8418972.9466242101</v>
      </c>
      <c r="CQ91">
        <f>IF(AU91&lt;&gt;-999,AU91*$CO91, -999)</f>
        <v>-491303.46965240879</v>
      </c>
      <c r="CR91" s="27">
        <f>IF(AV91&lt;&gt;-999,AV91*$CO91, -999)</f>
        <v>-8910283.0883319955</v>
      </c>
      <c r="CS91">
        <f t="shared" si="50"/>
        <v>-42.853000000000002</v>
      </c>
      <c r="CT91">
        <f>IF(AW91&lt;&gt;-999,AW91*$CS91, -999)</f>
        <v>-4688128.2161770687</v>
      </c>
      <c r="CU91">
        <f>IF(AX91&lt;&gt;-999,AX91*$CS91, -999)</f>
        <v>-273583.46947289683</v>
      </c>
      <c r="CV91" s="27">
        <f>IF(AY91&lt;&gt;-999,AY91*$CS91, -999)</f>
        <v>-4961711.6856499659</v>
      </c>
      <c r="CW91">
        <f t="shared" si="51"/>
        <v>-48.780999999999999</v>
      </c>
      <c r="CX91">
        <f>IF(AZ91&lt;&gt;-999,AZ91*$CO91, -999)</f>
        <v>-13407775.503995884</v>
      </c>
      <c r="CY91">
        <f>IF(BA91&lt;&gt;-999,BA91*$CO91, -999)</f>
        <v>-782438.60597544187</v>
      </c>
      <c r="CZ91" s="27">
        <f>IF(BB91&lt;&gt;-999,BB91*$CO91, -999)</f>
        <v>-14190214.109971324</v>
      </c>
      <c r="DA91">
        <f t="shared" si="52"/>
        <v>-48.155000000000001</v>
      </c>
      <c r="DB91">
        <f>IF(BC91&lt;&gt;-999,BC91*$DA91, -999)</f>
        <v>-28228725.219930988</v>
      </c>
      <c r="DC91">
        <f>IF(BD91&lt;&gt;-999,BD91*$DA91, -999)</f>
        <v>-1647339.1860759046</v>
      </c>
      <c r="DD91" s="27">
        <f>IF(BE91&lt;&gt;-999,BE91*$DA91, -999)</f>
        <v>-29876072.422294978</v>
      </c>
      <c r="DE91">
        <f t="shared" si="53"/>
        <v>-52.227000000000004</v>
      </c>
      <c r="DF91">
        <f>IF(BF91&lt;&gt;-999,BF91*$DE91, -999)</f>
        <v>-15945257.983553674</v>
      </c>
      <c r="DG91">
        <f>IF(BG91&lt;&gt;-999,BG91*$DE91, -999)</f>
        <v>-930517.23014433985</v>
      </c>
      <c r="DH91" s="27">
        <f>IF(BH91&lt;&gt;-999,BH91*$DE91, -999)</f>
        <v>-16875775.213698015</v>
      </c>
      <c r="DI91">
        <f t="shared" si="54"/>
        <v>-60.94</v>
      </c>
      <c r="DJ91">
        <f>IF(BI91&lt;&gt;-999,BI91*$DI91, -999)</f>
        <v>-56891839.13470988</v>
      </c>
      <c r="DK91">
        <f>IF(BJ91&lt;&gt;-999,BJ91*$DI91, -999)</f>
        <v>-3320029.1944712163</v>
      </c>
      <c r="DL91" s="27">
        <f>IF(BK91&lt;&gt;-999,BK91*$DI91, -999)</f>
        <v>-60211868.329181097</v>
      </c>
      <c r="DM91" s="28">
        <f t="shared" si="55"/>
        <v>-135025924.84912738</v>
      </c>
      <c r="DN91" s="22">
        <f t="shared" si="56"/>
        <v>-17.170000000000002</v>
      </c>
      <c r="DO91">
        <f>IF(AT91&lt;&gt;-999,AT91*$DN91, -999)</f>
        <v>-3606630.8755872683</v>
      </c>
      <c r="DP91">
        <f>IF(AU91&lt;&gt;-999,AU91*$DN91, -999)</f>
        <v>-210471.07220388873</v>
      </c>
      <c r="DQ91" s="24">
        <f>IF(AV91&lt;&gt;-999,AV91*$DN91, -999)</f>
        <v>-3817104.8060544007</v>
      </c>
      <c r="DR91">
        <f t="shared" si="57"/>
        <v>-19.943000000000001</v>
      </c>
      <c r="DS91">
        <f>IF(AW91&lt;&gt;-999,AW91*$DR91, -999)</f>
        <v>-2181768.8613450467</v>
      </c>
      <c r="DT91">
        <f>IF(AX91&lt;&gt;-999,AX91*$DR91, -999)</f>
        <v>-127320.72740993586</v>
      </c>
      <c r="DU91" s="24">
        <f>IF(AY91&lt;&gt;-999,AY91*$DR91, -999)</f>
        <v>-2309089.5887549827</v>
      </c>
      <c r="DV91">
        <f t="shared" si="58"/>
        <v>-25.870999999999999</v>
      </c>
      <c r="DW91">
        <f>IF(AZ91&lt;&gt;-999,AZ91*$DV91, -999)</f>
        <v>-8654504.9916137103</v>
      </c>
      <c r="DX91">
        <f>IF(BA91&lt;&gt;-999,BA91*$DV91, -999)</f>
        <v>-505051.62612751138</v>
      </c>
      <c r="DY91" s="24">
        <f>IF(BB91&lt;&gt;-999,BB91*$DV91, -999)</f>
        <v>-9159556.6177412197</v>
      </c>
      <c r="DZ91">
        <f t="shared" si="59"/>
        <v>-25.245000000000001</v>
      </c>
      <c r="EA91">
        <f>IF(BC91&lt;&gt;-999, BC91*$DZ91, -999)</f>
        <v>-14798757.515879095</v>
      </c>
      <c r="EB91">
        <f>IF(BD91&lt;&gt;-999, BD91*$DZ91, -999)</f>
        <v>-863608.71669579926</v>
      </c>
      <c r="EC91" s="24">
        <f>IF(BE91&lt;&gt;-999, BE91*$DZ91, -999)</f>
        <v>-15662370.435070848</v>
      </c>
      <c r="ED91">
        <f t="shared" si="60"/>
        <v>-29.317</v>
      </c>
      <c r="EE91">
        <f>IF(BF91&lt;&gt;-999,BF91*$ED91, -999)</f>
        <v>-8950679.3096261136</v>
      </c>
      <c r="EF91">
        <f>IF(BG91&lt;&gt;-999,BG91*$ED91, -999)</f>
        <v>-522334.68581656244</v>
      </c>
      <c r="EG91" s="24">
        <f>IF(BH91&lt;&gt;-999,BH91*$ED91, -999)</f>
        <v>-9473013.9954426754</v>
      </c>
      <c r="EH91">
        <f t="shared" si="61"/>
        <v>-38.03</v>
      </c>
      <c r="EI91">
        <f>IF(BI91&lt;&gt;-999,BI91*$EH91, -999)</f>
        <v>-35503719.105563127</v>
      </c>
      <c r="EJ91">
        <f>IF(BJ91&lt;&gt;-999,BJ91*$EH91, -999)</f>
        <v>-2071885.6295658082</v>
      </c>
      <c r="EK91" s="24">
        <f>IF(BK91&lt;&gt;-999,BK91*$EH91, -999)</f>
        <v>-37575604.735128939</v>
      </c>
      <c r="EL91" s="28">
        <f t="shared" si="62"/>
        <v>-77996740.178193063</v>
      </c>
      <c r="EM91" s="22">
        <f>-17.17-(0.1023*G91)+H91*(100+102.093-66.644-64.243)</f>
        <v>38.791649240778042</v>
      </c>
      <c r="EN91">
        <f>IF(AT91&lt;&gt;-999,AT91*$EM91, -999)</f>
        <v>8148349.4389482522</v>
      </c>
      <c r="EO91">
        <f>IF(AU91&lt;&gt;-999,AU91*$EM91, -999)</f>
        <v>475510.77508816076</v>
      </c>
      <c r="EP91" s="23">
        <f>IF(AV91&lt;&gt;-999,AV91*$EM91, -999)</f>
        <v>8623866.6716220379</v>
      </c>
      <c r="EQ91">
        <f>-19.943-(0.1023*G91)+H91*(100+102.093-66.644-64.243)</f>
        <v>36.018649240778039</v>
      </c>
      <c r="ER91">
        <f>IF(AW91&lt;&gt;-999,AW91*$EQ91, -999)</f>
        <v>3940448.6457021977</v>
      </c>
      <c r="ES91">
        <f>IF(AX91&lt;&gt;-999,AX91*$EQ91, -999)</f>
        <v>229951.39255173213</v>
      </c>
      <c r="ET91" s="23">
        <f>IF(AY91&lt;&gt;-999,AY91*$EQ91, -999)</f>
        <v>4170400.0382539295</v>
      </c>
      <c r="EU91">
        <f>-25.871-(0.1023*G91)+H91*(100+102.093-66.644-64.243)</f>
        <v>30.090649240778042</v>
      </c>
      <c r="EV91">
        <f>IF(AZ91&lt;&gt;-999,AZ91*$EU91, -999)</f>
        <v>10066084.575594716</v>
      </c>
      <c r="EW91">
        <f>IF(BA91&lt;&gt;-999,BA91*$EU91, -999)</f>
        <v>587427.28654816269</v>
      </c>
      <c r="EX91" s="23">
        <f>IF(BB91&lt;&gt;-999,BB91*$EU91, -999)</f>
        <v>10653511.862142876</v>
      </c>
      <c r="EY91">
        <f>-25.245-(0.1023*G91)+H91*(100+102.093-66.644-64.243)</f>
        <v>30.71664924077804</v>
      </c>
      <c r="EZ91">
        <f>IF(BC91&lt;&gt;-999, BC91*$EY91, -999)</f>
        <v>18006268.323017858</v>
      </c>
      <c r="FA91">
        <f>IF(BD91&lt;&gt;-999, BD91*$EY91, -999)</f>
        <v>1050788.9099632925</v>
      </c>
      <c r="FB91" s="23">
        <f>IF(BE91&lt;&gt;-999, BE91*$EY91, -999)</f>
        <v>19057062.346334063</v>
      </c>
      <c r="FC91">
        <f>-29.317-(0.1023*G91)+H91*(100+102.093-66.644-64.243)</f>
        <v>26.644649240778044</v>
      </c>
      <c r="FD91">
        <f>IF(BF91&lt;&gt;-999,BF91*$FC91, -999)</f>
        <v>8134792.4641565364</v>
      </c>
      <c r="FE91">
        <f>IF(BG91&lt;&gt;-999,BG91*$FC91, -999)</f>
        <v>474721.9868975103</v>
      </c>
      <c r="FF91" s="23">
        <f>IF(BH91&lt;&gt;-999,BH91*$FC91, -999)</f>
        <v>8609514.4510540459</v>
      </c>
      <c r="FG91">
        <f>-38.03-(0.1023*G91)+H91*(100+102.093-66.644-64.243)</f>
        <v>17.931649240778043</v>
      </c>
      <c r="FH91">
        <f>IF(BI91&lt;&gt;-999,BI91*$FG91, -999)</f>
        <v>16740474.303025715</v>
      </c>
      <c r="FI91">
        <f>IF(BJ91&lt;&gt;-999,BJ91*$FG91, -999)</f>
        <v>976921.54552675947</v>
      </c>
      <c r="FJ91" s="23">
        <f>IF(BK91&lt;&gt;-999,BK91*$FG91, -999)</f>
        <v>17717395.848552473</v>
      </c>
      <c r="FK91" s="28">
        <f t="shared" si="63"/>
        <v>68831751.217959419</v>
      </c>
      <c r="FL91" s="22">
        <f t="shared" si="66"/>
        <v>10.012280000000011</v>
      </c>
      <c r="FM91">
        <f>IF(AT91&lt;&gt;-999,AT91*$FL91, -999)</f>
        <v>2103121.6181144398</v>
      </c>
      <c r="FN91">
        <f>IF(AU91&lt;&gt;-999,AU91*$FL91, -999)</f>
        <v>122731.23510806949</v>
      </c>
      <c r="FO91" s="29">
        <f>IF(AV91&lt;&gt;-999,AV91*$FL91, -999)</f>
        <v>2225854.5199512169</v>
      </c>
      <c r="FP91">
        <f t="shared" si="67"/>
        <v>7.2392800000000115</v>
      </c>
      <c r="FQ91">
        <f>IF(AW91&lt;&gt;-999,AW91*$FP91, -999)</f>
        <v>791978.92406147486</v>
      </c>
      <c r="FR91">
        <f>IF(AX91&lt;&gt;-999,AX91*$FP91, -999)</f>
        <v>46217.238907095314</v>
      </c>
      <c r="FS91" s="29">
        <f>IF(AY91&lt;&gt;-999,AY91*$FP91, -999)</f>
        <v>838196.16296857013</v>
      </c>
      <c r="FT91">
        <f t="shared" si="68"/>
        <v>1.3112800000000142</v>
      </c>
      <c r="FU91">
        <f>IF(AZ91&lt;&gt;-999,AZ91*$FT91, -999)</f>
        <v>438656.38380438904</v>
      </c>
      <c r="FV91">
        <f>IF(BA91&lt;&gt;-999,BA91*$FT91, -999)</f>
        <v>25598.704971144925</v>
      </c>
      <c r="FW91" s="29">
        <f>IF(BB91&lt;&gt;-999,BB91*$FT91, -999)</f>
        <v>464255.08877553389</v>
      </c>
      <c r="FX91">
        <f t="shared" si="69"/>
        <v>1.9372800000000119</v>
      </c>
      <c r="FY91">
        <f>IF(BC91&lt;&gt;-999, BC91*$FX91, -999)</f>
        <v>1135644.1655916984</v>
      </c>
      <c r="FZ91">
        <f>IF(BD91&lt;&gt;-999, BD91*$FX91, -999)</f>
        <v>66272.604265416841</v>
      </c>
      <c r="GA91" s="29">
        <f>IF(BE91&lt;&gt;-999, BE91*$FX91, -999)</f>
        <v>1201917.092353109</v>
      </c>
      <c r="GB91">
        <f t="shared" si="70"/>
        <v>-2.1347199999999873</v>
      </c>
      <c r="GC91">
        <f>IF(BF91&lt;&gt;-999,BF91*$GB91, -999)</f>
        <v>-651744.52146689442</v>
      </c>
      <c r="GD91">
        <f>IF(BG91&lt;&gt;-999,BG91*$GB91, -999)</f>
        <v>-38033.847273129089</v>
      </c>
      <c r="GE91" s="29">
        <f>IF(BH91&lt;&gt;-999,BH91*$GB91, -999)</f>
        <v>-689778.36874002346</v>
      </c>
      <c r="GF91">
        <f t="shared" si="71"/>
        <v>-10.847719999999988</v>
      </c>
      <c r="GG91">
        <f>IF(BI91&lt;&gt;-999,BI91*$GF91, -999)</f>
        <v>-10127120.794525344</v>
      </c>
      <c r="GH91">
        <f>IF(BJ91&lt;&gt;-999,BJ91*$GF91, -999)</f>
        <v>-590986.9887339886</v>
      </c>
      <c r="GI91" s="29">
        <f>IF(BK91&lt;&gt;-999,BK91*$GF91, -999)</f>
        <v>-10718107.783259332</v>
      </c>
      <c r="GJ91" s="30">
        <f t="shared" si="64"/>
        <v>-6677663.2879509255</v>
      </c>
    </row>
    <row r="92" spans="1:192">
      <c r="A92" s="48" t="s">
        <v>161</v>
      </c>
      <c r="B92" s="48" t="s">
        <v>229</v>
      </c>
      <c r="C92" s="49">
        <v>44</v>
      </c>
      <c r="D92" s="50">
        <v>0.76</v>
      </c>
      <c r="E92" s="49">
        <v>89.299370552933198</v>
      </c>
      <c r="F92" s="49">
        <v>0.793297984484438</v>
      </c>
      <c r="G92" s="49">
        <v>54.194035192785499</v>
      </c>
      <c r="H92" s="49">
        <v>0.81958064093794902</v>
      </c>
      <c r="I92" s="42">
        <v>1622.7</v>
      </c>
      <c r="J92" s="43">
        <v>-999</v>
      </c>
      <c r="K92" s="43">
        <f t="shared" si="39"/>
        <v>1622.7</v>
      </c>
      <c r="L92" s="43">
        <v>653.79999999999995</v>
      </c>
      <c r="M92" s="43">
        <v>-999</v>
      </c>
      <c r="N92" s="43">
        <f t="shared" si="40"/>
        <v>653.79999999999995</v>
      </c>
      <c r="O92" s="43">
        <v>2867.5</v>
      </c>
      <c r="P92" s="43">
        <v>-999</v>
      </c>
      <c r="Q92" s="43">
        <f t="shared" si="41"/>
        <v>2867.5</v>
      </c>
      <c r="R92" s="43">
        <v>7285.5</v>
      </c>
      <c r="S92" s="43">
        <v>-999</v>
      </c>
      <c r="T92" s="43">
        <f t="shared" si="42"/>
        <v>7285.5</v>
      </c>
      <c r="U92" s="43">
        <v>2935.4</v>
      </c>
      <c r="V92" s="43">
        <v>-999</v>
      </c>
      <c r="W92" s="43">
        <f t="shared" si="43"/>
        <v>2935.4</v>
      </c>
      <c r="X92" s="43">
        <v>12874.6</v>
      </c>
      <c r="Y92" s="43">
        <v>-999</v>
      </c>
      <c r="Z92" s="43">
        <f t="shared" si="44"/>
        <v>12874.6</v>
      </c>
      <c r="AA92" s="22">
        <v>13362.4</v>
      </c>
      <c r="AB92">
        <v>-999</v>
      </c>
      <c r="AC92">
        <v>13362.4</v>
      </c>
      <c r="AD92">
        <v>5384</v>
      </c>
      <c r="AE92">
        <v>-999</v>
      </c>
      <c r="AF92">
        <v>5384</v>
      </c>
      <c r="AG92">
        <v>23613.7</v>
      </c>
      <c r="AH92">
        <v>-999</v>
      </c>
      <c r="AI92">
        <v>23613.7</v>
      </c>
      <c r="AJ92">
        <v>59995.3</v>
      </c>
      <c r="AK92">
        <v>-999</v>
      </c>
      <c r="AL92">
        <v>59995.3</v>
      </c>
      <c r="AM92">
        <v>24173.200000000001</v>
      </c>
      <c r="AN92">
        <v>-999</v>
      </c>
      <c r="AO92">
        <v>24173.200000000001</v>
      </c>
      <c r="AP92">
        <v>106021.7</v>
      </c>
      <c r="AQ92">
        <v>-999</v>
      </c>
      <c r="AR92">
        <v>106021.7</v>
      </c>
      <c r="AS92">
        <v>232550.2</v>
      </c>
      <c r="AT92" s="22">
        <f t="shared" si="74"/>
        <v>22244.179828739998</v>
      </c>
      <c r="AU92">
        <f t="shared" si="74"/>
        <v>-999</v>
      </c>
      <c r="AV92">
        <f t="shared" si="74"/>
        <v>22244.179828739998</v>
      </c>
      <c r="AW92">
        <f t="shared" si="74"/>
        <v>8962.6612133999988</v>
      </c>
      <c r="AX92">
        <f t="shared" si="74"/>
        <v>-999</v>
      </c>
      <c r="AY92">
        <f t="shared" si="74"/>
        <v>8962.6612133999988</v>
      </c>
      <c r="AZ92">
        <f t="shared" si="74"/>
        <v>39309.359787307498</v>
      </c>
      <c r="BA92">
        <f t="shared" si="74"/>
        <v>-999</v>
      </c>
      <c r="BB92">
        <f t="shared" si="73"/>
        <v>39309.359787307498</v>
      </c>
      <c r="BC92">
        <f t="shared" si="73"/>
        <v>99873.244482967508</v>
      </c>
      <c r="BD92">
        <f t="shared" si="73"/>
        <v>-999</v>
      </c>
      <c r="BE92">
        <f t="shared" si="73"/>
        <v>99873.244482967508</v>
      </c>
      <c r="BF92">
        <f t="shared" si="73"/>
        <v>40240.750751070002</v>
      </c>
      <c r="BG92">
        <f t="shared" si="65"/>
        <v>-999</v>
      </c>
      <c r="BH92">
        <f t="shared" si="65"/>
        <v>40240.750751070002</v>
      </c>
      <c r="BI92">
        <f t="shared" si="65"/>
        <v>176492.67800310749</v>
      </c>
      <c r="BJ92">
        <f t="shared" si="38"/>
        <v>-999</v>
      </c>
      <c r="BK92">
        <f t="shared" si="38"/>
        <v>176492.67800310749</v>
      </c>
      <c r="BL92">
        <f t="shared" si="38"/>
        <v>387122.70759814506</v>
      </c>
      <c r="BM92" s="22">
        <f>-17.17-(0.1023*E92)+F92*(100-8.576-13.681)</f>
        <v>35.368039600208604</v>
      </c>
      <c r="BN92">
        <f>IF(AT92&lt;&gt;-999,AT92*$BM92, -999)</f>
        <v>786733.03305703774</v>
      </c>
      <c r="BO92">
        <f>IF(AU92&lt;&gt;-999,AU92*$BM92, -999)</f>
        <v>-999</v>
      </c>
      <c r="BP92" s="25">
        <f>IF(AV92&lt;&gt;-999,AV92*$BM92, -999)</f>
        <v>786733.03305703774</v>
      </c>
      <c r="BQ92">
        <f>-19.943-(0.1023*E92)+F92*(100-8.576-13.681)</f>
        <v>32.595039600208601</v>
      </c>
      <c r="BR92">
        <f>IF(AW92&lt;&gt;-999,AW92*$BQ92, -999)</f>
        <v>292138.29717402661</v>
      </c>
      <c r="BS92">
        <f>IF(AX92&lt;&gt;-999,AX92*$BQ92, -999)</f>
        <v>-999</v>
      </c>
      <c r="BT92" s="25">
        <f>IF(AY92&lt;&gt;-999,AY92*$BQ92, -999)</f>
        <v>292138.29717402661</v>
      </c>
      <c r="BU92">
        <f>-25.871-(0.1023*E92)+F92*(100-8.576-13.681)</f>
        <v>26.667039600208604</v>
      </c>
      <c r="BV92">
        <f>IF(AZ92&lt;&gt;-999,AZ92*$BU92, -999)</f>
        <v>1048264.2541069767</v>
      </c>
      <c r="BW92">
        <f>IF(BA92&lt;&gt;-999,BA92*$BU92, -999)</f>
        <v>-999</v>
      </c>
      <c r="BX92" s="25">
        <f>IF(BB92&lt;&gt;-999,BB92*$BU92, -999)</f>
        <v>1048264.2541069767</v>
      </c>
      <c r="BY92">
        <f>-25.245-(0.1023*E92)+F92*(100-8.576-13.681)</f>
        <v>27.293039600208601</v>
      </c>
      <c r="BZ92">
        <f>IF(BC92&lt;&gt;-999,BC92*$BY92, -999)</f>
        <v>2725844.4166749474</v>
      </c>
      <c r="CA92">
        <f>IF(BD92&lt;&gt;-999,BD92*$BY92, -999)</f>
        <v>-999</v>
      </c>
      <c r="CB92" s="25">
        <f>IF(BE92&lt;&gt;-999,BE92*$BY92, -999)</f>
        <v>2725844.4166749474</v>
      </c>
      <c r="CC92">
        <f>-29.317-(0.1023*E92)+F92*(100-8.576-13.681)</f>
        <v>23.221039600208606</v>
      </c>
      <c r="CD92">
        <f>IF(BF92&lt;&gt;-999,BF92*$CC92, -999)</f>
        <v>934432.0667327207</v>
      </c>
      <c r="CE92">
        <f>IF(BG92&lt;&gt;-999,BG92*$CC92, -999)</f>
        <v>-999</v>
      </c>
      <c r="CF92" s="25">
        <f>IF(BH92&lt;&gt;-999,BH92*$CC92, -999)</f>
        <v>934432.0667327207</v>
      </c>
      <c r="CG92">
        <f>-38.03-(0.1023*E92)+F92*(100-8.576-13.681)</f>
        <v>14.508039600208605</v>
      </c>
      <c r="CH92">
        <f>IF(BI92&lt;&gt;-999,BI92*$CG92, -999)</f>
        <v>2560562.7616159497</v>
      </c>
      <c r="CI92">
        <f>IF(BJ92&lt;&gt;-999,BJ92*$CG92, -999)</f>
        <v>-999</v>
      </c>
      <c r="CJ92" s="25">
        <f>IF(BK92&lt;&gt;-999,BK92*$CG92, -999)</f>
        <v>2560562.7616159497</v>
      </c>
      <c r="CK92" s="26">
        <f t="shared" si="45"/>
        <v>8347974.8293616585</v>
      </c>
      <c r="CL92">
        <f t="shared" si="46"/>
        <v>-36.59815317775378</v>
      </c>
      <c r="CM92">
        <f t="shared" si="47"/>
        <v>20.688012788663713</v>
      </c>
      <c r="CN92">
        <f t="shared" si="48"/>
        <v>-92.894779254554422</v>
      </c>
      <c r="CO92" s="22">
        <f t="shared" si="49"/>
        <v>-40.08</v>
      </c>
      <c r="CP92">
        <f>IF(AT92&lt;&gt;-999,AT92*$CO92, -999)</f>
        <v>-891546.72753589903</v>
      </c>
      <c r="CQ92">
        <f>IF(AU92&lt;&gt;-999,AU92*$CO92, -999)</f>
        <v>-999</v>
      </c>
      <c r="CR92" s="27">
        <f>IF(AV92&lt;&gt;-999,AV92*$CO92, -999)</f>
        <v>-891546.72753589903</v>
      </c>
      <c r="CS92">
        <f t="shared" si="50"/>
        <v>-42.853000000000002</v>
      </c>
      <c r="CT92">
        <f>IF(AW92&lt;&gt;-999,AW92*$CS92, -999)</f>
        <v>-384076.92097783019</v>
      </c>
      <c r="CU92">
        <f>IF(AX92&lt;&gt;-999,AX92*$CS92, -999)</f>
        <v>-999</v>
      </c>
      <c r="CV92" s="27">
        <f>IF(AY92&lt;&gt;-999,AY92*$CS92, -999)</f>
        <v>-384076.92097783019</v>
      </c>
      <c r="CW92">
        <f t="shared" si="51"/>
        <v>-48.780999999999999</v>
      </c>
      <c r="CX92">
        <f>IF(AZ92&lt;&gt;-999,AZ92*$CO92, -999)</f>
        <v>-1575519.1402752844</v>
      </c>
      <c r="CY92">
        <f>IF(BA92&lt;&gt;-999,BA92*$CO92, -999)</f>
        <v>-999</v>
      </c>
      <c r="CZ92" s="27">
        <f>IF(BB92&lt;&gt;-999,BB92*$CO92, -999)</f>
        <v>-1575519.1402752844</v>
      </c>
      <c r="DA92">
        <f t="shared" si="52"/>
        <v>-48.155000000000001</v>
      </c>
      <c r="DB92">
        <f>IF(BC92&lt;&gt;-999,BC92*$DA92, -999)</f>
        <v>-4809396.0880773002</v>
      </c>
      <c r="DC92">
        <f>IF(BD92&lt;&gt;-999,BD92*$DA92, -999)</f>
        <v>-999</v>
      </c>
      <c r="DD92" s="27">
        <f>IF(BE92&lt;&gt;-999,BE92*$DA92, -999)</f>
        <v>-4809396.0880773002</v>
      </c>
      <c r="DE92">
        <f t="shared" si="53"/>
        <v>-52.227000000000004</v>
      </c>
      <c r="DF92">
        <f>IF(BF92&lt;&gt;-999,BF92*$DE92, -999)</f>
        <v>-2101653.6894761333</v>
      </c>
      <c r="DG92">
        <f>IF(BG92&lt;&gt;-999,BG92*$DE92, -999)</f>
        <v>-999</v>
      </c>
      <c r="DH92" s="27">
        <f>IF(BH92&lt;&gt;-999,BH92*$DE92, -999)</f>
        <v>-2101653.6894761333</v>
      </c>
      <c r="DI92">
        <f t="shared" si="54"/>
        <v>-60.94</v>
      </c>
      <c r="DJ92">
        <f>IF(BI92&lt;&gt;-999,BI92*$DI92, -999)</f>
        <v>-10755463.79750937</v>
      </c>
      <c r="DK92">
        <f>IF(BJ92&lt;&gt;-999,BJ92*$DI92, -999)</f>
        <v>-999</v>
      </c>
      <c r="DL92" s="27">
        <f>IF(BK92&lt;&gt;-999,BK92*$DI92, -999)</f>
        <v>-10755463.79750937</v>
      </c>
      <c r="DM92" s="28">
        <f t="shared" si="55"/>
        <v>-20517656.363851815</v>
      </c>
      <c r="DN92" s="22">
        <f t="shared" si="56"/>
        <v>-17.170000000000002</v>
      </c>
      <c r="DO92">
        <f>IF(AT92&lt;&gt;-999,AT92*$DN92, -999)</f>
        <v>-381932.56765946583</v>
      </c>
      <c r="DP92">
        <f>IF(AU92&lt;&gt;-999,AU92*$DN92, -999)</f>
        <v>-999</v>
      </c>
      <c r="DQ92" s="24">
        <f>IF(AV92&lt;&gt;-999,AV92*$DN92, -999)</f>
        <v>-381932.56765946583</v>
      </c>
      <c r="DR92">
        <f t="shared" si="57"/>
        <v>-19.943000000000001</v>
      </c>
      <c r="DS92">
        <f>IF(AW92&lt;&gt;-999,AW92*$DR92, -999)</f>
        <v>-178742.3525788362</v>
      </c>
      <c r="DT92">
        <f>IF(AX92&lt;&gt;-999,AX92*$DR92, -999)</f>
        <v>-999</v>
      </c>
      <c r="DU92" s="24">
        <f>IF(AY92&lt;&gt;-999,AY92*$DR92, -999)</f>
        <v>-178742.3525788362</v>
      </c>
      <c r="DV92">
        <f t="shared" si="58"/>
        <v>-25.870999999999999</v>
      </c>
      <c r="DW92">
        <f>IF(AZ92&lt;&gt;-999,AZ92*$DV92, -999)</f>
        <v>-1016972.4470574323</v>
      </c>
      <c r="DX92">
        <f>IF(BA92&lt;&gt;-999,BA92*$DV92, -999)</f>
        <v>-999</v>
      </c>
      <c r="DY92" s="24">
        <f>IF(BB92&lt;&gt;-999,BB92*$DV92, -999)</f>
        <v>-1016972.4470574323</v>
      </c>
      <c r="DZ92">
        <f t="shared" si="59"/>
        <v>-25.245000000000001</v>
      </c>
      <c r="EA92">
        <f>IF(BC92&lt;&gt;-999, BC92*$DZ92, -999)</f>
        <v>-2521300.0569725148</v>
      </c>
      <c r="EB92">
        <f>IF(BD92&lt;&gt;-999, BD92*$DZ92, -999)</f>
        <v>-999</v>
      </c>
      <c r="EC92" s="24">
        <f>IF(BE92&lt;&gt;-999, BE92*$DZ92, -999)</f>
        <v>-2521300.0569725148</v>
      </c>
      <c r="ED92">
        <f t="shared" si="60"/>
        <v>-29.317</v>
      </c>
      <c r="EE92">
        <f>IF(BF92&lt;&gt;-999,BF92*$ED92, -999)</f>
        <v>-1179738.0897691192</v>
      </c>
      <c r="EF92">
        <f>IF(BG92&lt;&gt;-999,BG92*$ED92, -999)</f>
        <v>-999</v>
      </c>
      <c r="EG92" s="24">
        <f>IF(BH92&lt;&gt;-999,BH92*$ED92, -999)</f>
        <v>-1179738.0897691192</v>
      </c>
      <c r="EH92">
        <f t="shared" si="61"/>
        <v>-38.03</v>
      </c>
      <c r="EI92">
        <f>IF(BI92&lt;&gt;-999,BI92*$EH92, -999)</f>
        <v>-6712016.5444581779</v>
      </c>
      <c r="EJ92">
        <f>IF(BJ92&lt;&gt;-999,BJ92*$EH92, -999)</f>
        <v>-999</v>
      </c>
      <c r="EK92" s="24">
        <f>IF(BK92&lt;&gt;-999,BK92*$EH92, -999)</f>
        <v>-6712016.5444581779</v>
      </c>
      <c r="EL92" s="28">
        <f t="shared" si="62"/>
        <v>-11990702.058495548</v>
      </c>
      <c r="EM92" s="22">
        <f>-17.17-(0.1023*G92)+H92*(100+102.093-66.644-64.243)</f>
        <v>35.645009318405656</v>
      </c>
      <c r="EN92">
        <f>IF(AT92&lt;&gt;-999,AT92*$EM92, -999)</f>
        <v>792893.99727572838</v>
      </c>
      <c r="EO92">
        <f>IF(AU92&lt;&gt;-999,AU92*$EM92, -999)</f>
        <v>-999</v>
      </c>
      <c r="EP92" s="23">
        <f>IF(AV92&lt;&gt;-999,AV92*$EM92, -999)</f>
        <v>792893.99727572838</v>
      </c>
      <c r="EQ92">
        <f>-19.943-(0.1023*G92)+H92*(100+102.093-66.644-64.243)</f>
        <v>32.872009318405659</v>
      </c>
      <c r="ER92">
        <f>IF(AW92&lt;&gt;-999,AW92*$EQ92, -999)</f>
        <v>294620.68292459776</v>
      </c>
      <c r="ES92">
        <f>IF(AX92&lt;&gt;-999,AX92*$EQ92, -999)</f>
        <v>-999</v>
      </c>
      <c r="ET92" s="23">
        <f>IF(AY92&lt;&gt;-999,AY92*$EQ92, -999)</f>
        <v>294620.68292459776</v>
      </c>
      <c r="EU92">
        <f>-25.871-(0.1023*G92)+H92*(100+102.093-66.644-64.243)</f>
        <v>26.944009318405659</v>
      </c>
      <c r="EV92">
        <f>IF(AZ92&lt;&gt;-999,AZ92*$EU92, -999)</f>
        <v>1059151.7564097738</v>
      </c>
      <c r="EW92">
        <f>IF(BA92&lt;&gt;-999,BA92*$EU92, -999)</f>
        <v>-999</v>
      </c>
      <c r="EX92" s="23">
        <f>IF(BB92&lt;&gt;-999,BB92*$EU92, -999)</f>
        <v>1059151.7564097738</v>
      </c>
      <c r="EY92">
        <f>-25.245-(0.1023*G92)+H92*(100+102.093-66.644-64.243)</f>
        <v>27.570009318405656</v>
      </c>
      <c r="EZ92">
        <f>IF(BC92&lt;&gt;-999, BC92*$EY92, -999)</f>
        <v>2753506.2810548204</v>
      </c>
      <c r="FA92">
        <f>IF(BD92&lt;&gt;-999, BD92*$EY92, -999)</f>
        <v>-999</v>
      </c>
      <c r="FB92" s="23">
        <f>IF(BE92&lt;&gt;-999, BE92*$EY92, -999)</f>
        <v>2753506.2810548204</v>
      </c>
      <c r="FC92">
        <f>-29.317-(0.1023*G92)+H92*(100+102.093-66.644-64.243)</f>
        <v>23.498009318405657</v>
      </c>
      <c r="FD92">
        <f>IF(BF92&lt;&gt;-999,BF92*$FC92, -999)</f>
        <v>945577.53612828231</v>
      </c>
      <c r="FE92">
        <f>IF(BG92&lt;&gt;-999,BG92*$FC92, -999)</f>
        <v>-999</v>
      </c>
      <c r="FF92" s="23">
        <f>IF(BH92&lt;&gt;-999,BH92*$FC92, -999)</f>
        <v>945577.53612828231</v>
      </c>
      <c r="FG92">
        <f>-38.03-(0.1023*G92)+H92*(100+102.093-66.644-64.243)</f>
        <v>14.785009318405656</v>
      </c>
      <c r="FH92">
        <f>IF(BI92&lt;&gt;-999,BI92*$FG92, -999)</f>
        <v>2609445.8889063131</v>
      </c>
      <c r="FI92">
        <f>IF(BJ92&lt;&gt;-999,BJ92*$FG92, -999)</f>
        <v>-999</v>
      </c>
      <c r="FJ92" s="23">
        <f>IF(BK92&lt;&gt;-999,BK92*$FG92, -999)</f>
        <v>2609445.8889063131</v>
      </c>
      <c r="FK92" s="28">
        <f t="shared" si="63"/>
        <v>8455196.1426995154</v>
      </c>
      <c r="FL92" s="22">
        <f t="shared" si="66"/>
        <v>10.012280000000011</v>
      </c>
      <c r="FM92">
        <f>IF(AT92&lt;&gt;-999,AT92*$FL92, -999)</f>
        <v>222714.95681569717</v>
      </c>
      <c r="FN92">
        <f>IF(AU92&lt;&gt;-999,AU92*$FL92, -999)</f>
        <v>-999</v>
      </c>
      <c r="FO92" s="29">
        <f>IF(AV92&lt;&gt;-999,AV92*$FL92, -999)</f>
        <v>222714.95681569717</v>
      </c>
      <c r="FP92">
        <f t="shared" si="67"/>
        <v>7.2392800000000115</v>
      </c>
      <c r="FQ92">
        <f>IF(AW92&lt;&gt;-999,AW92*$FP92, -999)</f>
        <v>64883.214068942449</v>
      </c>
      <c r="FR92">
        <f>IF(AX92&lt;&gt;-999,AX92*$FP92, -999)</f>
        <v>-999</v>
      </c>
      <c r="FS92" s="29">
        <f>IF(AY92&lt;&gt;-999,AY92*$FP92, -999)</f>
        <v>64883.214068942449</v>
      </c>
      <c r="FT92">
        <f t="shared" si="68"/>
        <v>1.3112800000000142</v>
      </c>
      <c r="FU92">
        <f>IF(AZ92&lt;&gt;-999,AZ92*$FT92, -999)</f>
        <v>51545.577301901132</v>
      </c>
      <c r="FV92">
        <f>IF(BA92&lt;&gt;-999,BA92*$FT92, -999)</f>
        <v>-999</v>
      </c>
      <c r="FW92" s="29">
        <f>IF(BB92&lt;&gt;-999,BB92*$FT92, -999)</f>
        <v>51545.577301901132</v>
      </c>
      <c r="FX92">
        <f t="shared" si="69"/>
        <v>1.9372800000000119</v>
      </c>
      <c r="FY92">
        <f>IF(BC92&lt;&gt;-999, BC92*$FX92, -999)</f>
        <v>193482.43907196447</v>
      </c>
      <c r="FZ92">
        <f>IF(BD92&lt;&gt;-999, BD92*$FX92, -999)</f>
        <v>-999</v>
      </c>
      <c r="GA92" s="29">
        <f>IF(BE92&lt;&gt;-999, BE92*$FX92, -999)</f>
        <v>193482.43907196447</v>
      </c>
      <c r="GB92">
        <f t="shared" si="70"/>
        <v>-2.1347199999999873</v>
      </c>
      <c r="GC92">
        <f>IF(BF92&lt;&gt;-999,BF92*$GB92, -999)</f>
        <v>-85902.735443323647</v>
      </c>
      <c r="GD92">
        <f>IF(BG92&lt;&gt;-999,BG92*$GB92, -999)</f>
        <v>-999</v>
      </c>
      <c r="GE92" s="29">
        <f>IF(BH92&lt;&gt;-999,BH92*$GB92, -999)</f>
        <v>-85902.735443323647</v>
      </c>
      <c r="GF92">
        <f t="shared" si="71"/>
        <v>-10.847719999999988</v>
      </c>
      <c r="GG92">
        <f>IF(BI92&lt;&gt;-999,BI92*$GF92, -999)</f>
        <v>-1914543.1530278672</v>
      </c>
      <c r="GH92">
        <f>IF(BJ92&lt;&gt;-999,BJ92*$GF92, -999)</f>
        <v>-999</v>
      </c>
      <c r="GI92" s="29">
        <f>IF(BK92&lt;&gt;-999,BK92*$GF92, -999)</f>
        <v>-1914543.1530278672</v>
      </c>
      <c r="GJ92" s="30">
        <f t="shared" si="64"/>
        <v>-1467819.7012126856</v>
      </c>
    </row>
    <row r="93" spans="1:192">
      <c r="A93" s="48" t="s">
        <v>153</v>
      </c>
      <c r="B93" s="48" t="s">
        <v>230</v>
      </c>
      <c r="C93" s="49">
        <v>108</v>
      </c>
      <c r="D93" s="50">
        <v>0.75600000000000001</v>
      </c>
      <c r="E93" s="49">
        <v>184.90599288483199</v>
      </c>
      <c r="F93" s="49">
        <v>0.78351600272702604</v>
      </c>
      <c r="G93" s="49">
        <v>240.33954629229899</v>
      </c>
      <c r="H93" s="49">
        <v>0.80644077739049702</v>
      </c>
      <c r="I93" s="42">
        <v>106047.1</v>
      </c>
      <c r="J93" s="43">
        <v>92615.5</v>
      </c>
      <c r="K93" s="43">
        <f t="shared" si="39"/>
        <v>198662.6</v>
      </c>
      <c r="L93" s="43">
        <v>46818.1</v>
      </c>
      <c r="M93" s="43">
        <v>40888.300000000003</v>
      </c>
      <c r="N93" s="43">
        <f t="shared" si="40"/>
        <v>87706.4</v>
      </c>
      <c r="O93" s="43">
        <v>95345.1</v>
      </c>
      <c r="P93" s="43">
        <v>83269</v>
      </c>
      <c r="Q93" s="43">
        <f t="shared" si="41"/>
        <v>178614.1</v>
      </c>
      <c r="R93" s="43">
        <v>109953.5</v>
      </c>
      <c r="S93" s="43">
        <v>96027.199999999997</v>
      </c>
      <c r="T93" s="43">
        <f t="shared" si="42"/>
        <v>205980.7</v>
      </c>
      <c r="U93" s="43">
        <v>48542.8</v>
      </c>
      <c r="V93" s="43">
        <v>42394.5</v>
      </c>
      <c r="W93" s="43">
        <f t="shared" si="43"/>
        <v>90937.3</v>
      </c>
      <c r="X93" s="43">
        <v>98857.4</v>
      </c>
      <c r="Y93" s="43">
        <v>86336.4</v>
      </c>
      <c r="Z93" s="43">
        <f t="shared" si="44"/>
        <v>185193.8</v>
      </c>
      <c r="AA93" s="22">
        <v>1362397.7</v>
      </c>
      <c r="AB93">
        <v>913269.6</v>
      </c>
      <c r="AC93">
        <v>2275667.2999999998</v>
      </c>
      <c r="AD93">
        <v>601477.6</v>
      </c>
      <c r="AE93">
        <v>403194.5</v>
      </c>
      <c r="AF93">
        <v>1004672</v>
      </c>
      <c r="AG93">
        <v>1224908.8</v>
      </c>
      <c r="AH93">
        <v>821105.3</v>
      </c>
      <c r="AI93">
        <v>2046014.1</v>
      </c>
      <c r="AJ93">
        <v>1412584.4</v>
      </c>
      <c r="AK93">
        <v>946911.7</v>
      </c>
      <c r="AL93">
        <v>2359496.1</v>
      </c>
      <c r="AM93">
        <v>623634.19999999995</v>
      </c>
      <c r="AN93">
        <v>418046.9</v>
      </c>
      <c r="AO93">
        <v>1041681.1</v>
      </c>
      <c r="AP93">
        <v>1270030.8</v>
      </c>
      <c r="AQ93">
        <v>851352.4</v>
      </c>
      <c r="AR93">
        <v>2121383.2000000002</v>
      </c>
      <c r="AS93">
        <v>10848913.869999999</v>
      </c>
      <c r="AT93" s="22">
        <f t="shared" si="74"/>
        <v>2267962.2999657071</v>
      </c>
      <c r="AU93">
        <f t="shared" si="74"/>
        <v>1520305.72460946</v>
      </c>
      <c r="AV93">
        <f t="shared" si="74"/>
        <v>3788268.0245751673</v>
      </c>
      <c r="AW93">
        <f t="shared" si="74"/>
        <v>1001270.42278026</v>
      </c>
      <c r="AX93">
        <f t="shared" si="74"/>
        <v>671191.62455538753</v>
      </c>
      <c r="AY93">
        <f t="shared" si="74"/>
        <v>1672461.8808672</v>
      </c>
      <c r="AZ93">
        <f t="shared" si="74"/>
        <v>2039086.6626508802</v>
      </c>
      <c r="BA93">
        <f t="shared" si="74"/>
        <v>1366881.2452502174</v>
      </c>
      <c r="BB93">
        <f t="shared" si="73"/>
        <v>3405967.9079010976</v>
      </c>
      <c r="BC93">
        <f t="shared" si="73"/>
        <v>2351507.3203071901</v>
      </c>
      <c r="BD93">
        <f t="shared" si="73"/>
        <v>1576309.2061858575</v>
      </c>
      <c r="BE93">
        <f t="shared" si="73"/>
        <v>3927816.5264930478</v>
      </c>
      <c r="BF93">
        <f t="shared" si="73"/>
        <v>1038154.170819045</v>
      </c>
      <c r="BG93">
        <f t="shared" si="65"/>
        <v>695916.1842518776</v>
      </c>
      <c r="BH93">
        <f t="shared" si="65"/>
        <v>1734070.3550709223</v>
      </c>
      <c r="BI93">
        <f t="shared" si="65"/>
        <v>2114200.5555318301</v>
      </c>
      <c r="BJ93">
        <f t="shared" si="38"/>
        <v>1417233.1230339902</v>
      </c>
      <c r="BK93">
        <f t="shared" si="38"/>
        <v>3531433.6785658202</v>
      </c>
      <c r="BL93">
        <f t="shared" si="38"/>
        <v>18060018.490001168</v>
      </c>
      <c r="BM93" s="22">
        <f>-17.17-(0.1023*E93)+F93*(100-8.576-13.681)</f>
        <v>24.827001527888882</v>
      </c>
      <c r="BN93">
        <f>IF(AT93&lt;&gt;-999,AT93*$BM93, -999)</f>
        <v>56306703.486442991</v>
      </c>
      <c r="BO93">
        <f>IF(AU93&lt;&gt;-999,AU93*$BM93, -999)</f>
        <v>37744632.547737278</v>
      </c>
      <c r="BP93" s="25">
        <f>IF(AV93&lt;&gt;-999,AV93*$BM93, -999)</f>
        <v>94051336.034180284</v>
      </c>
      <c r="BQ93">
        <f>-19.943-(0.1023*E93)+F93*(100-8.576-13.681)</f>
        <v>22.054001527888879</v>
      </c>
      <c r="BR93">
        <f>IF(AW93&lt;&gt;-999,AW93*$BQ93, -999)</f>
        <v>22082019.433825798</v>
      </c>
      <c r="BS93">
        <f>IF(AX93&lt;&gt;-999,AX93*$BQ93, -999)</f>
        <v>14802461.113450736</v>
      </c>
      <c r="BT93" s="25">
        <f>IF(AY93&lt;&gt;-999,AY93*$BQ93, -999)</f>
        <v>36884476.875981137</v>
      </c>
      <c r="BU93">
        <f>-25.871-(0.1023*E93)+F93*(100-8.576-13.681)</f>
        <v>16.126001527888882</v>
      </c>
      <c r="BV93">
        <f>IF(AZ93&lt;&gt;-999,AZ93*$BU93, -999)</f>
        <v>32882314.637405936</v>
      </c>
      <c r="BW93">
        <f>IF(BA93&lt;&gt;-999,BA93*$BU93, -999)</f>
        <v>22042329.049347661</v>
      </c>
      <c r="BX93" s="25">
        <f>IF(BB93&lt;&gt;-999,BB93*$BU93, -999)</f>
        <v>54924643.686753593</v>
      </c>
      <c r="BY93">
        <f>-25.245-(0.1023*E93)+F93*(100-8.576-13.681)</f>
        <v>16.752001527888886</v>
      </c>
      <c r="BZ93">
        <f>IF(BC93&lt;&gt;-999,BC93*$BY93, -999)</f>
        <v>39392454.222627945</v>
      </c>
      <c r="CA93">
        <f>IF(BD93&lt;&gt;-999,BD93*$BY93, -999)</f>
        <v>26406334.230450802</v>
      </c>
      <c r="CB93" s="25">
        <f>IF(BE93&lt;&gt;-999,BE93*$BY93, -999)</f>
        <v>65798788.453078754</v>
      </c>
      <c r="CC93">
        <f>-29.317-(0.1023*E93)+F93*(100-8.576-13.681)</f>
        <v>12.680001527888884</v>
      </c>
      <c r="CD93">
        <f>IF(BF93&lt;&gt;-999,BF93*$CC93, -999)</f>
        <v>13163796.472169708</v>
      </c>
      <c r="CE93">
        <f>IF(BG93&lt;&gt;-999,BG93*$CC93, -999)</f>
        <v>8824218.2795964088</v>
      </c>
      <c r="CF93" s="25">
        <f>IF(BH93&lt;&gt;-999,BH93*$CC93, -999)</f>
        <v>21988014.751766112</v>
      </c>
      <c r="CG93">
        <f>-38.03-(0.1023*E93)+F93*(100-8.576-13.681)</f>
        <v>3.9670015278888826</v>
      </c>
      <c r="CH93">
        <f>IF(BI93&lt;&gt;-999,BI93*$CG93, -999)</f>
        <v>8387036.8340582941</v>
      </c>
      <c r="CI93">
        <f>IF(BJ93&lt;&gt;-999,BJ93*$CG93, -999)</f>
        <v>5622165.9644505717</v>
      </c>
      <c r="CJ93" s="25">
        <f>IF(BK93&lt;&gt;-999,BK93*$CG93, -999)</f>
        <v>14009202.798508866</v>
      </c>
      <c r="CK93" s="26">
        <f t="shared" si="45"/>
        <v>287656462.60026872</v>
      </c>
      <c r="CL93">
        <f t="shared" si="46"/>
        <v>-24.850036486069939</v>
      </c>
      <c r="CM93">
        <f t="shared" si="47"/>
        <v>33.151331503644066</v>
      </c>
      <c r="CN93">
        <f t="shared" si="48"/>
        <v>-81.849510452856762</v>
      </c>
      <c r="CO93" s="22">
        <f t="shared" si="49"/>
        <v>-40.08</v>
      </c>
      <c r="CP93">
        <f>IF(AT93&lt;&gt;-999,AT93*$CO93, -999)</f>
        <v>-90899928.982625544</v>
      </c>
      <c r="CQ93">
        <f>IF(AU93&lt;&gt;-999,AU93*$CO93, -999)</f>
        <v>-60933853.442347154</v>
      </c>
      <c r="CR93" s="27">
        <f>IF(AV93&lt;&gt;-999,AV93*$CO93, -999)</f>
        <v>-151833782.42497271</v>
      </c>
      <c r="CS93">
        <f t="shared" si="50"/>
        <v>-42.853000000000002</v>
      </c>
      <c r="CT93">
        <f>IF(AW93&lt;&gt;-999,AW93*$CS93, -999)</f>
        <v>-42907441.427402481</v>
      </c>
      <c r="CU93">
        <f>IF(AX93&lt;&gt;-999,AX93*$CS93, -999)</f>
        <v>-28762574.687072024</v>
      </c>
      <c r="CV93" s="27">
        <f>IF(AY93&lt;&gt;-999,AY93*$CS93, -999)</f>
        <v>-71670008.980802119</v>
      </c>
      <c r="CW93">
        <f t="shared" si="51"/>
        <v>-48.780999999999999</v>
      </c>
      <c r="CX93">
        <f>IF(AZ93&lt;&gt;-999,AZ93*$CO93, -999)</f>
        <v>-81726593.439047277</v>
      </c>
      <c r="CY93">
        <f>IF(BA93&lt;&gt;-999,BA93*$CO93, -999)</f>
        <v>-54784600.30962871</v>
      </c>
      <c r="CZ93" s="27">
        <f>IF(BB93&lt;&gt;-999,BB93*$CO93, -999)</f>
        <v>-136511193.74867597</v>
      </c>
      <c r="DA93">
        <f t="shared" si="52"/>
        <v>-48.155000000000001</v>
      </c>
      <c r="DB93">
        <f>IF(BC93&lt;&gt;-999,BC93*$DA93, -999)</f>
        <v>-113236835.00939274</v>
      </c>
      <c r="DC93">
        <f>IF(BD93&lt;&gt;-999,BD93*$DA93, -999)</f>
        <v>-75907169.823879972</v>
      </c>
      <c r="DD93" s="27">
        <f>IF(BE93&lt;&gt;-999,BE93*$DA93, -999)</f>
        <v>-189144004.83327273</v>
      </c>
      <c r="DE93">
        <f t="shared" si="53"/>
        <v>-52.227000000000004</v>
      </c>
      <c r="DF93">
        <f>IF(BF93&lt;&gt;-999,BF93*$DE93, -999)</f>
        <v>-54219677.879366271</v>
      </c>
      <c r="DG93">
        <f>IF(BG93&lt;&gt;-999,BG93*$DE93, -999)</f>
        <v>-36345614.554922812</v>
      </c>
      <c r="DH93" s="27">
        <f>IF(BH93&lt;&gt;-999,BH93*$DE93, -999)</f>
        <v>-90565292.434289068</v>
      </c>
      <c r="DI93">
        <f t="shared" si="54"/>
        <v>-60.94</v>
      </c>
      <c r="DJ93">
        <f>IF(BI93&lt;&gt;-999,BI93*$DI93, -999)</f>
        <v>-128839381.85410972</v>
      </c>
      <c r="DK93">
        <f>IF(BJ93&lt;&gt;-999,BJ93*$DI93, -999)</f>
        <v>-86366186.517691359</v>
      </c>
      <c r="DL93" s="27">
        <f>IF(BK93&lt;&gt;-999,BK93*$DI93, -999)</f>
        <v>-215205568.37180108</v>
      </c>
      <c r="DM93" s="28">
        <f t="shared" si="55"/>
        <v>-854929850.79381371</v>
      </c>
      <c r="DN93" s="22">
        <f t="shared" si="56"/>
        <v>-17.170000000000002</v>
      </c>
      <c r="DO93">
        <f>IF(AT93&lt;&gt;-999,AT93*$DN93, -999)</f>
        <v>-38940912.690411195</v>
      </c>
      <c r="DP93">
        <f>IF(AU93&lt;&gt;-999,AU93*$DN93, -999)</f>
        <v>-26103649.29154443</v>
      </c>
      <c r="DQ93" s="24">
        <f>IF(AV93&lt;&gt;-999,AV93*$DN93, -999)</f>
        <v>-65044561.981955633</v>
      </c>
      <c r="DR93">
        <f t="shared" si="57"/>
        <v>-19.943000000000001</v>
      </c>
      <c r="DS93">
        <f>IF(AW93&lt;&gt;-999,AW93*$DR93, -999)</f>
        <v>-19968336.041506726</v>
      </c>
      <c r="DT93">
        <f>IF(AX93&lt;&gt;-999,AX93*$DR93, -999)</f>
        <v>-13385574.568508094</v>
      </c>
      <c r="DU93" s="24">
        <f>IF(AY93&lt;&gt;-999,AY93*$DR93, -999)</f>
        <v>-33353907.290134571</v>
      </c>
      <c r="DV93">
        <f t="shared" si="58"/>
        <v>-25.870999999999999</v>
      </c>
      <c r="DW93">
        <f>IF(AZ93&lt;&gt;-999,AZ93*$DV93, -999)</f>
        <v>-52753211.04944092</v>
      </c>
      <c r="DX93">
        <f>IF(BA93&lt;&gt;-999,BA93*$DV93, -999)</f>
        <v>-35362584.695868373</v>
      </c>
      <c r="DY93" s="24">
        <f>IF(BB93&lt;&gt;-999,BB93*$DV93, -999)</f>
        <v>-88115795.745309293</v>
      </c>
      <c r="DZ93">
        <f t="shared" si="59"/>
        <v>-25.245000000000001</v>
      </c>
      <c r="EA93">
        <f>IF(BC93&lt;&gt;-999, BC93*$DZ93, -999)</f>
        <v>-59363802.301155016</v>
      </c>
      <c r="EB93">
        <f>IF(BD93&lt;&gt;-999, BD93*$DZ93, -999)</f>
        <v>-39793925.910161972</v>
      </c>
      <c r="EC93" s="24">
        <f>IF(BE93&lt;&gt;-999, BE93*$DZ93, -999)</f>
        <v>-99157728.211317003</v>
      </c>
      <c r="ED93">
        <f t="shared" si="60"/>
        <v>-29.317</v>
      </c>
      <c r="EE93">
        <f>IF(BF93&lt;&gt;-999,BF93*$ED93, -999)</f>
        <v>-30435565.825901944</v>
      </c>
      <c r="EF93">
        <f>IF(BG93&lt;&gt;-999,BG93*$ED93, -999)</f>
        <v>-20402174.773712296</v>
      </c>
      <c r="EG93" s="24">
        <f>IF(BH93&lt;&gt;-999,BH93*$ED93, -999)</f>
        <v>-50837740.599614233</v>
      </c>
      <c r="EH93">
        <f t="shared" si="61"/>
        <v>-38.03</v>
      </c>
      <c r="EI93">
        <f>IF(BI93&lt;&gt;-999,BI93*$EH93, -999)</f>
        <v>-80403047.126875505</v>
      </c>
      <c r="EJ93">
        <f>IF(BJ93&lt;&gt;-999,BJ93*$EH93, -999)</f>
        <v>-53897375.668982647</v>
      </c>
      <c r="EK93" s="24">
        <f>IF(BK93&lt;&gt;-999,BK93*$EH93, -999)</f>
        <v>-134300422.79585814</v>
      </c>
      <c r="EL93" s="28">
        <f t="shared" si="62"/>
        <v>-470810156.6241889</v>
      </c>
      <c r="EM93" s="22">
        <f>-17.17-(0.1023*G93)+H93*(100+102.093-66.644-64.243)</f>
        <v>15.666686409165557</v>
      </c>
      <c r="EN93">
        <f>IF(AT93&lt;&gt;-999,AT93*$EM93, -999)</f>
        <v>35531454.141372599</v>
      </c>
      <c r="EO93">
        <f>IF(AU93&lt;&gt;-999,AU93*$EM93, -999)</f>
        <v>23818153.033515621</v>
      </c>
      <c r="EP93" s="23">
        <f>IF(AV93&lt;&gt;-999,AV93*$EM93, -999)</f>
        <v>59349607.174888223</v>
      </c>
      <c r="EQ93">
        <f>-19.943-(0.1023*G93)+H93*(100+102.093-66.644-64.243)</f>
        <v>12.893686409165561</v>
      </c>
      <c r="ER93">
        <f>IF(AW93&lt;&gt;-999,AW93*$EQ93, -999)</f>
        <v>12910066.842101293</v>
      </c>
      <c r="ES93">
        <f>IF(AX93&lt;&gt;-999,AX93*$EQ93, -999)</f>
        <v>8654134.3274755534</v>
      </c>
      <c r="ET93" s="23">
        <f>IF(AY93&lt;&gt;-999,AY93*$EQ93, -999)</f>
        <v>21564199.023184888</v>
      </c>
      <c r="EU93">
        <f>-25.871-(0.1023*G93)+H93*(100+102.093-66.644-64.243)</f>
        <v>6.9656864091655635</v>
      </c>
      <c r="EV93">
        <f>IF(AZ93&lt;&gt;-999,AZ93*$EU93, -999)</f>
        <v>14203638.253138002</v>
      </c>
      <c r="EW93">
        <f>IF(BA93&lt;&gt;-999,BA93*$EU93, -999)</f>
        <v>9521266.1129827406</v>
      </c>
      <c r="EX93" s="23">
        <f>IF(BB93&lt;&gt;-999,BB93*$EU93, -999)</f>
        <v>23724904.366120744</v>
      </c>
      <c r="EY93">
        <f>-25.245-(0.1023*G93)+H93*(100+102.093-66.644-64.243)</f>
        <v>7.591686409165554</v>
      </c>
      <c r="EZ93">
        <f>IF(BC93&lt;&gt;-999, BC93*$EY93, -999)</f>
        <v>17851906.164629407</v>
      </c>
      <c r="FA93">
        <f>IF(BD93&lt;&gt;-999, BD93*$EY93, -999)</f>
        <v>11966845.177243717</v>
      </c>
      <c r="FB93" s="23">
        <f>IF(BE93&lt;&gt;-999, BE93*$EY93, -999)</f>
        <v>29818751.341873124</v>
      </c>
      <c r="FC93">
        <f>-29.317-(0.1023*G93)+H93*(100+102.093-66.644-64.243)</f>
        <v>3.5196864091655584</v>
      </c>
      <c r="FD93">
        <f>IF(BF93&lt;&gt;-999,BF93*$FC93, -999)</f>
        <v>3653977.1256503323</v>
      </c>
      <c r="FE93">
        <f>IF(BG93&lt;&gt;-999,BG93*$FC93, -999)</f>
        <v>2449406.735629688</v>
      </c>
      <c r="FF93" s="23">
        <f>IF(BH93&lt;&gt;-999,BH93*$FC93, -999)</f>
        <v>6103383.8612800194</v>
      </c>
      <c r="FG93">
        <f>-38.03-(0.1023*G93)+H93*(100+102.093-66.644-64.243)</f>
        <v>-5.1933135908344426</v>
      </c>
      <c r="FH93">
        <f>IF(BI93&lt;&gt;-999,BI93*$FG93, -999)</f>
        <v>-10979706.478793181</v>
      </c>
      <c r="FI93">
        <f>IF(BJ93&lt;&gt;-999,BJ93*$FG93, -999)</f>
        <v>-7360136.039233163</v>
      </c>
      <c r="FJ93" s="23">
        <f>IF(BK93&lt;&gt;-999,BK93*$FG93, -999)</f>
        <v>-18339842.518026344</v>
      </c>
      <c r="FK93" s="28">
        <f t="shared" si="63"/>
        <v>122221003.24932066</v>
      </c>
      <c r="FL93" s="22">
        <f t="shared" si="66"/>
        <v>10.012280000000011</v>
      </c>
      <c r="FM93">
        <f>IF(AT93&lt;&gt;-999,AT93*$FL93, -999)</f>
        <v>22707473.576700676</v>
      </c>
      <c r="FN93">
        <f>IF(AU93&lt;&gt;-999,AU93*$FL93, -999)</f>
        <v>15221726.60039282</v>
      </c>
      <c r="FO93" s="29">
        <f>IF(AV93&lt;&gt;-999,AV93*$FL93, -999)</f>
        <v>37929200.177093498</v>
      </c>
      <c r="FP93">
        <f t="shared" si="67"/>
        <v>7.2392800000000115</v>
      </c>
      <c r="FQ93">
        <f>IF(AW93&lt;&gt;-999,AW93*$FP93, -999)</f>
        <v>7248476.9462246923</v>
      </c>
      <c r="FR93">
        <f>IF(AX93&lt;&gt;-999,AX93*$FP93, -999)</f>
        <v>4858944.1038113339</v>
      </c>
      <c r="FS93" s="29">
        <f>IF(AY93&lt;&gt;-999,AY93*$FP93, -999)</f>
        <v>12107419.844924323</v>
      </c>
      <c r="FT93">
        <f t="shared" si="68"/>
        <v>1.3112800000000142</v>
      </c>
      <c r="FU93">
        <f>IF(AZ93&lt;&gt;-999,AZ93*$FT93, -999)</f>
        <v>2673813.5590008753</v>
      </c>
      <c r="FV93">
        <f>IF(BA93&lt;&gt;-999,BA93*$FT93, -999)</f>
        <v>1792364.0392717244</v>
      </c>
      <c r="FW93" s="29">
        <f>IF(BB93&lt;&gt;-999,BB93*$FT93, -999)</f>
        <v>4466177.5982725993</v>
      </c>
      <c r="FX93">
        <f t="shared" si="69"/>
        <v>1.9372800000000119</v>
      </c>
      <c r="FY93">
        <f>IF(BC93&lt;&gt;-999, BC93*$FX93, -999)</f>
        <v>4555528.1014847411</v>
      </c>
      <c r="FZ93">
        <f>IF(BD93&lt;&gt;-999, BD93*$FX93, -999)</f>
        <v>3053752.2989597567</v>
      </c>
      <c r="GA93" s="29">
        <f>IF(BE93&lt;&gt;-999, BE93*$FX93, -999)</f>
        <v>7609280.4004444983</v>
      </c>
      <c r="GB93">
        <f t="shared" si="70"/>
        <v>-2.1347199999999873</v>
      </c>
      <c r="GC93">
        <f>IF(BF93&lt;&gt;-999,BF93*$GB93, -999)</f>
        <v>-2216168.4715308188</v>
      </c>
      <c r="GD93">
        <f>IF(BG93&lt;&gt;-999,BG93*$GB93, -999)</f>
        <v>-1485586.1968461594</v>
      </c>
      <c r="GE93" s="29">
        <f>IF(BH93&lt;&gt;-999,BH93*$GB93, -999)</f>
        <v>-3701754.6683769771</v>
      </c>
      <c r="GF93">
        <f t="shared" si="71"/>
        <v>-10.847719999999988</v>
      </c>
      <c r="GG93">
        <f>IF(BI93&lt;&gt;-999,BI93*$GF93, -999)</f>
        <v>-22934255.650253721</v>
      </c>
      <c r="GH93">
        <f>IF(BJ93&lt;&gt;-999,BJ93*$GF93, -999)</f>
        <v>-15373748.093398258</v>
      </c>
      <c r="GI93" s="29">
        <f>IF(BK93&lt;&gt;-999,BK93*$GF93, -999)</f>
        <v>-38308003.743651979</v>
      </c>
      <c r="GJ93" s="30">
        <f t="shared" si="64"/>
        <v>20102319.608705968</v>
      </c>
    </row>
    <row r="94" spans="1:192">
      <c r="A94" s="48" t="s">
        <v>138</v>
      </c>
      <c r="B94" s="48" t="s">
        <v>231</v>
      </c>
      <c r="C94" s="49">
        <v>124</v>
      </c>
      <c r="D94" s="50">
        <v>0.746</v>
      </c>
      <c r="E94" s="49">
        <v>113.56184285281</v>
      </c>
      <c r="F94" s="49">
        <v>0.78804216487734502</v>
      </c>
      <c r="G94" s="49">
        <v>102.45944176810301</v>
      </c>
      <c r="H94" s="49">
        <v>0.81586635425534904</v>
      </c>
      <c r="I94" s="42">
        <v>33759.599999999999</v>
      </c>
      <c r="J94" s="43">
        <v>24215.5</v>
      </c>
      <c r="K94" s="43">
        <f t="shared" si="39"/>
        <v>57975.1</v>
      </c>
      <c r="L94" s="43">
        <v>32225</v>
      </c>
      <c r="M94" s="43">
        <v>23114.7</v>
      </c>
      <c r="N94" s="43">
        <f t="shared" si="40"/>
        <v>55339.7</v>
      </c>
      <c r="O94" s="43">
        <v>30518.2</v>
      </c>
      <c r="P94" s="43">
        <v>21890.5</v>
      </c>
      <c r="Q94" s="43">
        <f t="shared" si="41"/>
        <v>52408.7</v>
      </c>
      <c r="R94" s="43">
        <v>30489.7</v>
      </c>
      <c r="S94" s="43">
        <v>21870</v>
      </c>
      <c r="T94" s="43">
        <f t="shared" si="42"/>
        <v>52359.7</v>
      </c>
      <c r="U94" s="43">
        <v>29103.7</v>
      </c>
      <c r="V94" s="43">
        <v>20875.8</v>
      </c>
      <c r="W94" s="43">
        <f t="shared" si="43"/>
        <v>49979.5</v>
      </c>
      <c r="X94" s="43">
        <v>27562.2</v>
      </c>
      <c r="Y94" s="43">
        <v>19770.099999999999</v>
      </c>
      <c r="Z94" s="43">
        <f t="shared" si="44"/>
        <v>47332.3</v>
      </c>
      <c r="AA94" s="22">
        <v>1001536</v>
      </c>
      <c r="AB94">
        <v>346662.3</v>
      </c>
      <c r="AC94">
        <v>1348198.3</v>
      </c>
      <c r="AD94">
        <v>956007.7</v>
      </c>
      <c r="AE94">
        <v>330903.59999999998</v>
      </c>
      <c r="AF94">
        <v>1286911.2</v>
      </c>
      <c r="AG94">
        <v>905374.3</v>
      </c>
      <c r="AH94">
        <v>313377.8</v>
      </c>
      <c r="AI94">
        <v>1218752.1000000001</v>
      </c>
      <c r="AJ94">
        <v>904526.9</v>
      </c>
      <c r="AK94">
        <v>313084.5</v>
      </c>
      <c r="AL94">
        <v>1217611.3999999999</v>
      </c>
      <c r="AM94">
        <v>863408.5</v>
      </c>
      <c r="AN94">
        <v>298852.09999999998</v>
      </c>
      <c r="AO94">
        <v>1162260.6000000001</v>
      </c>
      <c r="AP94">
        <v>817679.4</v>
      </c>
      <c r="AQ94">
        <v>283023.90000000002</v>
      </c>
      <c r="AR94">
        <v>1100703.3</v>
      </c>
      <c r="AS94">
        <v>7334436.9400000004</v>
      </c>
      <c r="AT94" s="22">
        <f t="shared" si="74"/>
        <v>1667241.4303536001</v>
      </c>
      <c r="AU94">
        <f t="shared" si="74"/>
        <v>577083.34887779248</v>
      </c>
      <c r="AV94">
        <f t="shared" si="74"/>
        <v>2244324.7792313923</v>
      </c>
      <c r="AW94">
        <f t="shared" si="74"/>
        <v>1591451.1761704574</v>
      </c>
      <c r="AX94">
        <f t="shared" si="74"/>
        <v>550850.08564160997</v>
      </c>
      <c r="AY94">
        <f t="shared" si="74"/>
        <v>2142301.0953436196</v>
      </c>
      <c r="AZ94">
        <f t="shared" si="74"/>
        <v>1507162.5412739927</v>
      </c>
      <c r="BA94">
        <f t="shared" si="74"/>
        <v>521675.15846965491</v>
      </c>
      <c r="BB94">
        <f t="shared" si="73"/>
        <v>2028837.6997436478</v>
      </c>
      <c r="BC94">
        <f t="shared" si="73"/>
        <v>1505751.8876498777</v>
      </c>
      <c r="BD94">
        <f t="shared" si="73"/>
        <v>521186.90651313751</v>
      </c>
      <c r="BE94">
        <f t="shared" si="73"/>
        <v>2026938.7941630147</v>
      </c>
      <c r="BF94">
        <f t="shared" si="73"/>
        <v>1437302.7255330374</v>
      </c>
      <c r="BG94">
        <f t="shared" si="65"/>
        <v>497494.4511911475</v>
      </c>
      <c r="BH94">
        <f t="shared" si="65"/>
        <v>1934797.1767241855</v>
      </c>
      <c r="BI94">
        <f t="shared" si="65"/>
        <v>1361178.2027073151</v>
      </c>
      <c r="BJ94">
        <f t="shared" si="38"/>
        <v>471145.49238395254</v>
      </c>
      <c r="BK94">
        <f t="shared" si="38"/>
        <v>1832323.6950912676</v>
      </c>
      <c r="BL94">
        <f t="shared" si="38"/>
        <v>12209523.306884507</v>
      </c>
      <c r="BM94" s="22">
        <f>-17.17-(0.1023*E94)+F94*(100-8.576-13.681)</f>
        <v>32.477385500216982</v>
      </c>
      <c r="BN94">
        <f>IF(AT94&lt;&gt;-999,AT94*$BM94, -999)</f>
        <v>54147642.655527033</v>
      </c>
      <c r="BO94">
        <f>IF(AU94&lt;&gt;-999,AU94*$BM94, -999)</f>
        <v>18742158.387260277</v>
      </c>
      <c r="BP94" s="25">
        <f>IF(AV94&lt;&gt;-999,AV94*$BM94, -999)</f>
        <v>72889801.042787299</v>
      </c>
      <c r="BQ94">
        <f>-19.943-(0.1023*E94)+F94*(100-8.576-13.681)</f>
        <v>29.704385500216979</v>
      </c>
      <c r="BR94">
        <f>IF(AW94&lt;&gt;-999,AW94*$BQ94, -999)</f>
        <v>47273079.241740994</v>
      </c>
      <c r="BS94">
        <f>IF(AX94&lt;&gt;-999,AX94*$BQ94, -999)</f>
        <v>16362663.296725921</v>
      </c>
      <c r="BT94" s="25">
        <f>IF(AY94&lt;&gt;-999,AY94*$BQ94, -999)</f>
        <v>63635737.593623966</v>
      </c>
      <c r="BU94">
        <f>-25.871-(0.1023*E94)+F94*(100-8.576-13.681)</f>
        <v>23.776385500216982</v>
      </c>
      <c r="BV94">
        <f>IF(AZ94&lt;&gt;-999,AZ94*$BU94, -999)</f>
        <v>35834877.592817143</v>
      </c>
      <c r="BW94">
        <f>IF(BA94&lt;&gt;-999,BA94*$BU94, -999)</f>
        <v>12403549.673661299</v>
      </c>
      <c r="BX94" s="25">
        <f>IF(BB94&lt;&gt;-999,BB94*$BU94, -999)</f>
        <v>48238427.266478442</v>
      </c>
      <c r="BY94">
        <f>-25.245-(0.1023*E94)+F94*(100-8.576-13.681)</f>
        <v>24.40238550021698</v>
      </c>
      <c r="BZ94">
        <f>IF(BC94&lt;&gt;-999,BC94*$BY94, -999)</f>
        <v>36743938.030111723</v>
      </c>
      <c r="CA94">
        <f>IF(BD94&lt;&gt;-999,BD94*$BY94, -999)</f>
        <v>12718203.81039913</v>
      </c>
      <c r="CB94" s="25">
        <f>IF(BE94&lt;&gt;-999,BE94*$BY94, -999)</f>
        <v>49462141.840510838</v>
      </c>
      <c r="CC94">
        <f>-29.317-(0.1023*E94)+F94*(100-8.576-13.681)</f>
        <v>20.330385500216984</v>
      </c>
      <c r="CD94">
        <f>IF(BF94&lt;&gt;-999,BF94*$CC94, -999)</f>
        <v>29220918.490599215</v>
      </c>
      <c r="CE94">
        <f>IF(BG94&lt;&gt;-999,BG94*$CC94, -999)</f>
        <v>10114253.976934912</v>
      </c>
      <c r="CF94" s="25">
        <f>IF(BH94&lt;&gt;-999,BH94*$CC94, -999)</f>
        <v>39335172.46753414</v>
      </c>
      <c r="CG94">
        <f>-38.03-(0.1023*E94)+F94*(100-8.576-13.681)</f>
        <v>11.617385500216976</v>
      </c>
      <c r="CH94">
        <f>IF(BI94&lt;&gt;-999,BI94*$CG94, -999)</f>
        <v>15813331.915343367</v>
      </c>
      <c r="CI94">
        <f>IF(BJ94&lt;&gt;-999,BJ94*$CG94, -999)</f>
        <v>5473478.8117139181</v>
      </c>
      <c r="CJ94" s="25">
        <f>IF(BK94&lt;&gt;-999,BK94*$CG94, -999)</f>
        <v>21286810.727057282</v>
      </c>
      <c r="CK94" s="26">
        <f t="shared" si="45"/>
        <v>294848090.93799198</v>
      </c>
      <c r="CL94">
        <f t="shared" si="46"/>
        <v>-33.841043285587695</v>
      </c>
      <c r="CM94">
        <f t="shared" si="47"/>
        <v>23.827190757540308</v>
      </c>
      <c r="CN94">
        <f t="shared" si="48"/>
        <v>-90.513137737476725</v>
      </c>
      <c r="CO94" s="22">
        <f t="shared" si="49"/>
        <v>-40.08</v>
      </c>
      <c r="CP94">
        <f>IF(AT94&lt;&gt;-999,AT94*$CO94, -999)</f>
        <v>-66823036.528572291</v>
      </c>
      <c r="CQ94">
        <f>IF(AU94&lt;&gt;-999,AU94*$CO94, -999)</f>
        <v>-23129500.623021923</v>
      </c>
      <c r="CR94" s="27">
        <f>IF(AV94&lt;&gt;-999,AV94*$CO94, -999)</f>
        <v>-89952537.151594207</v>
      </c>
      <c r="CS94">
        <f t="shared" si="50"/>
        <v>-42.853000000000002</v>
      </c>
      <c r="CT94">
        <f>IF(AW94&lt;&gt;-999,AW94*$CS94, -999)</f>
        <v>-68198457.252432615</v>
      </c>
      <c r="CU94">
        <f>IF(AX94&lt;&gt;-999,AX94*$CS94, -999)</f>
        <v>-23605578.719999913</v>
      </c>
      <c r="CV94" s="27">
        <f>IF(AY94&lt;&gt;-999,AY94*$CS94, -999)</f>
        <v>-91804028.838760138</v>
      </c>
      <c r="CW94">
        <f t="shared" si="51"/>
        <v>-48.780999999999999</v>
      </c>
      <c r="CX94">
        <f>IF(AZ94&lt;&gt;-999,AZ94*$CO94, -999)</f>
        <v>-60407074.654261626</v>
      </c>
      <c r="CY94">
        <f>IF(BA94&lt;&gt;-999,BA94*$CO94, -999)</f>
        <v>-20908740.351463769</v>
      </c>
      <c r="CZ94" s="27">
        <f>IF(BB94&lt;&gt;-999,BB94*$CO94, -999)</f>
        <v>-81315815.005725399</v>
      </c>
      <c r="DA94">
        <f t="shared" si="52"/>
        <v>-48.155000000000001</v>
      </c>
      <c r="DB94">
        <f>IF(BC94&lt;&gt;-999,BC94*$DA94, -999)</f>
        <v>-72509482.149779856</v>
      </c>
      <c r="DC94">
        <f>IF(BD94&lt;&gt;-999,BD94*$DA94, -999)</f>
        <v>-25097755.483140137</v>
      </c>
      <c r="DD94" s="27">
        <f>IF(BE94&lt;&gt;-999,BE94*$DA94, -999)</f>
        <v>-97607237.632919982</v>
      </c>
      <c r="DE94">
        <f t="shared" si="53"/>
        <v>-52.227000000000004</v>
      </c>
      <c r="DF94">
        <f>IF(BF94&lt;&gt;-999,BF94*$DE94, -999)</f>
        <v>-75066009.446413949</v>
      </c>
      <c r="DG94">
        <f>IF(BG94&lt;&gt;-999,BG94*$DE94, -999)</f>
        <v>-25982642.702360064</v>
      </c>
      <c r="DH94" s="27">
        <f>IF(BH94&lt;&gt;-999,BH94*$DE94, -999)</f>
        <v>-101048652.14877404</v>
      </c>
      <c r="DI94">
        <f t="shared" si="54"/>
        <v>-60.94</v>
      </c>
      <c r="DJ94">
        <f>IF(BI94&lt;&gt;-999,BI94*$DI94, -999)</f>
        <v>-82950199.672983781</v>
      </c>
      <c r="DK94">
        <f>IF(BJ94&lt;&gt;-999,BJ94*$DI94, -999)</f>
        <v>-28711606.305878066</v>
      </c>
      <c r="DL94" s="27">
        <f>IF(BK94&lt;&gt;-999,BK94*$DI94, -999)</f>
        <v>-111661805.97886184</v>
      </c>
      <c r="DM94" s="28">
        <f t="shared" si="55"/>
        <v>-573390076.75663555</v>
      </c>
      <c r="DN94" s="22">
        <f t="shared" si="56"/>
        <v>-17.170000000000002</v>
      </c>
      <c r="DO94">
        <f>IF(AT94&lt;&gt;-999,AT94*$DN94, -999)</f>
        <v>-28626535.359171316</v>
      </c>
      <c r="DP94">
        <f>IF(AU94&lt;&gt;-999,AU94*$DN94, -999)</f>
        <v>-9908521.1002316978</v>
      </c>
      <c r="DQ94" s="24">
        <f>IF(AV94&lt;&gt;-999,AV94*$DN94, -999)</f>
        <v>-38535056.459403008</v>
      </c>
      <c r="DR94">
        <f t="shared" si="57"/>
        <v>-19.943000000000001</v>
      </c>
      <c r="DS94">
        <f>IF(AW94&lt;&gt;-999,AW94*$DR94, -999)</f>
        <v>-31738310.806367435</v>
      </c>
      <c r="DT94">
        <f>IF(AX94&lt;&gt;-999,AX94*$DR94, -999)</f>
        <v>-10985603.257950628</v>
      </c>
      <c r="DU94" s="24">
        <f>IF(AY94&lt;&gt;-999,AY94*$DR94, -999)</f>
        <v>-42723910.744437806</v>
      </c>
      <c r="DV94">
        <f t="shared" si="58"/>
        <v>-25.870999999999999</v>
      </c>
      <c r="DW94">
        <f>IF(AZ94&lt;&gt;-999,AZ94*$DV94, -999)</f>
        <v>-38991802.105299465</v>
      </c>
      <c r="DX94">
        <f>IF(BA94&lt;&gt;-999,BA94*$DV94, -999)</f>
        <v>-13496258.024768442</v>
      </c>
      <c r="DY94" s="24">
        <f>IF(BB94&lt;&gt;-999,BB94*$DV94, -999)</f>
        <v>-52488060.130067907</v>
      </c>
      <c r="DZ94">
        <f t="shared" si="59"/>
        <v>-25.245000000000001</v>
      </c>
      <c r="EA94">
        <f>IF(BC94&lt;&gt;-999, BC94*$DZ94, -999)</f>
        <v>-38012706.403721161</v>
      </c>
      <c r="EB94">
        <f>IF(BD94&lt;&gt;-999, BD94*$DZ94, -999)</f>
        <v>-13157363.454924157</v>
      </c>
      <c r="EC94" s="24">
        <f>IF(BE94&lt;&gt;-999, BE94*$DZ94, -999)</f>
        <v>-51170069.858645312</v>
      </c>
      <c r="ED94">
        <f t="shared" si="60"/>
        <v>-29.317</v>
      </c>
      <c r="EE94">
        <f>IF(BF94&lt;&gt;-999,BF94*$ED94, -999)</f>
        <v>-42137404.004452057</v>
      </c>
      <c r="EF94">
        <f>IF(BG94&lt;&gt;-999,BG94*$ED94, -999)</f>
        <v>-14585044.825570872</v>
      </c>
      <c r="EG94" s="24">
        <f>IF(BH94&lt;&gt;-999,BH94*$ED94, -999)</f>
        <v>-56722448.830022946</v>
      </c>
      <c r="EH94">
        <f t="shared" si="61"/>
        <v>-38.03</v>
      </c>
      <c r="EI94">
        <f>IF(BI94&lt;&gt;-999,BI94*$EH94, -999)</f>
        <v>-51765607.048959196</v>
      </c>
      <c r="EJ94">
        <f>IF(BJ94&lt;&gt;-999,BJ94*$EH94, -999)</f>
        <v>-17917663.075361717</v>
      </c>
      <c r="EK94" s="24">
        <f>IF(BK94&lt;&gt;-999,BK94*$EH94, -999)</f>
        <v>-69683270.124320909</v>
      </c>
      <c r="EL94" s="28">
        <f t="shared" si="62"/>
        <v>-311322816.14689791</v>
      </c>
      <c r="EM94" s="22">
        <f>-17.17-(0.1023*G94)+H94*(100+102.093-66.644-64.243)</f>
        <v>30.442978728229459</v>
      </c>
      <c r="EN94">
        <f>IF(AT94&lt;&gt;-999,AT94*$EM94, -999)</f>
        <v>50755795.399077505</v>
      </c>
      <c r="EO94">
        <f>IF(AU94&lt;&gt;-999,AU94*$EM94, -999)</f>
        <v>17568136.114302058</v>
      </c>
      <c r="EP94" s="23">
        <f>IF(AV94&lt;&gt;-999,AV94*$EM94, -999)</f>
        <v>68323931.513379559</v>
      </c>
      <c r="EQ94">
        <f>-19.943-(0.1023*G94)+H94*(100+102.093-66.644-64.243)</f>
        <v>27.669978728229459</v>
      </c>
      <c r="ER94">
        <f>IF(AW94&lt;&gt;-999,AW94*$EQ94, -999)</f>
        <v>44035420.191652313</v>
      </c>
      <c r="ES94">
        <f>IF(AX94&lt;&gt;-999,AX94*$EQ94, -999)</f>
        <v>15242010.152146723</v>
      </c>
      <c r="ET94" s="23">
        <f>IF(AY94&lt;&gt;-999,AY94*$EQ94, -999)</f>
        <v>59277425.737620622</v>
      </c>
      <c r="EU94">
        <f>-25.871-(0.1023*G94)+H94*(100+102.093-66.644-64.243)</f>
        <v>21.741978728229462</v>
      </c>
      <c r="EV94">
        <f>IF(AZ94&lt;&gt;-999,AZ94*$EU94, -999)</f>
        <v>32768695.91236341</v>
      </c>
      <c r="EW94">
        <f>IF(BA94&lt;&gt;-999,BA94*$EU94, -999)</f>
        <v>11342250.19849297</v>
      </c>
      <c r="EX94" s="23">
        <f>IF(BB94&lt;&gt;-999,BB94*$EU94, -999)</f>
        <v>44110946.110856384</v>
      </c>
      <c r="EY94">
        <f>-25.245-(0.1023*G94)+H94*(100+102.093-66.644-64.243)</f>
        <v>22.36797872822946</v>
      </c>
      <c r="EZ94">
        <f>IF(BC94&lt;&gt;-999, BC94*$EY94, -999)</f>
        <v>33680626.192943819</v>
      </c>
      <c r="FA94">
        <f>IF(BD94&lt;&gt;-999, BD94*$EY94, -999)</f>
        <v>11657897.638317576</v>
      </c>
      <c r="FB94" s="23">
        <f>IF(BE94&lt;&gt;-999, BE94*$EY94, -999)</f>
        <v>45338523.831261382</v>
      </c>
      <c r="FC94">
        <f>-29.317-(0.1023*G94)+H94*(100+102.093-66.644-64.243)</f>
        <v>18.295978728229464</v>
      </c>
      <c r="FD94">
        <f>IF(BF94&lt;&gt;-999,BF94*$FC94, -999)</f>
        <v>26296860.092378683</v>
      </c>
      <c r="FE94">
        <f>IF(BG94&lt;&gt;-999,BG94*$FC94, -999)</f>
        <v>9102147.8964054268</v>
      </c>
      <c r="FF94" s="23">
        <f>IF(BH94&lt;&gt;-999,BH94*$FC94, -999)</f>
        <v>35399007.988784119</v>
      </c>
      <c r="FG94">
        <f>-38.03-(0.1023*G94)+H94*(100+102.093-66.644-64.243)</f>
        <v>9.5829787282294561</v>
      </c>
      <c r="FH94">
        <f>IF(BI94&lt;&gt;-999,BI94*$FG94, -999)</f>
        <v>13044141.761873804</v>
      </c>
      <c r="FI94">
        <f>IF(BJ94&lt;&gt;-999,BJ94*$FG94, -999)</f>
        <v>4514977.2314166101</v>
      </c>
      <c r="FJ94" s="23">
        <f>IF(BK94&lt;&gt;-999,BK94*$FG94, -999)</f>
        <v>17559118.993290413</v>
      </c>
      <c r="FK94" s="28">
        <f t="shared" si="63"/>
        <v>270008954.17519253</v>
      </c>
      <c r="FL94" s="22">
        <f t="shared" si="66"/>
        <v>10.012280000000011</v>
      </c>
      <c r="FM94">
        <f>IF(AT94&lt;&gt;-999,AT94*$FL94, -999)</f>
        <v>16692888.028300762</v>
      </c>
      <c r="FN94">
        <f>IF(AU94&lt;&gt;-999,AU94*$FL94, -999)</f>
        <v>5777920.0723021505</v>
      </c>
      <c r="FO94" s="29">
        <f>IF(AV94&lt;&gt;-999,AV94*$FL94, -999)</f>
        <v>22470808.10060291</v>
      </c>
      <c r="FP94">
        <f t="shared" si="67"/>
        <v>7.2392800000000115</v>
      </c>
      <c r="FQ94">
        <f>IF(AW94&lt;&gt;-999,AW94*$FP94, -999)</f>
        <v>11520960.670627287</v>
      </c>
      <c r="FR94">
        <f>IF(AX94&lt;&gt;-999,AX94*$FP94, -999)</f>
        <v>3987758.0079836007</v>
      </c>
      <c r="FS94" s="29">
        <f>IF(AY94&lt;&gt;-999,AY94*$FP94, -999)</f>
        <v>15508717.473499183</v>
      </c>
      <c r="FT94">
        <f t="shared" si="68"/>
        <v>1.3112800000000142</v>
      </c>
      <c r="FU94">
        <f>IF(AZ94&lt;&gt;-999,AZ94*$FT94, -999)</f>
        <v>1976312.0971217826</v>
      </c>
      <c r="FV94">
        <f>IF(BA94&lt;&gt;-999,BA94*$FT94, -999)</f>
        <v>684062.20179809653</v>
      </c>
      <c r="FW94" s="29">
        <f>IF(BB94&lt;&gt;-999,BB94*$FT94, -999)</f>
        <v>2660374.2989198794</v>
      </c>
      <c r="FX94">
        <f t="shared" si="69"/>
        <v>1.9372800000000119</v>
      </c>
      <c r="FY94">
        <f>IF(BC94&lt;&gt;-999, BC94*$FX94, -999)</f>
        <v>2917063.0169063727</v>
      </c>
      <c r="FZ94">
        <f>IF(BD94&lt;&gt;-999, BD94*$FX94, -999)</f>
        <v>1009684.9702497772</v>
      </c>
      <c r="GA94" s="29">
        <f>IF(BE94&lt;&gt;-999, BE94*$FX94, -999)</f>
        <v>3926747.9871561495</v>
      </c>
      <c r="GB94">
        <f t="shared" si="70"/>
        <v>-2.1347199999999873</v>
      </c>
      <c r="GC94">
        <f>IF(BF94&lt;&gt;-999,BF94*$GB94, -999)</f>
        <v>-3068238.8742498676</v>
      </c>
      <c r="GD94">
        <f>IF(BG94&lt;&gt;-999,BG94*$GB94, -999)</f>
        <v>-1062011.3548467602</v>
      </c>
      <c r="GE94" s="29">
        <f>IF(BH94&lt;&gt;-999,BH94*$GB94, -999)</f>
        <v>-4130250.2290966287</v>
      </c>
      <c r="GF94">
        <f t="shared" si="71"/>
        <v>-10.847719999999988</v>
      </c>
      <c r="GG94">
        <f>IF(BI94&lt;&gt;-999,BI94*$GF94, -999)</f>
        <v>-14765680.01307218</v>
      </c>
      <c r="GH94">
        <f>IF(BJ94&lt;&gt;-999,BJ94*$GF94, -999)</f>
        <v>-5110854.3806432439</v>
      </c>
      <c r="GI94" s="29">
        <f>IF(BK94&lt;&gt;-999,BK94*$GF94, -999)</f>
        <v>-19876534.393715423</v>
      </c>
      <c r="GJ94" s="30">
        <f t="shared" si="64"/>
        <v>20559863.237366069</v>
      </c>
    </row>
    <row r="95" spans="1:192">
      <c r="A95" s="48" t="s">
        <v>161</v>
      </c>
      <c r="B95" s="48" t="s">
        <v>232</v>
      </c>
      <c r="C95" s="49">
        <v>40</v>
      </c>
      <c r="D95" s="50">
        <v>0.74199999999999999</v>
      </c>
      <c r="E95" s="49">
        <v>69.410538097060794</v>
      </c>
      <c r="F95" s="49">
        <v>0.79427651916028397</v>
      </c>
      <c r="G95" s="49">
        <v>228.51238616708699</v>
      </c>
      <c r="H95" s="49">
        <v>0.80728361105503099</v>
      </c>
      <c r="I95" s="42">
        <v>28682</v>
      </c>
      <c r="J95" s="43">
        <v>18719.7</v>
      </c>
      <c r="K95" s="43">
        <f t="shared" si="39"/>
        <v>47401.7</v>
      </c>
      <c r="L95" s="43">
        <v>24018.7</v>
      </c>
      <c r="M95" s="43">
        <v>15676.1</v>
      </c>
      <c r="N95" s="43">
        <f t="shared" si="40"/>
        <v>39694.800000000003</v>
      </c>
      <c r="O95" s="43">
        <v>32118.9</v>
      </c>
      <c r="P95" s="43">
        <v>20962.8</v>
      </c>
      <c r="Q95" s="43">
        <f t="shared" si="41"/>
        <v>53081.7</v>
      </c>
      <c r="R95" s="43">
        <v>25601</v>
      </c>
      <c r="S95" s="43">
        <v>16708.8</v>
      </c>
      <c r="T95" s="43">
        <f t="shared" si="42"/>
        <v>42309.8</v>
      </c>
      <c r="U95" s="43">
        <v>21438.7</v>
      </c>
      <c r="V95" s="43">
        <v>13992.2</v>
      </c>
      <c r="W95" s="43">
        <f t="shared" si="43"/>
        <v>35430.9</v>
      </c>
      <c r="X95" s="43">
        <v>28668.7</v>
      </c>
      <c r="Y95" s="43">
        <v>18711</v>
      </c>
      <c r="Z95" s="43">
        <f t="shared" si="44"/>
        <v>47379.7</v>
      </c>
      <c r="AA95" s="22">
        <v>368771.3</v>
      </c>
      <c r="AB95">
        <v>162263</v>
      </c>
      <c r="AC95">
        <v>531034.30000000005</v>
      </c>
      <c r="AD95">
        <v>308815</v>
      </c>
      <c r="AE95">
        <v>135881.60000000001</v>
      </c>
      <c r="AF95">
        <v>444696.6</v>
      </c>
      <c r="AG95">
        <v>412960.8</v>
      </c>
      <c r="AH95">
        <v>181706.8</v>
      </c>
      <c r="AI95">
        <v>594667.6</v>
      </c>
      <c r="AJ95">
        <v>329158.09999999998</v>
      </c>
      <c r="AK95">
        <v>144832.79999999999</v>
      </c>
      <c r="AL95">
        <v>473990.8</v>
      </c>
      <c r="AM95">
        <v>275642.2</v>
      </c>
      <c r="AN95">
        <v>121285.3</v>
      </c>
      <c r="AO95">
        <v>396927.5</v>
      </c>
      <c r="AP95">
        <v>368600.8</v>
      </c>
      <c r="AQ95">
        <v>162187.9</v>
      </c>
      <c r="AR95">
        <v>530788.69999999995</v>
      </c>
      <c r="AS95">
        <v>2972105.46</v>
      </c>
      <c r="AT95" s="22">
        <f t="shared" si="74"/>
        <v>613887.8579355675</v>
      </c>
      <c r="AU95">
        <f t="shared" si="74"/>
        <v>270116.696966925</v>
      </c>
      <c r="AV95">
        <f t="shared" si="74"/>
        <v>884004.55490249256</v>
      </c>
      <c r="AW95">
        <f t="shared" si="74"/>
        <v>514079.53614712501</v>
      </c>
      <c r="AX95">
        <f t="shared" si="74"/>
        <v>226199.98995816</v>
      </c>
      <c r="AY95">
        <f t="shared" si="74"/>
        <v>740279.52610528492</v>
      </c>
      <c r="AZ95">
        <f t="shared" si="74"/>
        <v>687449.43254357995</v>
      </c>
      <c r="BA95">
        <f t="shared" si="74"/>
        <v>302484.48896192998</v>
      </c>
      <c r="BB95">
        <f t="shared" si="73"/>
        <v>989933.92150550988</v>
      </c>
      <c r="BC95">
        <f t="shared" si="73"/>
        <v>547944.37889049749</v>
      </c>
      <c r="BD95">
        <f t="shared" si="73"/>
        <v>241100.91363077998</v>
      </c>
      <c r="BE95">
        <f t="shared" si="73"/>
        <v>789045.12605283002</v>
      </c>
      <c r="BF95">
        <f t="shared" si="73"/>
        <v>458857.29099484504</v>
      </c>
      <c r="BG95">
        <f t="shared" si="65"/>
        <v>201901.7559557175</v>
      </c>
      <c r="BH95">
        <f t="shared" si="65"/>
        <v>660759.04695056251</v>
      </c>
      <c r="BI95">
        <f t="shared" si="65"/>
        <v>613604.02923257998</v>
      </c>
      <c r="BJ95">
        <f t="shared" si="38"/>
        <v>269991.67916285252</v>
      </c>
      <c r="BK95">
        <f t="shared" si="38"/>
        <v>883595.70839543245</v>
      </c>
      <c r="BL95">
        <f t="shared" si="38"/>
        <v>4947617.8173247334</v>
      </c>
      <c r="BM95" s="22">
        <f>-17.17-(0.1023*E95)+F95*(100-8.576-13.681)</f>
        <v>37.478741381748648</v>
      </c>
      <c r="BN95">
        <f>IF(AT95&lt;&gt;-999,AT95*$BM95, -999)</f>
        <v>23007744.264962789</v>
      </c>
      <c r="BO95">
        <f>IF(AU95&lt;&gt;-999,AU95*$BM95, -999)</f>
        <v>10123633.828515552</v>
      </c>
      <c r="BP95" s="25">
        <f>IF(AV95&lt;&gt;-999,AV95*$BM95, -999)</f>
        <v>33131378.093478344</v>
      </c>
      <c r="BQ95">
        <f>-19.943-(0.1023*E95)+F95*(100-8.576-13.681)</f>
        <v>34.705741381748645</v>
      </c>
      <c r="BR95">
        <f>IF(AW95&lt;&gt;-999,AW95*$BQ95, -999)</f>
        <v>17841511.431171425</v>
      </c>
      <c r="BS95">
        <f>IF(AX95&lt;&gt;-999,AX95*$BQ95, -999)</f>
        <v>7850438.3520420417</v>
      </c>
      <c r="BT95" s="25">
        <f>IF(AY95&lt;&gt;-999,AY95*$BQ95, -999)</f>
        <v>25691949.783213463</v>
      </c>
      <c r="BU95">
        <f>-25.871-(0.1023*E95)+F95*(100-8.576-13.681)</f>
        <v>28.777741381748648</v>
      </c>
      <c r="BV95">
        <f>IF(AZ95&lt;&gt;-999,AZ95*$BU95, -999)</f>
        <v>19783241.982769005</v>
      </c>
      <c r="BW95">
        <f>IF(BA95&lt;&gt;-999,BA95*$BU95, -999)</f>
        <v>8704820.3953368235</v>
      </c>
      <c r="BX95" s="25">
        <f>IF(BB95&lt;&gt;-999,BB95*$BU95, -999)</f>
        <v>28488062.37810583</v>
      </c>
      <c r="BY95">
        <f>-25.245-(0.1023*E95)+F95*(100-8.576-13.681)</f>
        <v>29.403741381748645</v>
      </c>
      <c r="BZ95">
        <f>IF(BC95&lt;&gt;-999,BC95*$BY95, -999)</f>
        <v>16111614.80847908</v>
      </c>
      <c r="CA95">
        <f>IF(BD95&lt;&gt;-999,BD95*$BY95, -999)</f>
        <v>7089268.9113027714</v>
      </c>
      <c r="CB95" s="25">
        <f>IF(BE95&lt;&gt;-999,BE95*$BY95, -999)</f>
        <v>23200878.824986674</v>
      </c>
      <c r="CC95">
        <f>-29.317-(0.1023*E95)+F95*(100-8.576-13.681)</f>
        <v>25.33174138174865</v>
      </c>
      <c r="CD95">
        <f>IF(BF95&lt;&gt;-999,BF95*$CC95, -999)</f>
        <v>11623654.226611199</v>
      </c>
      <c r="CE95">
        <f>IF(BG95&lt;&gt;-999,BG95*$CC95, -999)</f>
        <v>5114523.0663911654</v>
      </c>
      <c r="CF95" s="25">
        <f>IF(BH95&lt;&gt;-999,BH95*$CC95, -999)</f>
        <v>16738177.293002363</v>
      </c>
      <c r="CG95">
        <f>-38.03-(0.1023*E95)+F95*(100-8.576-13.681)</f>
        <v>16.618741381748649</v>
      </c>
      <c r="CH95">
        <f>IF(BI95&lt;&gt;-999,BI95*$CG95, -999)</f>
        <v>10197326.672615185</v>
      </c>
      <c r="CI95">
        <f>IF(BJ95&lt;&gt;-999,BJ95*$CG95, -999)</f>
        <v>4486921.8912315015</v>
      </c>
      <c r="CJ95" s="25">
        <f>IF(BK95&lt;&gt;-999,BK95*$CG95, -999)</f>
        <v>14684248.563846685</v>
      </c>
      <c r="CK95" s="26">
        <f t="shared" si="45"/>
        <v>141934694.93663335</v>
      </c>
      <c r="CL95">
        <f t="shared" si="46"/>
        <v>-39.087255781578996</v>
      </c>
      <c r="CM95">
        <f t="shared" si="47"/>
        <v>18.128334637793916</v>
      </c>
      <c r="CN95">
        <f t="shared" si="48"/>
        <v>-95.314525407042609</v>
      </c>
      <c r="CO95" s="22">
        <f t="shared" si="49"/>
        <v>-40.08</v>
      </c>
      <c r="CP95">
        <f>IF(AT95&lt;&gt;-999,AT95*$CO95, -999)</f>
        <v>-24604625.346057545</v>
      </c>
      <c r="CQ95">
        <f>IF(AU95&lt;&gt;-999,AU95*$CO95, -999)</f>
        <v>-10826277.214434354</v>
      </c>
      <c r="CR95" s="27">
        <f>IF(AV95&lt;&gt;-999,AV95*$CO95, -999)</f>
        <v>-35430902.560491897</v>
      </c>
      <c r="CS95">
        <f t="shared" si="50"/>
        <v>-42.853000000000002</v>
      </c>
      <c r="CT95">
        <f>IF(AW95&lt;&gt;-999,AW95*$CS95, -999)</f>
        <v>-22029850.362512749</v>
      </c>
      <c r="CU95">
        <f>IF(AX95&lt;&gt;-999,AX95*$CS95, -999)</f>
        <v>-9693348.1696770303</v>
      </c>
      <c r="CV95" s="27">
        <f>IF(AY95&lt;&gt;-999,AY95*$CS95, -999)</f>
        <v>-31723198.532189775</v>
      </c>
      <c r="CW95">
        <f t="shared" si="51"/>
        <v>-48.780999999999999</v>
      </c>
      <c r="CX95">
        <f>IF(AZ95&lt;&gt;-999,AZ95*$CO95, -999)</f>
        <v>-27552973.256346684</v>
      </c>
      <c r="CY95">
        <f>IF(BA95&lt;&gt;-999,BA95*$CO95, -999)</f>
        <v>-12123578.317594154</v>
      </c>
      <c r="CZ95" s="27">
        <f>IF(BB95&lt;&gt;-999,BB95*$CO95, -999)</f>
        <v>-39676551.573940836</v>
      </c>
      <c r="DA95">
        <f t="shared" si="52"/>
        <v>-48.155000000000001</v>
      </c>
      <c r="DB95">
        <f>IF(BC95&lt;&gt;-999,BC95*$DA95, -999)</f>
        <v>-26386261.565471906</v>
      </c>
      <c r="DC95">
        <f>IF(BD95&lt;&gt;-999,BD95*$DA95, -999)</f>
        <v>-11610214.495890209</v>
      </c>
      <c r="DD95" s="27">
        <f>IF(BE95&lt;&gt;-999,BE95*$DA95, -999)</f>
        <v>-37996468.045074031</v>
      </c>
      <c r="DE95">
        <f t="shared" si="53"/>
        <v>-52.227000000000004</v>
      </c>
      <c r="DF95">
        <f>IF(BF95&lt;&gt;-999,BF95*$DE95, -999)</f>
        <v>-23964739.736787774</v>
      </c>
      <c r="DG95">
        <f>IF(BG95&lt;&gt;-999,BG95*$DE95, -999)</f>
        <v>-10544723.008299258</v>
      </c>
      <c r="DH95" s="27">
        <f>IF(BH95&lt;&gt;-999,BH95*$DE95, -999)</f>
        <v>-34509462.745087028</v>
      </c>
      <c r="DI95">
        <f t="shared" si="54"/>
        <v>-60.94</v>
      </c>
      <c r="DJ95">
        <f>IF(BI95&lt;&gt;-999,BI95*$DI95, -999)</f>
        <v>-37393029.541433424</v>
      </c>
      <c r="DK95">
        <f>IF(BJ95&lt;&gt;-999,BJ95*$DI95, -999)</f>
        <v>-16453292.928184232</v>
      </c>
      <c r="DL95" s="27">
        <f>IF(BK95&lt;&gt;-999,BK95*$DI95, -999)</f>
        <v>-53846322.46961765</v>
      </c>
      <c r="DM95" s="28">
        <f t="shared" si="55"/>
        <v>-233182905.92640126</v>
      </c>
      <c r="DN95" s="22">
        <f t="shared" si="56"/>
        <v>-17.170000000000002</v>
      </c>
      <c r="DO95">
        <f>IF(AT95&lt;&gt;-999,AT95*$DN95, -999)</f>
        <v>-10540454.520753695</v>
      </c>
      <c r="DP95">
        <f>IF(AU95&lt;&gt;-999,AU95*$DN95, -999)</f>
        <v>-4637903.6869221022</v>
      </c>
      <c r="DQ95" s="24">
        <f>IF(AV95&lt;&gt;-999,AV95*$DN95, -999)</f>
        <v>-15178358.207675798</v>
      </c>
      <c r="DR95">
        <f t="shared" si="57"/>
        <v>-19.943000000000001</v>
      </c>
      <c r="DS95">
        <f>IF(AW95&lt;&gt;-999,AW95*$DR95, -999)</f>
        <v>-10252288.189382115</v>
      </c>
      <c r="DT95">
        <f>IF(AX95&lt;&gt;-999,AX95*$DR95, -999)</f>
        <v>-4511106.3997355849</v>
      </c>
      <c r="DU95" s="24">
        <f>IF(AY95&lt;&gt;-999,AY95*$DR95, -999)</f>
        <v>-14763394.589117698</v>
      </c>
      <c r="DV95">
        <f t="shared" si="58"/>
        <v>-25.870999999999999</v>
      </c>
      <c r="DW95">
        <f>IF(AZ95&lt;&gt;-999,AZ95*$DV95, -999)</f>
        <v>-17785004.269334957</v>
      </c>
      <c r="DX95">
        <f>IF(BA95&lt;&gt;-999,BA95*$DV95, -999)</f>
        <v>-7825576.21393409</v>
      </c>
      <c r="DY95" s="24">
        <f>IF(BB95&lt;&gt;-999,BB95*$DV95, -999)</f>
        <v>-25610580.483269043</v>
      </c>
      <c r="DZ95">
        <f t="shared" si="59"/>
        <v>-25.245000000000001</v>
      </c>
      <c r="EA95">
        <f>IF(BC95&lt;&gt;-999, BC95*$DZ95, -999)</f>
        <v>-13832855.845090609</v>
      </c>
      <c r="EB95">
        <f>IF(BD95&lt;&gt;-999, BD95*$DZ95, -999)</f>
        <v>-6086592.5646090405</v>
      </c>
      <c r="EC95" s="24">
        <f>IF(BE95&lt;&gt;-999, BE95*$DZ95, -999)</f>
        <v>-19919444.207203694</v>
      </c>
      <c r="ED95">
        <f t="shared" si="60"/>
        <v>-29.317</v>
      </c>
      <c r="EE95">
        <f>IF(BF95&lt;&gt;-999,BF95*$ED95, -999)</f>
        <v>-13452319.200095871</v>
      </c>
      <c r="EF95">
        <f>IF(BG95&lt;&gt;-999,BG95*$ED95, -999)</f>
        <v>-5919153.7793537695</v>
      </c>
      <c r="EG95" s="24">
        <f>IF(BH95&lt;&gt;-999,BH95*$ED95, -999)</f>
        <v>-19371472.979449641</v>
      </c>
      <c r="EH95">
        <f t="shared" si="61"/>
        <v>-38.03</v>
      </c>
      <c r="EI95">
        <f>IF(BI95&lt;&gt;-999,BI95*$EH95, -999)</f>
        <v>-23335361.231715016</v>
      </c>
      <c r="EJ95">
        <f>IF(BJ95&lt;&gt;-999,BJ95*$EH95, -999)</f>
        <v>-10267783.558563283</v>
      </c>
      <c r="EK95" s="24">
        <f>IF(BK95&lt;&gt;-999,BK95*$EH95, -999)</f>
        <v>-33603144.790278301</v>
      </c>
      <c r="EL95" s="28">
        <f t="shared" si="62"/>
        <v>-128446395.25699419</v>
      </c>
      <c r="EM95" s="22">
        <f>-17.17-(0.1023*G95)+H95*(100+102.093-66.644-64.243)</f>
        <v>16.936619703891552</v>
      </c>
      <c r="EN95">
        <f>IF(AT95&lt;&gt;-999,AT95*$EM95, -999)</f>
        <v>10397185.190691311</v>
      </c>
      <c r="EO95">
        <f>IF(AU95&lt;&gt;-999,AU95*$EM95, -999)</f>
        <v>4574863.7722001253</v>
      </c>
      <c r="EP95" s="23">
        <f>IF(AV95&lt;&gt;-999,AV95*$EM95, -999)</f>
        <v>14972048.962891437</v>
      </c>
      <c r="EQ95">
        <f>-19.943-(0.1023*G95)+H95*(100+102.093-66.644-64.243)</f>
        <v>14.163619703891548</v>
      </c>
      <c r="ER95">
        <f>IF(AW95&lt;&gt;-999,AW95*$EQ95, -999)</f>
        <v>7281227.0475408472</v>
      </c>
      <c r="ES95">
        <f>IF(AX95&lt;&gt;-999,AX95*$EQ95, -999)</f>
        <v>3203810.6347914655</v>
      </c>
      <c r="ET95" s="23">
        <f>IF(AY95&lt;&gt;-999,AY95*$EQ95, -999)</f>
        <v>10485037.682332311</v>
      </c>
      <c r="EU95">
        <f>-25.871-(0.1023*G95)+H95*(100+102.093-66.644-64.243)</f>
        <v>8.2356197038915511</v>
      </c>
      <c r="EV95">
        <f>IF(AZ95&lt;&gt;-999,AZ95*$EU95, -999)</f>
        <v>5661572.0920849731</v>
      </c>
      <c r="EW95">
        <f>IF(BA95&lt;&gt;-999,BA95*$EU95, -999)</f>
        <v>2491147.2174164369</v>
      </c>
      <c r="EX95" s="23">
        <f>IF(BB95&lt;&gt;-999,BB95*$EU95, -999)</f>
        <v>8152719.3095014095</v>
      </c>
      <c r="EY95">
        <f>-25.245-(0.1023*G95)+H95*(100+102.093-66.644-64.243)</f>
        <v>8.8616197038915558</v>
      </c>
      <c r="EZ95">
        <f>IF(BC95&lt;&gt;-999, BC95*$EY95, -999)</f>
        <v>4855674.7046126528</v>
      </c>
      <c r="FA95">
        <f>IF(BD95&lt;&gt;-999, BD95*$EY95, -999)</f>
        <v>2136544.6068567759</v>
      </c>
      <c r="FB95" s="23">
        <f>IF(BE95&lt;&gt;-999, BE95*$EY95, -999)</f>
        <v>6992217.8362893546</v>
      </c>
      <c r="FC95">
        <f>-29.317-(0.1023*G95)+H95*(100+102.093-66.644-64.243)</f>
        <v>4.7896197038915531</v>
      </c>
      <c r="FD95">
        <f>IF(BF95&lt;&gt;-999,BF95*$FC95, -999)</f>
        <v>2197751.9222232099</v>
      </c>
      <c r="FE95">
        <f>IF(BG95&lt;&gt;-999,BG95*$FC95, -999)</f>
        <v>967032.62857580825</v>
      </c>
      <c r="FF95" s="23">
        <f>IF(BH95&lt;&gt;-999,BH95*$FC95, -999)</f>
        <v>3164784.5507990182</v>
      </c>
      <c r="FG95">
        <f>-38.03-(0.1023*G95)+H95*(100+102.093-66.644-64.243)</f>
        <v>-3.9233802961084479</v>
      </c>
      <c r="FH95">
        <f>IF(BI95&lt;&gt;-999,BI95*$FG95, -999)</f>
        <v>-2407401.9579038564</v>
      </c>
      <c r="FI95">
        <f>IF(BJ95&lt;&gt;-999,BJ95*$FG95, -999)</f>
        <v>-1059280.0341407694</v>
      </c>
      <c r="FJ95" s="23">
        <f>IF(BK95&lt;&gt;-999,BK95*$FG95, -999)</f>
        <v>-3466681.9920446253</v>
      </c>
      <c r="FK95" s="28">
        <f t="shared" si="63"/>
        <v>40300126.349768907</v>
      </c>
      <c r="FL95" s="22">
        <f t="shared" si="66"/>
        <v>10.012280000000011</v>
      </c>
      <c r="FM95">
        <f>IF(AT95&lt;&gt;-999,AT95*$FL95, -999)</f>
        <v>6146417.1222511306</v>
      </c>
      <c r="FN95">
        <f>IF(AU95&lt;&gt;-999,AU95*$FL95, -999)</f>
        <v>2704484.0027080067</v>
      </c>
      <c r="FO95" s="29">
        <f>IF(AV95&lt;&gt;-999,AV95*$FL95, -999)</f>
        <v>8850901.1249591373</v>
      </c>
      <c r="FP95">
        <f t="shared" si="67"/>
        <v>7.2392800000000115</v>
      </c>
      <c r="FQ95">
        <f>IF(AW95&lt;&gt;-999,AW95*$FP95, -999)</f>
        <v>3721565.7044391651</v>
      </c>
      <c r="FR95">
        <f>IF(AX95&lt;&gt;-999,AX95*$FP95, -999)</f>
        <v>1637525.0633043111</v>
      </c>
      <c r="FS95" s="29">
        <f>IF(AY95&lt;&gt;-999,AY95*$FP95, -999)</f>
        <v>5359090.7677434757</v>
      </c>
      <c r="FT95">
        <f t="shared" si="68"/>
        <v>1.3112800000000142</v>
      </c>
      <c r="FU95">
        <f>IF(AZ95&lt;&gt;-999,AZ95*$FT95, -999)</f>
        <v>901438.69190575532</v>
      </c>
      <c r="FV95">
        <f>IF(BA95&lt;&gt;-999,BA95*$FT95, -999)</f>
        <v>396641.86068600387</v>
      </c>
      <c r="FW95" s="29">
        <f>IF(BB95&lt;&gt;-999,BB95*$FT95, -999)</f>
        <v>1298080.552591759</v>
      </c>
      <c r="FX95">
        <f t="shared" si="69"/>
        <v>1.9372800000000119</v>
      </c>
      <c r="FY95">
        <f>IF(BC95&lt;&gt;-999, BC95*$FX95, -999)</f>
        <v>1061521.6863369895</v>
      </c>
      <c r="FZ95">
        <f>IF(BD95&lt;&gt;-999, BD95*$FX95, -999)</f>
        <v>467079.97795864032</v>
      </c>
      <c r="GA95" s="29">
        <f>IF(BE95&lt;&gt;-999, BE95*$FX95, -999)</f>
        <v>1528601.3417996359</v>
      </c>
      <c r="GB95">
        <f t="shared" si="70"/>
        <v>-2.1347199999999873</v>
      </c>
      <c r="GC95">
        <f>IF(BF95&lt;&gt;-999,BF95*$GB95, -999)</f>
        <v>-979531.83623250981</v>
      </c>
      <c r="GD95">
        <f>IF(BG95&lt;&gt;-999,BG95*$GB95, -999)</f>
        <v>-431003.71647378668</v>
      </c>
      <c r="GE95" s="29">
        <f>IF(BH95&lt;&gt;-999,BH95*$GB95, -999)</f>
        <v>-1410535.5527062963</v>
      </c>
      <c r="GF95">
        <f t="shared" si="71"/>
        <v>-10.847719999999988</v>
      </c>
      <c r="GG95">
        <f>IF(BI95&lt;&gt;-999,BI95*$GF95, -999)</f>
        <v>-6656204.699986835</v>
      </c>
      <c r="GH95">
        <f>IF(BJ95&lt;&gt;-999,BJ95*$GF95, -999)</f>
        <v>-2928794.1378884553</v>
      </c>
      <c r="GI95" s="29">
        <f>IF(BK95&lt;&gt;-999,BK95*$GF95, -999)</f>
        <v>-9584998.8378752898</v>
      </c>
      <c r="GJ95" s="30">
        <f t="shared" si="64"/>
        <v>6041139.3965124227</v>
      </c>
    </row>
    <row r="96" spans="1:192">
      <c r="A96" s="48" t="s">
        <v>178</v>
      </c>
      <c r="B96" s="48" t="s">
        <v>173</v>
      </c>
      <c r="C96" s="49">
        <v>154</v>
      </c>
      <c r="D96" s="50">
        <v>0.73899999999999999</v>
      </c>
      <c r="E96" s="49">
        <v>191.34069226751399</v>
      </c>
      <c r="F96" s="49">
        <v>0.78052417032934895</v>
      </c>
      <c r="G96" s="49">
        <v>208.853164518803</v>
      </c>
      <c r="H96" s="49">
        <v>0.80866712362817095</v>
      </c>
      <c r="I96" s="42">
        <v>88128.4</v>
      </c>
      <c r="J96" s="43">
        <v>54084.6</v>
      </c>
      <c r="K96" s="43">
        <f t="shared" si="39"/>
        <v>142213</v>
      </c>
      <c r="L96" s="43">
        <v>71994.600000000006</v>
      </c>
      <c r="M96" s="43">
        <v>44183.3</v>
      </c>
      <c r="N96" s="43">
        <f t="shared" si="40"/>
        <v>116177.90000000001</v>
      </c>
      <c r="O96" s="43">
        <v>164071.6</v>
      </c>
      <c r="P96" s="43">
        <v>100691.2</v>
      </c>
      <c r="Q96" s="43">
        <f t="shared" si="41"/>
        <v>264762.8</v>
      </c>
      <c r="R96" s="43">
        <v>89181.4</v>
      </c>
      <c r="S96" s="43">
        <v>54730.9</v>
      </c>
      <c r="T96" s="43">
        <f t="shared" si="42"/>
        <v>143912.29999999999</v>
      </c>
      <c r="U96" s="43">
        <v>72854.8</v>
      </c>
      <c r="V96" s="43">
        <v>44711.199999999997</v>
      </c>
      <c r="W96" s="43">
        <f t="shared" si="43"/>
        <v>117566</v>
      </c>
      <c r="X96" s="43">
        <v>166032</v>
      </c>
      <c r="Y96" s="43">
        <v>101894.3</v>
      </c>
      <c r="Z96" s="43">
        <f t="shared" si="44"/>
        <v>267926.3</v>
      </c>
      <c r="AA96" s="22">
        <v>1237151.3999999999</v>
      </c>
      <c r="AB96">
        <v>615603.19999999995</v>
      </c>
      <c r="AC96">
        <v>1852754.6</v>
      </c>
      <c r="AD96">
        <v>1010664.1</v>
      </c>
      <c r="AE96">
        <v>502903.8</v>
      </c>
      <c r="AF96">
        <v>1513567.9</v>
      </c>
      <c r="AG96">
        <v>2303246.7999999998</v>
      </c>
      <c r="AH96">
        <v>1146089.5</v>
      </c>
      <c r="AI96">
        <v>3449336.3</v>
      </c>
      <c r="AJ96">
        <v>1251933.5</v>
      </c>
      <c r="AK96">
        <v>622958.80000000005</v>
      </c>
      <c r="AL96">
        <v>1874892.2</v>
      </c>
      <c r="AM96">
        <v>1022740.1</v>
      </c>
      <c r="AN96">
        <v>508912.7</v>
      </c>
      <c r="AO96">
        <v>1531652.8</v>
      </c>
      <c r="AP96">
        <v>2330767.2000000002</v>
      </c>
      <c r="AQ96">
        <v>1159783.5</v>
      </c>
      <c r="AR96">
        <v>3490550.7</v>
      </c>
      <c r="AS96">
        <v>13712754.529999999</v>
      </c>
      <c r="AT96" s="22">
        <f t="shared" si="74"/>
        <v>2059466.7288045147</v>
      </c>
      <c r="AU96">
        <f t="shared" si="74"/>
        <v>1024785.08980032</v>
      </c>
      <c r="AV96">
        <f t="shared" si="74"/>
        <v>3084251.8186048353</v>
      </c>
      <c r="AW96">
        <f t="shared" si="74"/>
        <v>1682436.8367098474</v>
      </c>
      <c r="AX96">
        <f t="shared" si="74"/>
        <v>837176.14827850496</v>
      </c>
      <c r="AY96">
        <f t="shared" si="74"/>
        <v>2519612.9849883527</v>
      </c>
      <c r="AZ96">
        <f t="shared" si="74"/>
        <v>3834179.1900534295</v>
      </c>
      <c r="BA96">
        <f t="shared" si="74"/>
        <v>1907877.3976105126</v>
      </c>
      <c r="BB96">
        <f t="shared" si="73"/>
        <v>5742056.587663942</v>
      </c>
      <c r="BC96">
        <f t="shared" si="73"/>
        <v>2084074.2611824127</v>
      </c>
      <c r="BD96">
        <f t="shared" si="73"/>
        <v>1037029.84292463</v>
      </c>
      <c r="BE96">
        <f t="shared" si="73"/>
        <v>3121103.9376385948</v>
      </c>
      <c r="BF96">
        <f t="shared" si="73"/>
        <v>1702539.5664299475</v>
      </c>
      <c r="BG96">
        <f t="shared" si="65"/>
        <v>847179.0708203325</v>
      </c>
      <c r="BH96">
        <f t="shared" si="65"/>
        <v>2549718.63725028</v>
      </c>
      <c r="BI96">
        <f t="shared" si="65"/>
        <v>3879991.9726792201</v>
      </c>
      <c r="BJ96">
        <f t="shared" si="38"/>
        <v>1930673.5868111628</v>
      </c>
      <c r="BK96">
        <f t="shared" si="38"/>
        <v>5810665.5594903827</v>
      </c>
      <c r="BL96">
        <f t="shared" si="38"/>
        <v>22827409.57557692</v>
      </c>
      <c r="BM96" s="22">
        <f>-17.17-(0.1023*E96)+F96*(100-8.576-13.681)</f>
        <v>23.9361377549479</v>
      </c>
      <c r="BN96">
        <f>IF(AT96&lt;&gt;-999,AT96*$BM96, -999)</f>
        <v>49295679.322396792</v>
      </c>
      <c r="BO96">
        <f>IF(AU96&lt;&gt;-999,AU96*$BM96, -999)</f>
        <v>24529397.078677114</v>
      </c>
      <c r="BP96" s="25">
        <f>IF(AV96&lt;&gt;-999,AV96*$BM96, -999)</f>
        <v>73825076.401073918</v>
      </c>
      <c r="BQ96">
        <f>-19.943-(0.1023*E96)+F96*(100-8.576-13.681)</f>
        <v>21.163137754947904</v>
      </c>
      <c r="BR96">
        <f>IF(AW96&lt;&gt;-999,AW96*$BQ96, -999)</f>
        <v>35605642.539289296</v>
      </c>
      <c r="BS96">
        <f>IF(AX96&lt;&gt;-999,AX96*$BQ96, -999)</f>
        <v>17717274.151174694</v>
      </c>
      <c r="BT96" s="25">
        <f>IF(AY96&lt;&gt;-999,AY96*$BQ96, -999)</f>
        <v>53322916.690463997</v>
      </c>
      <c r="BU96">
        <f>-25.871-(0.1023*E96)+F96*(100-8.576-13.681)</f>
        <v>15.235137754947907</v>
      </c>
      <c r="BV96">
        <f>IF(AZ96&lt;&gt;-999,AZ96*$BU96, -999)</f>
        <v>58414248.137618586</v>
      </c>
      <c r="BW96">
        <f>IF(BA96&lt;&gt;-999,BA96*$BU96, -999)</f>
        <v>29066774.972147681</v>
      </c>
      <c r="BX96" s="25">
        <f>IF(BB96&lt;&gt;-999,BB96*$BU96, -999)</f>
        <v>87481023.109766275</v>
      </c>
      <c r="BY96">
        <f>-25.245-(0.1023*E96)+F96*(100-8.576-13.681)</f>
        <v>15.861137754947897</v>
      </c>
      <c r="BZ96">
        <f>IF(BC96&lt;&gt;-999,BC96*$BY96, -999)</f>
        <v>33055788.948155511</v>
      </c>
      <c r="CA96">
        <f>IF(BD96&lt;&gt;-999,BD96*$BY96, -999)</f>
        <v>16448473.194619536</v>
      </c>
      <c r="CB96" s="25">
        <f>IF(BE96&lt;&gt;-999,BE96*$BY96, -999)</f>
        <v>49504259.502396062</v>
      </c>
      <c r="CC96">
        <f>-29.317-(0.1023*E96)+F96*(100-8.576-13.681)</f>
        <v>11.789137754947902</v>
      </c>
      <c r="CD96">
        <f>IF(BF96&lt;&gt;-999,BF96*$CC96, -999)</f>
        <v>20071473.481891926</v>
      </c>
      <c r="CE96">
        <f>IF(BG96&lt;&gt;-999,BG96*$CC96, -999)</f>
        <v>9987510.7690096647</v>
      </c>
      <c r="CF96" s="25">
        <f>IF(BH96&lt;&gt;-999,BH96*$CC96, -999)</f>
        <v>30058984.250901591</v>
      </c>
      <c r="CG96">
        <f>-38.03-(0.1023*E96)+F96*(100-8.576-13.681)</f>
        <v>3.0761377549479008</v>
      </c>
      <c r="CH96">
        <f>IF(BI96&lt;&gt;-999,BI96*$CG96, -999)</f>
        <v>11935389.796053333</v>
      </c>
      <c r="CI96">
        <f>IF(BJ96&lt;&gt;-999,BJ96*$CG96, -999)</f>
        <v>5939017.9128705012</v>
      </c>
      <c r="CJ96" s="25">
        <f>IF(BK96&lt;&gt;-999,BK96*$CG96, -999)</f>
        <v>17874407.708923832</v>
      </c>
      <c r="CK96" s="26">
        <f t="shared" si="45"/>
        <v>312066667.66352564</v>
      </c>
      <c r="CL96">
        <f t="shared" si="46"/>
        <v>-24.187233963615711</v>
      </c>
      <c r="CM96">
        <f t="shared" si="47"/>
        <v>34.036459456184588</v>
      </c>
      <c r="CN96">
        <f t="shared" si="48"/>
        <v>-81.405192993834234</v>
      </c>
      <c r="CO96" s="22">
        <f t="shared" si="49"/>
        <v>-40.08</v>
      </c>
      <c r="CP96">
        <f>IF(AT96&lt;&gt;-999,AT96*$CO96, -999)</f>
        <v>-82543426.490484953</v>
      </c>
      <c r="CQ96">
        <f>IF(AU96&lt;&gt;-999,AU96*$CO96, -999)</f>
        <v>-41073386.399196826</v>
      </c>
      <c r="CR96" s="27">
        <f>IF(AV96&lt;&gt;-999,AV96*$CO96, -999)</f>
        <v>-123616812.8896818</v>
      </c>
      <c r="CS96">
        <f t="shared" si="50"/>
        <v>-42.853000000000002</v>
      </c>
      <c r="CT96">
        <f>IF(AW96&lt;&gt;-999,AW96*$CS96, -999)</f>
        <v>-72097465.763527095</v>
      </c>
      <c r="CU96">
        <f>IF(AX96&lt;&gt;-999,AX96*$CS96, -999)</f>
        <v>-35875509.482178777</v>
      </c>
      <c r="CV96" s="27">
        <f>IF(AY96&lt;&gt;-999,AY96*$CS96, -999)</f>
        <v>-107972975.24570589</v>
      </c>
      <c r="CW96">
        <f t="shared" si="51"/>
        <v>-48.780999999999999</v>
      </c>
      <c r="CX96">
        <f>IF(AZ96&lt;&gt;-999,AZ96*$CO96, -999)</f>
        <v>-153673901.93734145</v>
      </c>
      <c r="CY96">
        <f>IF(BA96&lt;&gt;-999,BA96*$CO96, -999)</f>
        <v>-76467726.096229345</v>
      </c>
      <c r="CZ96" s="27">
        <f>IF(BB96&lt;&gt;-999,BB96*$CO96, -999)</f>
        <v>-230141628.0335708</v>
      </c>
      <c r="DA96">
        <f t="shared" si="52"/>
        <v>-48.155000000000001</v>
      </c>
      <c r="DB96">
        <f>IF(BC96&lt;&gt;-999,BC96*$DA96, -999)</f>
        <v>-100358596.04723909</v>
      </c>
      <c r="DC96">
        <f>IF(BD96&lt;&gt;-999,BD96*$DA96, -999)</f>
        <v>-49938172.086035557</v>
      </c>
      <c r="DD96" s="27">
        <f>IF(BE96&lt;&gt;-999,BE96*$DA96, -999)</f>
        <v>-150296760.11698654</v>
      </c>
      <c r="DE96">
        <f t="shared" si="53"/>
        <v>-52.227000000000004</v>
      </c>
      <c r="DF96">
        <f>IF(BF96&lt;&gt;-999,BF96*$DE96, -999)</f>
        <v>-88918533.935936868</v>
      </c>
      <c r="DG96">
        <f>IF(BG96&lt;&gt;-999,BG96*$DE96, -999)</f>
        <v>-44245621.33173351</v>
      </c>
      <c r="DH96" s="27">
        <f>IF(BH96&lt;&gt;-999,BH96*$DE96, -999)</f>
        <v>-133164155.26767038</v>
      </c>
      <c r="DI96">
        <f t="shared" si="54"/>
        <v>-60.94</v>
      </c>
      <c r="DJ96">
        <f>IF(BI96&lt;&gt;-999,BI96*$DI96, -999)</f>
        <v>-236446710.81507167</v>
      </c>
      <c r="DK96">
        <f>IF(BJ96&lt;&gt;-999,BJ96*$DI96, -999)</f>
        <v>-117655248.38027225</v>
      </c>
      <c r="DL96" s="27">
        <f>IF(BK96&lt;&gt;-999,BK96*$DI96, -999)</f>
        <v>-354101959.19534391</v>
      </c>
      <c r="DM96" s="28">
        <f t="shared" si="55"/>
        <v>-1099294290.7489593</v>
      </c>
      <c r="DN96" s="22">
        <f t="shared" si="56"/>
        <v>-17.170000000000002</v>
      </c>
      <c r="DO96">
        <f>IF(AT96&lt;&gt;-999,AT96*$DN96, -999)</f>
        <v>-35361043.733573519</v>
      </c>
      <c r="DP96">
        <f>IF(AU96&lt;&gt;-999,AU96*$DN96, -999)</f>
        <v>-17595559.991871495</v>
      </c>
      <c r="DQ96" s="24">
        <f>IF(AV96&lt;&gt;-999,AV96*$DN96, -999)</f>
        <v>-52956603.725445025</v>
      </c>
      <c r="DR96">
        <f t="shared" si="57"/>
        <v>-19.943000000000001</v>
      </c>
      <c r="DS96">
        <f>IF(AW96&lt;&gt;-999,AW96*$DR96, -999)</f>
        <v>-33552837.834504489</v>
      </c>
      <c r="DT96">
        <f>IF(AX96&lt;&gt;-999,AX96*$DR96, -999)</f>
        <v>-16695803.925118225</v>
      </c>
      <c r="DU96" s="24">
        <f>IF(AY96&lt;&gt;-999,AY96*$DR96, -999)</f>
        <v>-50248641.759622723</v>
      </c>
      <c r="DV96">
        <f t="shared" si="58"/>
        <v>-25.870999999999999</v>
      </c>
      <c r="DW96">
        <f>IF(AZ96&lt;&gt;-999,AZ96*$DV96, -999)</f>
        <v>-99194049.825872272</v>
      </c>
      <c r="DX96">
        <f>IF(BA96&lt;&gt;-999,BA96*$DV96, -999)</f>
        <v>-49358696.153581567</v>
      </c>
      <c r="DY96" s="24">
        <f>IF(BB96&lt;&gt;-999,BB96*$DV96, -999)</f>
        <v>-148552745.97945383</v>
      </c>
      <c r="DZ96">
        <f t="shared" si="59"/>
        <v>-25.245000000000001</v>
      </c>
      <c r="EA96">
        <f>IF(BC96&lt;&gt;-999, BC96*$DZ96, -999)</f>
        <v>-52612454.723550014</v>
      </c>
      <c r="EB96">
        <f>IF(BD96&lt;&gt;-999, BD96*$DZ96, -999)</f>
        <v>-26179818.384632286</v>
      </c>
      <c r="EC96" s="24">
        <f>IF(BE96&lt;&gt;-999, BE96*$DZ96, -999)</f>
        <v>-78792268.905686334</v>
      </c>
      <c r="ED96">
        <f t="shared" si="60"/>
        <v>-29.317</v>
      </c>
      <c r="EE96">
        <f>IF(BF96&lt;&gt;-999,BF96*$ED96, -999)</f>
        <v>-49913352.469026774</v>
      </c>
      <c r="EF96">
        <f>IF(BG96&lt;&gt;-999,BG96*$ED96, -999)</f>
        <v>-24836748.819239687</v>
      </c>
      <c r="EG96" s="24">
        <f>IF(BH96&lt;&gt;-999,BH96*$ED96, -999)</f>
        <v>-74750101.288266465</v>
      </c>
      <c r="EH96">
        <f t="shared" si="61"/>
        <v>-38.03</v>
      </c>
      <c r="EI96">
        <f>IF(BI96&lt;&gt;-999,BI96*$EH96, -999)</f>
        <v>-147556094.72099075</v>
      </c>
      <c r="EJ96">
        <f>IF(BJ96&lt;&gt;-999,BJ96*$EH96, -999)</f>
        <v>-73423516.506428525</v>
      </c>
      <c r="EK96" s="24">
        <f>IF(BK96&lt;&gt;-999,BK96*$EH96, -999)</f>
        <v>-220979611.22741926</v>
      </c>
      <c r="EL96" s="28">
        <f t="shared" si="62"/>
        <v>-626279972.88589358</v>
      </c>
      <c r="EM96" s="22">
        <f>-17.17-(0.1023*G96)+H96*(100+102.093-66.644-64.243)</f>
        <v>19.046272474794009</v>
      </c>
      <c r="EN96">
        <f>IF(AT96&lt;&gt;-999,AT96*$EM96, -999)</f>
        <v>39225164.469583489</v>
      </c>
      <c r="EO96">
        <f>IF(AU96&lt;&gt;-999,AU96*$EM96, -999)</f>
        <v>19518336.048443142</v>
      </c>
      <c r="EP96" s="23">
        <f>IF(AV96&lt;&gt;-999,AV96*$EM96, -999)</f>
        <v>58743500.518026635</v>
      </c>
      <c r="EQ96">
        <f>-19.943-(0.1023*G96)+H96*(100+102.093-66.644-64.243)</f>
        <v>16.273272474794005</v>
      </c>
      <c r="ER96">
        <f>IF(AW96&lt;&gt;-999,AW96*$EQ96, -999)</f>
        <v>27378753.065409858</v>
      </c>
      <c r="ES96">
        <f>IF(AX96&lt;&gt;-999,AX96*$EQ96, -999)</f>
        <v>13623595.57033466</v>
      </c>
      <c r="ET96" s="23">
        <f>IF(AY96&lt;&gt;-999,AY96*$EQ96, -999)</f>
        <v>41002348.63574452</v>
      </c>
      <c r="EU96">
        <f>-25.871-(0.1023*G96)+H96*(100+102.093-66.644-64.243)</f>
        <v>10.345272474794008</v>
      </c>
      <c r="EV96">
        <f>IF(AZ96&lt;&gt;-999,AZ96*$EU96, -999)</f>
        <v>39665628.438287728</v>
      </c>
      <c r="EW96">
        <f>IF(BA96&lt;&gt;-999,BA96*$EU96, -999)</f>
        <v>19737511.52678166</v>
      </c>
      <c r="EX96" s="23">
        <f>IF(BB96&lt;&gt;-999,BB96*$EU96, -999)</f>
        <v>59403139.965069383</v>
      </c>
      <c r="EY96">
        <f>-25.245-(0.1023*G96)+H96*(100+102.093-66.644-64.243)</f>
        <v>10.971272474794006</v>
      </c>
      <c r="EZ96">
        <f>IF(BC96&lt;&gt;-999, BC96*$EY96, -999)</f>
        <v>22864946.577137258</v>
      </c>
      <c r="FA96">
        <f>IF(BD96&lt;&gt;-999, BD96*$EY96, -999)</f>
        <v>11377536.971218945</v>
      </c>
      <c r="FB96" s="23">
        <f>IF(BE96&lt;&gt;-999, BE96*$EY96, -999)</f>
        <v>34242481.721985504</v>
      </c>
      <c r="FC96">
        <f>-29.317-(0.1023*G96)+H96*(100+102.093-66.644-64.243)</f>
        <v>6.8992724747940031</v>
      </c>
      <c r="FD96">
        <f>IF(BF96&lt;&gt;-999,BF96*$FC96, -999)</f>
        <v>11746284.367917852</v>
      </c>
      <c r="FE96">
        <f>IF(BG96&lt;&gt;-999,BG96*$FC96, -999)</f>
        <v>5844919.2445322797</v>
      </c>
      <c r="FF96" s="23">
        <f>IF(BH96&lt;&gt;-999,BH96*$FC96, -999)</f>
        <v>17591203.612450134</v>
      </c>
      <c r="FG96">
        <f>-38.03-(0.1023*G96)+H96*(100+102.093-66.644-64.243)</f>
        <v>-1.8137275252059908</v>
      </c>
      <c r="FH96">
        <f>IF(BI96&lt;&gt;-999,BI96*$FG96, -999)</f>
        <v>-7037248.2384265922</v>
      </c>
      <c r="FI96">
        <f>IF(BJ96&lt;&gt;-999,BJ96*$FG96, -999)</f>
        <v>-3501715.8265875839</v>
      </c>
      <c r="FJ96" s="23">
        <f>IF(BK96&lt;&gt;-999,BK96*$FG96, -999)</f>
        <v>-10538964.065014176</v>
      </c>
      <c r="FK96" s="28">
        <f t="shared" si="63"/>
        <v>200443710.38826197</v>
      </c>
      <c r="FL96" s="22">
        <f t="shared" si="66"/>
        <v>10.012280000000011</v>
      </c>
      <c r="FM96">
        <f>IF(AT96&lt;&gt;-999,AT96*$FL96, -999)</f>
        <v>20619957.53947489</v>
      </c>
      <c r="FN96">
        <f>IF(AU96&lt;&gt;-999,AU96*$FL96, -999)</f>
        <v>10260435.258905958</v>
      </c>
      <c r="FO96" s="29">
        <f>IF(AV96&lt;&gt;-999,AV96*$FL96, -999)</f>
        <v>30880392.798380855</v>
      </c>
      <c r="FP96">
        <f t="shared" si="67"/>
        <v>7.2392800000000115</v>
      </c>
      <c r="FQ96">
        <f>IF(AW96&lt;&gt;-999,AW96*$FP96, -999)</f>
        <v>12179631.343256883</v>
      </c>
      <c r="FR96">
        <f>IF(AX96&lt;&gt;-999,AX96*$FP96, -999)</f>
        <v>6060552.5467096251</v>
      </c>
      <c r="FS96" s="29">
        <f>IF(AY96&lt;&gt;-999,AY96*$FP96, -999)</f>
        <v>18240183.88996651</v>
      </c>
      <c r="FT96">
        <f t="shared" si="68"/>
        <v>1.3112800000000142</v>
      </c>
      <c r="FU96">
        <f>IF(AZ96&lt;&gt;-999,AZ96*$FT96, -999)</f>
        <v>5027682.4883333156</v>
      </c>
      <c r="FV96">
        <f>IF(BA96&lt;&gt;-999,BA96*$FT96, -999)</f>
        <v>2501761.4739387399</v>
      </c>
      <c r="FW96" s="29">
        <f>IF(BB96&lt;&gt;-999,BB96*$FT96, -999)</f>
        <v>7529443.9622720554</v>
      </c>
      <c r="FX96">
        <f t="shared" si="69"/>
        <v>1.9372800000000119</v>
      </c>
      <c r="FY96">
        <f>IF(BC96&lt;&gt;-999, BC96*$FX96, -999)</f>
        <v>4037435.3847034895</v>
      </c>
      <c r="FZ96">
        <f>IF(BD96&lt;&gt;-999, BD96*$FX96, -999)</f>
        <v>2009017.1741010395</v>
      </c>
      <c r="GA96" s="29">
        <f>IF(BE96&lt;&gt;-999, BE96*$FX96, -999)</f>
        <v>6046452.2363085337</v>
      </c>
      <c r="GB96">
        <f t="shared" si="70"/>
        <v>-2.1347199999999873</v>
      </c>
      <c r="GC96">
        <f>IF(BF96&lt;&gt;-999,BF96*$GB96, -999)</f>
        <v>-3634445.2632493158</v>
      </c>
      <c r="GD96">
        <f>IF(BG96&lt;&gt;-999,BG96*$GB96, -999)</f>
        <v>-1808490.1060615694</v>
      </c>
      <c r="GE96" s="29">
        <f>IF(BH96&lt;&gt;-999,BH96*$GB96, -999)</f>
        <v>-5442935.3693108857</v>
      </c>
      <c r="GF96">
        <f t="shared" si="71"/>
        <v>-10.847719999999988</v>
      </c>
      <c r="GG96">
        <f>IF(BI96&lt;&gt;-999,BI96*$GF96, -999)</f>
        <v>-42089066.521871783</v>
      </c>
      <c r="GH96">
        <f>IF(BJ96&lt;&gt;-999,BJ96*$GF96, -999)</f>
        <v>-20943406.481123164</v>
      </c>
      <c r="GI96" s="29">
        <f>IF(BK96&lt;&gt;-999,BK96*$GF96, -999)</f>
        <v>-63032473.002994947</v>
      </c>
      <c r="GJ96" s="30">
        <f t="shared" si="64"/>
        <v>-5778935.4853778705</v>
      </c>
    </row>
    <row r="97" spans="1:192">
      <c r="A97" s="48" t="s">
        <v>153</v>
      </c>
      <c r="B97" s="48" t="s">
        <v>160</v>
      </c>
      <c r="C97" s="49">
        <v>28</v>
      </c>
      <c r="D97" s="50">
        <v>0.73499999999999999</v>
      </c>
      <c r="E97" s="49">
        <v>150.54301408521201</v>
      </c>
      <c r="F97" s="49">
        <v>0.78488753883614304</v>
      </c>
      <c r="G97" s="49">
        <v>109.13943579497401</v>
      </c>
      <c r="H97" s="49">
        <v>0.81575591524382196</v>
      </c>
      <c r="I97" s="42">
        <v>56725.4</v>
      </c>
      <c r="J97" s="43">
        <v>32328.3</v>
      </c>
      <c r="K97" s="43">
        <f t="shared" si="39"/>
        <v>89053.7</v>
      </c>
      <c r="L97" s="43">
        <v>24630.400000000001</v>
      </c>
      <c r="M97" s="43">
        <v>14037</v>
      </c>
      <c r="N97" s="43">
        <f t="shared" si="40"/>
        <v>38667.4</v>
      </c>
      <c r="O97" s="43">
        <v>42744.5</v>
      </c>
      <c r="P97" s="43">
        <v>24360.400000000001</v>
      </c>
      <c r="Q97" s="43">
        <f t="shared" si="41"/>
        <v>67104.899999999994</v>
      </c>
      <c r="R97" s="43">
        <v>26549.8</v>
      </c>
      <c r="S97" s="43">
        <v>15130.9</v>
      </c>
      <c r="T97" s="43">
        <f t="shared" si="42"/>
        <v>41680.699999999997</v>
      </c>
      <c r="U97" s="43">
        <v>11528</v>
      </c>
      <c r="V97" s="43">
        <v>6569.9</v>
      </c>
      <c r="W97" s="43">
        <f t="shared" si="43"/>
        <v>18097.900000000001</v>
      </c>
      <c r="X97" s="43">
        <v>20006.099999999999</v>
      </c>
      <c r="Y97" s="43">
        <v>11401.7</v>
      </c>
      <c r="Z97" s="43">
        <f t="shared" si="44"/>
        <v>31407.8</v>
      </c>
      <c r="AA97" s="22">
        <v>200508.3</v>
      </c>
      <c r="AB97">
        <v>105652.4</v>
      </c>
      <c r="AC97">
        <v>306160.7</v>
      </c>
      <c r="AD97">
        <v>87061.4</v>
      </c>
      <c r="AE97">
        <v>45874.6</v>
      </c>
      <c r="AF97">
        <v>132936</v>
      </c>
      <c r="AG97">
        <v>151089.79999999999</v>
      </c>
      <c r="AH97">
        <v>79612.600000000006</v>
      </c>
      <c r="AI97">
        <v>230702.4</v>
      </c>
      <c r="AJ97">
        <v>93845.9</v>
      </c>
      <c r="AK97">
        <v>49449.5</v>
      </c>
      <c r="AL97">
        <v>143295.4</v>
      </c>
      <c r="AM97">
        <v>40748.199999999997</v>
      </c>
      <c r="AN97">
        <v>21471.1</v>
      </c>
      <c r="AO97">
        <v>62219.3</v>
      </c>
      <c r="AP97">
        <v>70716</v>
      </c>
      <c r="AQ97">
        <v>37261.9</v>
      </c>
      <c r="AR97">
        <v>107977.9</v>
      </c>
      <c r="AS97">
        <v>983291.74</v>
      </c>
      <c r="AT97" s="22">
        <f t="shared" si="74"/>
        <v>333783.05411864247</v>
      </c>
      <c r="AU97">
        <f t="shared" si="74"/>
        <v>175877.91002648999</v>
      </c>
      <c r="AV97">
        <f t="shared" si="74"/>
        <v>509660.96414513257</v>
      </c>
      <c r="AW97">
        <f t="shared" si="74"/>
        <v>144929.760951765</v>
      </c>
      <c r="AX97">
        <f t="shared" si="74"/>
        <v>76366.734416834995</v>
      </c>
      <c r="AY97">
        <f t="shared" si="74"/>
        <v>221296.49536860001</v>
      </c>
      <c r="AZ97">
        <f t="shared" si="74"/>
        <v>251516.844390855</v>
      </c>
      <c r="BA97">
        <f t="shared" si="74"/>
        <v>132529.85923438502</v>
      </c>
      <c r="BB97">
        <f t="shared" si="73"/>
        <v>384046.70362524001</v>
      </c>
      <c r="BC97">
        <f t="shared" si="73"/>
        <v>156223.81277240248</v>
      </c>
      <c r="BD97">
        <f t="shared" si="73"/>
        <v>82317.814946512503</v>
      </c>
      <c r="BE97">
        <f t="shared" si="73"/>
        <v>238541.627718915</v>
      </c>
      <c r="BF97">
        <f t="shared" si="73"/>
        <v>67832.895924195007</v>
      </c>
      <c r="BG97">
        <f t="shared" si="65"/>
        <v>35742.606831172496</v>
      </c>
      <c r="BH97">
        <f t="shared" si="65"/>
        <v>103575.5027553675</v>
      </c>
      <c r="BI97">
        <f t="shared" si="65"/>
        <v>117719.8273341</v>
      </c>
      <c r="BJ97">
        <f t="shared" si="65"/>
        <v>62029.306439002503</v>
      </c>
      <c r="BK97">
        <f t="shared" si="65"/>
        <v>179749.13377310248</v>
      </c>
      <c r="BL97">
        <f t="shared" si="65"/>
        <v>1636870.4939737367</v>
      </c>
      <c r="BM97" s="22">
        <f>-17.17-(0.1023*E97)+F97*(100-8.576-13.681)</f>
        <v>28.448961590821085</v>
      </c>
      <c r="BN97">
        <f>IF(AT97&lt;&gt;-999,AT97*$BM97, -999)</f>
        <v>9495781.2862882148</v>
      </c>
      <c r="BO97">
        <f>IF(AU97&lt;&gt;-999,AU97*$BM97, -999)</f>
        <v>5003543.9070175001</v>
      </c>
      <c r="BP97" s="25">
        <f>IF(AV97&lt;&gt;-999,AV97*$BM97, -999)</f>
        <v>14499325.19330572</v>
      </c>
      <c r="BQ97">
        <f>-19.943-(0.1023*E97)+F97*(100-8.576-13.681)</f>
        <v>25.675961590821089</v>
      </c>
      <c r="BR97">
        <f>IF(AW97&lt;&gt;-999,AW97*$BQ97, -999)</f>
        <v>3721210.9755644002</v>
      </c>
      <c r="BS97">
        <f>IF(AX97&lt;&gt;-999,AX97*$BQ97, -999)</f>
        <v>1960789.3397030903</v>
      </c>
      <c r="BT97" s="25">
        <f>IF(AY97&lt;&gt;-999,AY97*$BQ97, -999)</f>
        <v>5682000.3152674912</v>
      </c>
      <c r="BU97">
        <f>-25.871-(0.1023*E97)+F97*(100-8.576-13.681)</f>
        <v>19.747961590821092</v>
      </c>
      <c r="BV97">
        <f>IF(AZ97&lt;&gt;-999,AZ97*$BU97, -999)</f>
        <v>4966944.9824751299</v>
      </c>
      <c r="BW97">
        <f>IF(BA97&lt;&gt;-999,BA97*$BU97, -999)</f>
        <v>2617194.5697975615</v>
      </c>
      <c r="BX97" s="25">
        <f>IF(BB97&lt;&gt;-999,BB97*$BU97, -999)</f>
        <v>7584139.5522726914</v>
      </c>
      <c r="BY97">
        <f>-25.245-(0.1023*E97)+F97*(100-8.576-13.681)</f>
        <v>20.373961590821089</v>
      </c>
      <c r="BZ97">
        <f>IF(BC97&lt;&gt;-999,BC97*$BY97, -999)</f>
        <v>3182897.9609965533</v>
      </c>
      <c r="CA97">
        <f>IF(BD97&lt;&gt;-999,BD97*$BY97, -999)</f>
        <v>1677139.9999605638</v>
      </c>
      <c r="CB97" s="25">
        <f>IF(BE97&lt;&gt;-999,BE97*$BY97, -999)</f>
        <v>4860037.9609571174</v>
      </c>
      <c r="CC97">
        <f>-29.317-(0.1023*E97)+F97*(100-8.576-13.681)</f>
        <v>16.301961590821094</v>
      </c>
      <c r="CD97">
        <f>IF(BF97&lt;&gt;-999,BF97*$CC97, -999)</f>
        <v>1105809.2639503917</v>
      </c>
      <c r="CE97">
        <f>IF(BG97&lt;&gt;-999,BG97*$CC97, -999)</f>
        <v>582674.60371759371</v>
      </c>
      <c r="CF97" s="25">
        <f>IF(BH97&lt;&gt;-999,BH97*$CC97, -999)</f>
        <v>1688483.8676679854</v>
      </c>
      <c r="CG97">
        <f>-38.03-(0.1023*E97)+F97*(100-8.576-13.681)</f>
        <v>7.5889615908210857</v>
      </c>
      <c r="CH97">
        <f>IF(BI97&lt;&gt;-999,BI97*$CG97, -999)</f>
        <v>893371.24811657507</v>
      </c>
      <c r="CI97">
        <f>IF(BJ97&lt;&gt;-999,BJ97*$CG97, -999)</f>
        <v>470738.02407086105</v>
      </c>
      <c r="CJ97" s="25">
        <f>IF(BK97&lt;&gt;-999,BK97*$CG97, -999)</f>
        <v>1364109.272187436</v>
      </c>
      <c r="CK97" s="26">
        <f t="shared" si="45"/>
        <v>35678096.161658444</v>
      </c>
      <c r="CL97">
        <f t="shared" si="46"/>
        <v>-29.246492741170933</v>
      </c>
      <c r="CM97">
        <f t="shared" si="47"/>
        <v>28.653521912377187</v>
      </c>
      <c r="CN97">
        <f t="shared" si="48"/>
        <v>-86.146364111562818</v>
      </c>
      <c r="CO97" s="22">
        <f t="shared" si="49"/>
        <v>-40.08</v>
      </c>
      <c r="CP97">
        <f>IF(AT97&lt;&gt;-999,AT97*$CO97, -999)</f>
        <v>-13378024.80907519</v>
      </c>
      <c r="CQ97">
        <f>IF(AU97&lt;&gt;-999,AU97*$CO97, -999)</f>
        <v>-7049186.6338617187</v>
      </c>
      <c r="CR97" s="27">
        <f>IF(AV97&lt;&gt;-999,AV97*$CO97, -999)</f>
        <v>-20427211.442936912</v>
      </c>
      <c r="CS97">
        <f t="shared" si="50"/>
        <v>-42.853000000000002</v>
      </c>
      <c r="CT97">
        <f>IF(AW97&lt;&gt;-999,AW97*$CS97, -999)</f>
        <v>-6210675.0460659852</v>
      </c>
      <c r="CU97">
        <f>IF(AX97&lt;&gt;-999,AX97*$CS97, -999)</f>
        <v>-3272543.6699646302</v>
      </c>
      <c r="CV97" s="27">
        <f>IF(AY97&lt;&gt;-999,AY97*$CS97, -999)</f>
        <v>-9483218.7160306163</v>
      </c>
      <c r="CW97">
        <f t="shared" si="51"/>
        <v>-48.780999999999999</v>
      </c>
      <c r="CX97">
        <f>IF(AZ97&lt;&gt;-999,AZ97*$CO97, -999)</f>
        <v>-10080795.123185467</v>
      </c>
      <c r="CY97">
        <f>IF(BA97&lt;&gt;-999,BA97*$CO97, -999)</f>
        <v>-5311796.7581141517</v>
      </c>
      <c r="CZ97" s="27">
        <f>IF(BB97&lt;&gt;-999,BB97*$CO97, -999)</f>
        <v>-15392591.881299619</v>
      </c>
      <c r="DA97">
        <f t="shared" si="52"/>
        <v>-48.155000000000001</v>
      </c>
      <c r="DB97">
        <f>IF(BC97&lt;&gt;-999,BC97*$DA97, -999)</f>
        <v>-7522957.704055042</v>
      </c>
      <c r="DC97">
        <f>IF(BD97&lt;&gt;-999,BD97*$DA97, -999)</f>
        <v>-3964014.3787493096</v>
      </c>
      <c r="DD97" s="27">
        <f>IF(BE97&lt;&gt;-999,BE97*$DA97, -999)</f>
        <v>-11486972.082804352</v>
      </c>
      <c r="DE97">
        <f t="shared" si="53"/>
        <v>-52.227000000000004</v>
      </c>
      <c r="DF97">
        <f>IF(BF97&lt;&gt;-999,BF97*$DE97, -999)</f>
        <v>-3542708.655432933</v>
      </c>
      <c r="DG97">
        <f>IF(BG97&lt;&gt;-999,BG97*$DE97, -999)</f>
        <v>-1866729.126971646</v>
      </c>
      <c r="DH97" s="27">
        <f>IF(BH97&lt;&gt;-999,BH97*$DE97, -999)</f>
        <v>-5409437.7824045792</v>
      </c>
      <c r="DI97">
        <f t="shared" si="54"/>
        <v>-60.94</v>
      </c>
      <c r="DJ97">
        <f>IF(BI97&lt;&gt;-999,BI97*$DI97, -999)</f>
        <v>-7173846.2777400538</v>
      </c>
      <c r="DK97">
        <f>IF(BJ97&lt;&gt;-999,BJ97*$DI97, -999)</f>
        <v>-3780065.9343928122</v>
      </c>
      <c r="DL97" s="27">
        <f>IF(BK97&lt;&gt;-999,BK97*$DI97, -999)</f>
        <v>-10953912.212132866</v>
      </c>
      <c r="DM97" s="28">
        <f t="shared" si="55"/>
        <v>-73153344.11760895</v>
      </c>
      <c r="DN97" s="22">
        <f t="shared" si="56"/>
        <v>-17.170000000000002</v>
      </c>
      <c r="DO97">
        <f>IF(AT97&lt;&gt;-999,AT97*$DN97, -999)</f>
        <v>-5731055.0392170921</v>
      </c>
      <c r="DP97">
        <f>IF(AU97&lt;&gt;-999,AU97*$DN97, -999)</f>
        <v>-3019823.7151548336</v>
      </c>
      <c r="DQ97" s="24">
        <f>IF(AV97&lt;&gt;-999,AV97*$DN97, -999)</f>
        <v>-8750878.7543719281</v>
      </c>
      <c r="DR97">
        <f t="shared" si="57"/>
        <v>-19.943000000000001</v>
      </c>
      <c r="DS97">
        <f>IF(AW97&lt;&gt;-999,AW97*$DR97, -999)</f>
        <v>-2890334.2226610496</v>
      </c>
      <c r="DT97">
        <f>IF(AX97&lt;&gt;-999,AX97*$DR97, -999)</f>
        <v>-1522981.7844749405</v>
      </c>
      <c r="DU97" s="24">
        <f>IF(AY97&lt;&gt;-999,AY97*$DR97, -999)</f>
        <v>-4413316.0071359901</v>
      </c>
      <c r="DV97">
        <f t="shared" si="58"/>
        <v>-25.870999999999999</v>
      </c>
      <c r="DW97">
        <f>IF(AZ97&lt;&gt;-999,AZ97*$DV97, -999)</f>
        <v>-6506992.2812358094</v>
      </c>
      <c r="DX97">
        <f>IF(BA97&lt;&gt;-999,BA97*$DV97, -999)</f>
        <v>-3428679.9882527748</v>
      </c>
      <c r="DY97" s="24">
        <f>IF(BB97&lt;&gt;-999,BB97*$DV97, -999)</f>
        <v>-9935672.2694885843</v>
      </c>
      <c r="DZ97">
        <f t="shared" si="59"/>
        <v>-25.245000000000001</v>
      </c>
      <c r="EA97">
        <f>IF(BC97&lt;&gt;-999, BC97*$DZ97, -999)</f>
        <v>-3943870.1534393006</v>
      </c>
      <c r="EB97">
        <f>IF(BD97&lt;&gt;-999, BD97*$DZ97, -999)</f>
        <v>-2078113.2383247083</v>
      </c>
      <c r="EC97" s="24">
        <f>IF(BE97&lt;&gt;-999, BE97*$DZ97, -999)</f>
        <v>-6021983.3917640094</v>
      </c>
      <c r="ED97">
        <f t="shared" si="60"/>
        <v>-29.317</v>
      </c>
      <c r="EE97">
        <f>IF(BF97&lt;&gt;-999,BF97*$ED97, -999)</f>
        <v>-1988657.0098096251</v>
      </c>
      <c r="EF97">
        <f>IF(BG97&lt;&gt;-999,BG97*$ED97, -999)</f>
        <v>-1047866.0044694841</v>
      </c>
      <c r="EG97" s="24">
        <f>IF(BH97&lt;&gt;-999,BH97*$ED97, -999)</f>
        <v>-3036523.014279109</v>
      </c>
      <c r="EH97">
        <f t="shared" si="61"/>
        <v>-38.03</v>
      </c>
      <c r="EI97">
        <f>IF(BI97&lt;&gt;-999,BI97*$EH97, -999)</f>
        <v>-4476885.0335158231</v>
      </c>
      <c r="EJ97">
        <f>IF(BJ97&lt;&gt;-999,BJ97*$EH97, -999)</f>
        <v>-2358974.5238752654</v>
      </c>
      <c r="EK97" s="24">
        <f>IF(BK97&lt;&gt;-999,BK97*$EH97, -999)</f>
        <v>-6835859.5573910875</v>
      </c>
      <c r="EL97" s="28">
        <f t="shared" si="62"/>
        <v>-38994232.994430706</v>
      </c>
      <c r="EM97" s="22">
        <f>-17.17-(0.1023*G97)+H97*(100+102.093-66.644-64.243)</f>
        <v>29.751751419025759</v>
      </c>
      <c r="EN97">
        <f>IF(AT97&lt;&gt;-999,AT97*$EM97, -999)</f>
        <v>9930630.454021072</v>
      </c>
      <c r="EO97">
        <f>IF(AU97&lt;&gt;-999,AU97*$EM97, -999)</f>
        <v>5232675.8592059081</v>
      </c>
      <c r="EP97" s="23">
        <f>IF(AV97&lt;&gt;-999,AV97*$EM97, -999)</f>
        <v>15163306.313226985</v>
      </c>
      <c r="EQ97">
        <f>-19.943-(0.1023*G97)+H97*(100+102.093-66.644-64.243)</f>
        <v>26.978751419025755</v>
      </c>
      <c r="ER97">
        <f>IF(AW97&lt;&gt;-999,AW97*$EQ97, -999)</f>
        <v>3910023.9939364935</v>
      </c>
      <c r="ES97">
        <f>IF(AX97&lt;&gt;-999,AX97*$EQ97, -999)</f>
        <v>2060279.1445145502</v>
      </c>
      <c r="ET97" s="23">
        <f>IF(AY97&lt;&gt;-999,AY97*$EQ97, -999)</f>
        <v>5970303.1384510435</v>
      </c>
      <c r="EU97">
        <f>-25.871-(0.1023*G97)+H97*(100+102.093-66.644-64.243)</f>
        <v>21.050751419025758</v>
      </c>
      <c r="EV97">
        <f>IF(AZ97&lt;&gt;-999,AZ97*$EU97, -999)</f>
        <v>5294618.5689696716</v>
      </c>
      <c r="EW97">
        <f>IF(BA97&lt;&gt;-999,BA97*$EU97, -999)</f>
        <v>2789853.1223415146</v>
      </c>
      <c r="EX97" s="23">
        <f>IF(BB97&lt;&gt;-999,BB97*$EU97, -999)</f>
        <v>8084471.6913111862</v>
      </c>
      <c r="EY97">
        <f>-25.245-(0.1023*G97)+H97*(100+102.093-66.644-64.243)</f>
        <v>21.676751419025756</v>
      </c>
      <c r="EZ97">
        <f>IF(BC97&lt;&gt;-999, BC97*$EY97, -999)</f>
        <v>3386424.7551997895</v>
      </c>
      <c r="FA97">
        <f>IF(BD97&lt;&gt;-999, BD97*$EY97, -999)</f>
        <v>1784382.8119529143</v>
      </c>
      <c r="FB97" s="23">
        <f>IF(BE97&lt;&gt;-999, BE97*$EY97, -999)</f>
        <v>5170807.5671527041</v>
      </c>
      <c r="FC97">
        <f>-29.317-(0.1023*G97)+H97*(100+102.093-66.644-64.243)</f>
        <v>17.60475141902576</v>
      </c>
      <c r="FD97">
        <f>IF(BF97&lt;&gt;-999,BF97*$FC97, -999)</f>
        <v>1194181.2707780988</v>
      </c>
      <c r="FE97">
        <f>IF(BG97&lt;&gt;-999,BG97*$FC97, -999)</f>
        <v>629239.70833076385</v>
      </c>
      <c r="FF97" s="23">
        <f>IF(BH97&lt;&gt;-999,BH97*$FC97, -999)</f>
        <v>1823420.9791088626</v>
      </c>
      <c r="FG97">
        <f>-38.03-(0.1023*G97)+H97*(100+102.093-66.644-64.243)</f>
        <v>8.8917514190257592</v>
      </c>
      <c r="FH97">
        <f>IF(BI97&lt;&gt;-999,BI97*$FG97, -999)</f>
        <v>1046735.4417454511</v>
      </c>
      <c r="FI97">
        <f>IF(BJ97&lt;&gt;-999,BJ97*$FG97, -999)</f>
        <v>551549.17355018412</v>
      </c>
      <c r="FJ97" s="23">
        <f>IF(BK97&lt;&gt;-999,BK97*$FG97, -999)</f>
        <v>1598284.6152956351</v>
      </c>
      <c r="FK97" s="28">
        <f t="shared" si="63"/>
        <v>37810594.304546416</v>
      </c>
      <c r="FL97" s="22">
        <f t="shared" si="66"/>
        <v>10.012280000000011</v>
      </c>
      <c r="FM97">
        <f>IF(AT97&lt;&gt;-999,AT97*$FL97, -999)</f>
        <v>3341929.3970910055</v>
      </c>
      <c r="FN97">
        <f>IF(AU97&lt;&gt;-999,AU97*$FL97, -999)</f>
        <v>1760938.8810000271</v>
      </c>
      <c r="FO97" s="29">
        <f>IF(AV97&lt;&gt;-999,AV97*$FL97, -999)</f>
        <v>5102868.2780910339</v>
      </c>
      <c r="FP97">
        <f t="shared" si="67"/>
        <v>7.2392800000000115</v>
      </c>
      <c r="FQ97">
        <f>IF(AW97&lt;&gt;-999,AW97*$FP97, -999)</f>
        <v>1049187.119862895</v>
      </c>
      <c r="FR97">
        <f>IF(AX97&lt;&gt;-999,AX97*$FP97, -999)</f>
        <v>552840.17312910617</v>
      </c>
      <c r="FS97" s="29">
        <f>IF(AY97&lt;&gt;-999,AY97*$FP97, -999)</f>
        <v>1602027.2929920012</v>
      </c>
      <c r="FT97">
        <f t="shared" si="68"/>
        <v>1.3112800000000142</v>
      </c>
      <c r="FU97">
        <f>IF(AZ97&lt;&gt;-999,AZ97*$FT97, -999)</f>
        <v>329809.00771284389</v>
      </c>
      <c r="FV97">
        <f>IF(BA97&lt;&gt;-999,BA97*$FT97, -999)</f>
        <v>173783.75381686626</v>
      </c>
      <c r="FW97" s="29">
        <f>IF(BB97&lt;&gt;-999,BB97*$FT97, -999)</f>
        <v>503592.7615297102</v>
      </c>
      <c r="FX97">
        <f t="shared" si="69"/>
        <v>1.9372800000000119</v>
      </c>
      <c r="FY97">
        <f>IF(BC97&lt;&gt;-999, BC97*$FX97, -999)</f>
        <v>302649.26800772175</v>
      </c>
      <c r="FZ97">
        <f>IF(BD97&lt;&gt;-999, BD97*$FX97, -999)</f>
        <v>159472.65653958073</v>
      </c>
      <c r="GA97" s="29">
        <f>IF(BE97&lt;&gt;-999, BE97*$FX97, -999)</f>
        <v>462121.92454730248</v>
      </c>
      <c r="GB97">
        <f t="shared" si="70"/>
        <v>-2.1347199999999873</v>
      </c>
      <c r="GC97">
        <f>IF(BF97&lt;&gt;-999,BF97*$GB97, -999)</f>
        <v>-144804.2395872967</v>
      </c>
      <c r="GD97">
        <f>IF(BG97&lt;&gt;-999,BG97*$GB97, -999)</f>
        <v>-76300.457654640093</v>
      </c>
      <c r="GE97" s="29">
        <f>IF(BH97&lt;&gt;-999,BH97*$GB97, -999)</f>
        <v>-221104.69724193681</v>
      </c>
      <c r="GF97">
        <f t="shared" si="71"/>
        <v>-10.847719999999988</v>
      </c>
      <c r="GG97">
        <f>IF(BI97&lt;&gt;-999,BI97*$GF97, -999)</f>
        <v>-1276991.7253686618</v>
      </c>
      <c r="GH97">
        <f>IF(BJ97&lt;&gt;-999,BJ97*$GF97, -999)</f>
        <v>-672876.54804449552</v>
      </c>
      <c r="GI97" s="29">
        <f>IF(BK97&lt;&gt;-999,BK97*$GF97, -999)</f>
        <v>-1949868.2734131571</v>
      </c>
      <c r="GJ97" s="30">
        <f t="shared" si="64"/>
        <v>5499637.2865049541</v>
      </c>
    </row>
    <row r="98" spans="1:192">
      <c r="A98" s="48" t="s">
        <v>194</v>
      </c>
      <c r="B98" s="48" t="s">
        <v>233</v>
      </c>
      <c r="C98" s="49">
        <v>141</v>
      </c>
      <c r="D98" s="50">
        <v>0.73299999999999998</v>
      </c>
      <c r="E98" s="49">
        <v>226.91758630877499</v>
      </c>
      <c r="F98" s="49">
        <v>0.77817275088604898</v>
      </c>
      <c r="G98" s="49">
        <v>352.16789003949498</v>
      </c>
      <c r="H98" s="49">
        <v>0.79682673368312296</v>
      </c>
      <c r="I98" s="42">
        <v>12397.3</v>
      </c>
      <c r="J98" s="43">
        <v>9733.2999999999993</v>
      </c>
      <c r="K98" s="43">
        <f t="shared" si="39"/>
        <v>22130.6</v>
      </c>
      <c r="L98" s="43">
        <v>7913.3</v>
      </c>
      <c r="M98" s="43">
        <v>6212.9</v>
      </c>
      <c r="N98" s="43">
        <f t="shared" si="40"/>
        <v>14126.2</v>
      </c>
      <c r="O98" s="43">
        <v>22824.799999999999</v>
      </c>
      <c r="P98" s="43">
        <v>17920.2</v>
      </c>
      <c r="Q98" s="43">
        <f t="shared" si="41"/>
        <v>40745</v>
      </c>
      <c r="R98" s="43">
        <v>20100.3</v>
      </c>
      <c r="S98" s="43">
        <v>15781.1</v>
      </c>
      <c r="T98" s="43">
        <f t="shared" si="42"/>
        <v>35881.4</v>
      </c>
      <c r="U98" s="43">
        <v>12830.2</v>
      </c>
      <c r="V98" s="43">
        <v>10073.299999999999</v>
      </c>
      <c r="W98" s="43">
        <f t="shared" si="43"/>
        <v>22903.5</v>
      </c>
      <c r="X98" s="43">
        <v>37006.9</v>
      </c>
      <c r="Y98" s="43">
        <v>29054.9</v>
      </c>
      <c r="Z98" s="43">
        <f t="shared" si="44"/>
        <v>66061.8</v>
      </c>
      <c r="AA98" s="22">
        <v>124316.5</v>
      </c>
      <c r="AB98">
        <v>38574.400000000001</v>
      </c>
      <c r="AC98">
        <v>162890.9</v>
      </c>
      <c r="AD98">
        <v>79352.5</v>
      </c>
      <c r="AE98">
        <v>24622.400000000001</v>
      </c>
      <c r="AF98">
        <v>103974.9</v>
      </c>
      <c r="AG98">
        <v>228880.8</v>
      </c>
      <c r="AH98">
        <v>71019.899999999994</v>
      </c>
      <c r="AI98">
        <v>299900.7</v>
      </c>
      <c r="AJ98">
        <v>201560.4</v>
      </c>
      <c r="AK98">
        <v>62542.6</v>
      </c>
      <c r="AL98">
        <v>264103</v>
      </c>
      <c r="AM98">
        <v>128658</v>
      </c>
      <c r="AN98">
        <v>39921.599999999999</v>
      </c>
      <c r="AO98">
        <v>168579.6</v>
      </c>
      <c r="AP98">
        <v>371095.7</v>
      </c>
      <c r="AQ98">
        <v>115148</v>
      </c>
      <c r="AR98">
        <v>486243.7</v>
      </c>
      <c r="AS98">
        <v>1485692.73</v>
      </c>
      <c r="AT98" s="22">
        <f t="shared" si="74"/>
        <v>206947.7475363375</v>
      </c>
      <c r="AU98">
        <f t="shared" si="74"/>
        <v>64214.204812440003</v>
      </c>
      <c r="AV98">
        <f t="shared" si="74"/>
        <v>271161.9523487775</v>
      </c>
      <c r="AW98">
        <f t="shared" si="74"/>
        <v>132096.87480243749</v>
      </c>
      <c r="AX98">
        <f t="shared" si="74"/>
        <v>40988.527017239998</v>
      </c>
      <c r="AY98">
        <f t="shared" si="74"/>
        <v>173085.4018196775</v>
      </c>
      <c r="AZ98">
        <f t="shared" si="74"/>
        <v>381014.31438558002</v>
      </c>
      <c r="BA98">
        <f t="shared" si="74"/>
        <v>118225.72494605249</v>
      </c>
      <c r="BB98">
        <f t="shared" si="73"/>
        <v>499240.03933163255</v>
      </c>
      <c r="BC98">
        <f t="shared" si="73"/>
        <v>335534.46865478996</v>
      </c>
      <c r="BD98">
        <f t="shared" si="73"/>
        <v>104113.695246135</v>
      </c>
      <c r="BE98">
        <f t="shared" si="73"/>
        <v>439648.16390092502</v>
      </c>
      <c r="BF98">
        <f t="shared" si="73"/>
        <v>214174.97518454998</v>
      </c>
      <c r="BG98">
        <f t="shared" si="65"/>
        <v>66456.867737160006</v>
      </c>
      <c r="BH98">
        <f t="shared" si="65"/>
        <v>280631.84292170999</v>
      </c>
      <c r="BI98">
        <f t="shared" si="65"/>
        <v>617757.25052925758</v>
      </c>
      <c r="BJ98">
        <f t="shared" si="65"/>
        <v>191685.08792729999</v>
      </c>
      <c r="BK98">
        <f t="shared" si="65"/>
        <v>809442.33845655748</v>
      </c>
      <c r="BL98">
        <f t="shared" si="65"/>
        <v>2473209.6222513667</v>
      </c>
      <c r="BM98" s="22">
        <f>-17.17-(0.1023*E98)+F98*(100-8.576-13.681)</f>
        <v>20.113815092746428</v>
      </c>
      <c r="BN98">
        <f>IF(AT98&lt;&gt;-999,AT98*$BM98, -999)</f>
        <v>4162508.7278062627</v>
      </c>
      <c r="BO98">
        <f>IF(AU98&lt;&gt;-999,AU98*$BM98, -999)</f>
        <v>1291592.6419251661</v>
      </c>
      <c r="BP98" s="25">
        <f>IF(AV98&lt;&gt;-999,AV98*$BM98, -999)</f>
        <v>5454101.369731429</v>
      </c>
      <c r="BQ98">
        <f>-19.943-(0.1023*E98)+F98*(100-8.576-13.681)</f>
        <v>17.340815092746432</v>
      </c>
      <c r="BR98">
        <f>IF(AW98&lt;&gt;-999,AW98*$BQ98, -999)</f>
        <v>2290667.4802787439</v>
      </c>
      <c r="BS98">
        <f>IF(AX98&lt;&gt;-999,AX98*$BQ98, -999)</f>
        <v>710774.46793000028</v>
      </c>
      <c r="BT98" s="25">
        <f>IF(AY98&lt;&gt;-999,AY98*$BQ98, -999)</f>
        <v>3001441.9482087442</v>
      </c>
      <c r="BU98">
        <f>-25.871-(0.1023*E98)+F98*(100-8.576-13.681)</f>
        <v>11.412815092746435</v>
      </c>
      <c r="BV98">
        <f>IF(AZ98&lt;&gt;-999,AZ98*$BU98, -999)</f>
        <v>4348445.9177721823</v>
      </c>
      <c r="BW98">
        <f>IF(BA98&lt;&gt;-999,BA98*$BU98, -999)</f>
        <v>1349288.3380151966</v>
      </c>
      <c r="BX98" s="25">
        <f>IF(BB98&lt;&gt;-999,BB98*$BU98, -999)</f>
        <v>5697734.25578738</v>
      </c>
      <c r="BY98">
        <f>-25.245-(0.1023*E98)+F98*(100-8.576-13.681)</f>
        <v>12.038815092746432</v>
      </c>
      <c r="BZ98">
        <f>IF(BC98&lt;&gt;-999,BC98*$BY98, -999)</f>
        <v>4039437.4253779403</v>
      </c>
      <c r="CA98">
        <f>IF(BD98&lt;&gt;-999,BD98*$BY98, -999)</f>
        <v>1253405.5256907726</v>
      </c>
      <c r="CB98" s="25">
        <f>IF(BE98&lt;&gt;-999,BE98*$BY98, -999)</f>
        <v>5292842.9510687133</v>
      </c>
      <c r="CC98">
        <f>-29.317-(0.1023*E98)+F98*(100-8.576-13.681)</f>
        <v>7.9668150927464367</v>
      </c>
      <c r="CD98">
        <f>IF(BF98&lt;&gt;-999,BF98*$CC98, -999)</f>
        <v>1706292.4247888664</v>
      </c>
      <c r="CE98">
        <f>IF(BG98&lt;&gt;-999,BG98*$CC98, -999)</f>
        <v>529449.57690506009</v>
      </c>
      <c r="CF98" s="25">
        <f>IF(BH98&lt;&gt;-999,BH98*$CC98, -999)</f>
        <v>2235742.0016939263</v>
      </c>
      <c r="CG98">
        <f>-38.03-(0.1023*E98)+F98*(100-8.576-13.681)</f>
        <v>-0.74618490725357134</v>
      </c>
      <c r="CH98">
        <f>IF(BI98&lt;&gt;-999,BI98*$CG98, -999)</f>
        <v>-460961.13669139531</v>
      </c>
      <c r="CI98">
        <f>IF(BJ98&lt;&gt;-999,BJ98*$CG98, -999)</f>
        <v>-143032.51955692502</v>
      </c>
      <c r="CJ98" s="25">
        <f>IF(BK98&lt;&gt;-999,BK98*$CG98, -999)</f>
        <v>-603993.65624832024</v>
      </c>
      <c r="CK98" s="26">
        <f t="shared" si="45"/>
        <v>21077868.870241873</v>
      </c>
      <c r="CL98">
        <f t="shared" si="46"/>
        <v>-19.650572429746681</v>
      </c>
      <c r="CM98">
        <f t="shared" si="47"/>
        <v>38.749056634950158</v>
      </c>
      <c r="CN98">
        <f t="shared" si="48"/>
        <v>-77.041428058074573</v>
      </c>
      <c r="CO98" s="22">
        <f t="shared" si="49"/>
        <v>-40.08</v>
      </c>
      <c r="CP98">
        <f>IF(AT98&lt;&gt;-999,AT98*$CO98, -999)</f>
        <v>-8294465.721256407</v>
      </c>
      <c r="CQ98">
        <f>IF(AU98&lt;&gt;-999,AU98*$CO98, -999)</f>
        <v>-2573705.3288825951</v>
      </c>
      <c r="CR98" s="27">
        <f>IF(AV98&lt;&gt;-999,AV98*$CO98, -999)</f>
        <v>-10868171.050139003</v>
      </c>
      <c r="CS98">
        <f t="shared" si="50"/>
        <v>-42.853000000000002</v>
      </c>
      <c r="CT98">
        <f>IF(AW98&lt;&gt;-999,AW98*$CS98, -999)</f>
        <v>-5660747.3759088544</v>
      </c>
      <c r="CU98">
        <f>IF(AX98&lt;&gt;-999,AX98*$CS98, -999)</f>
        <v>-1756481.3482697858</v>
      </c>
      <c r="CV98" s="27">
        <f>IF(AY98&lt;&gt;-999,AY98*$CS98, -999)</f>
        <v>-7417228.7241786402</v>
      </c>
      <c r="CW98">
        <f t="shared" si="51"/>
        <v>-48.780999999999999</v>
      </c>
      <c r="CX98">
        <f>IF(AZ98&lt;&gt;-999,AZ98*$CO98, -999)</f>
        <v>-15271053.720574046</v>
      </c>
      <c r="CY98">
        <f>IF(BA98&lt;&gt;-999,BA98*$CO98, -999)</f>
        <v>-4738487.055837784</v>
      </c>
      <c r="CZ98" s="27">
        <f>IF(BB98&lt;&gt;-999,BB98*$CO98, -999)</f>
        <v>-20009540.776411831</v>
      </c>
      <c r="DA98">
        <f t="shared" si="52"/>
        <v>-48.155000000000001</v>
      </c>
      <c r="DB98">
        <f>IF(BC98&lt;&gt;-999,BC98*$DA98, -999)</f>
        <v>-16157662.338071411</v>
      </c>
      <c r="DC98">
        <f>IF(BD98&lt;&gt;-999,BD98*$DA98, -999)</f>
        <v>-5013594.9945776314</v>
      </c>
      <c r="DD98" s="27">
        <f>IF(BE98&lt;&gt;-999,BE98*$DA98, -999)</f>
        <v>-21171257.332649045</v>
      </c>
      <c r="DE98">
        <f t="shared" si="53"/>
        <v>-52.227000000000004</v>
      </c>
      <c r="DF98">
        <f>IF(BF98&lt;&gt;-999,BF98*$DE98, -999)</f>
        <v>-11185716.428963494</v>
      </c>
      <c r="DG98">
        <f>IF(BG98&lt;&gt;-999,BG98*$DE98, -999)</f>
        <v>-3470842.8313086559</v>
      </c>
      <c r="DH98" s="27">
        <f>IF(BH98&lt;&gt;-999,BH98*$DE98, -999)</f>
        <v>-14656559.260272149</v>
      </c>
      <c r="DI98">
        <f t="shared" si="54"/>
        <v>-60.94</v>
      </c>
      <c r="DJ98">
        <f>IF(BI98&lt;&gt;-999,BI98*$DI98, -999)</f>
        <v>-37646126.847252958</v>
      </c>
      <c r="DK98">
        <f>IF(BJ98&lt;&gt;-999,BJ98*$DI98, -999)</f>
        <v>-11681289.258289661</v>
      </c>
      <c r="DL98" s="27">
        <f>IF(BK98&lt;&gt;-999,BK98*$DI98, -999)</f>
        <v>-49327416.105542608</v>
      </c>
      <c r="DM98" s="28">
        <f t="shared" si="55"/>
        <v>-123450173.24919328</v>
      </c>
      <c r="DN98" s="22">
        <f t="shared" si="56"/>
        <v>-17.170000000000002</v>
      </c>
      <c r="DO98">
        <f>IF(AT98&lt;&gt;-999,AT98*$DN98, -999)</f>
        <v>-3553292.8251989153</v>
      </c>
      <c r="DP98">
        <f>IF(AU98&lt;&gt;-999,AU98*$DN98, -999)</f>
        <v>-1102557.896629595</v>
      </c>
      <c r="DQ98" s="24">
        <f>IF(AV98&lt;&gt;-999,AV98*$DN98, -999)</f>
        <v>-4655850.7218285101</v>
      </c>
      <c r="DR98">
        <f t="shared" si="57"/>
        <v>-19.943000000000001</v>
      </c>
      <c r="DS98">
        <f>IF(AW98&lt;&gt;-999,AW98*$DR98, -999)</f>
        <v>-2634407.9741850113</v>
      </c>
      <c r="DT98">
        <f>IF(AX98&lt;&gt;-999,AX98*$DR98, -999)</f>
        <v>-817434.19430481736</v>
      </c>
      <c r="DU98" s="24">
        <f>IF(AY98&lt;&gt;-999,AY98*$DR98, -999)</f>
        <v>-3451842.1684898287</v>
      </c>
      <c r="DV98">
        <f t="shared" si="58"/>
        <v>-25.870999999999999</v>
      </c>
      <c r="DW98">
        <f>IF(AZ98&lt;&gt;-999,AZ98*$DV98, -999)</f>
        <v>-9857221.3274693396</v>
      </c>
      <c r="DX98">
        <f>IF(BA98&lt;&gt;-999,BA98*$DV98, -999)</f>
        <v>-3058617.730079324</v>
      </c>
      <c r="DY98" s="24">
        <f>IF(BB98&lt;&gt;-999,BB98*$DV98, -999)</f>
        <v>-12915839.057548665</v>
      </c>
      <c r="DZ98">
        <f t="shared" si="59"/>
        <v>-25.245000000000001</v>
      </c>
      <c r="EA98">
        <f>IF(BC98&lt;&gt;-999, BC98*$DZ98, -999)</f>
        <v>-8470567.6611901727</v>
      </c>
      <c r="EB98">
        <f>IF(BD98&lt;&gt;-999, BD98*$DZ98, -999)</f>
        <v>-2628350.236488678</v>
      </c>
      <c r="EC98" s="24">
        <f>IF(BE98&lt;&gt;-999, BE98*$DZ98, -999)</f>
        <v>-11098917.897678852</v>
      </c>
      <c r="ED98">
        <f t="shared" si="60"/>
        <v>-29.317</v>
      </c>
      <c r="EE98">
        <f>IF(BF98&lt;&gt;-999,BF98*$ED98, -999)</f>
        <v>-6278967.7474854523</v>
      </c>
      <c r="EF98">
        <f>IF(BG98&lt;&gt;-999,BG98*$ED98, -999)</f>
        <v>-1948315.99145032</v>
      </c>
      <c r="EG98" s="24">
        <f>IF(BH98&lt;&gt;-999,BH98*$ED98, -999)</f>
        <v>-8227283.7389357714</v>
      </c>
      <c r="EH98">
        <f t="shared" si="61"/>
        <v>-38.03</v>
      </c>
      <c r="EI98">
        <f>IF(BI98&lt;&gt;-999,BI98*$EH98, -999)</f>
        <v>-23493308.237627666</v>
      </c>
      <c r="EJ98">
        <f>IF(BJ98&lt;&gt;-999,BJ98*$EH98, -999)</f>
        <v>-7289783.8938752189</v>
      </c>
      <c r="EK98" s="24">
        <f>IF(BK98&lt;&gt;-999,BK98*$EH98, -999)</f>
        <v>-30783092.131502882</v>
      </c>
      <c r="EL98" s="28">
        <f t="shared" si="62"/>
        <v>-71132825.715984508</v>
      </c>
      <c r="EM98" s="22">
        <f>-17.17-(0.1023*G98)+H98*(100+102.093-66.644-64.243)</f>
        <v>3.542069247600125</v>
      </c>
      <c r="EN98">
        <f>IF(AT98&lt;&gt;-999,AT98*$EM98, -999)</f>
        <v>733023.25240857562</v>
      </c>
      <c r="EO98">
        <f>IF(AU98&lt;&gt;-999,AU98*$EM98, -999)</f>
        <v>227451.16012523969</v>
      </c>
      <c r="EP98" s="23">
        <f>IF(AV98&lt;&gt;-999,AV98*$EM98, -999)</f>
        <v>960474.41253381525</v>
      </c>
      <c r="EQ98">
        <f>-19.943-(0.1023*G98)+H98*(100+102.093-66.644-64.243)</f>
        <v>0.76906924760012885</v>
      </c>
      <c r="ER98">
        <f>IF(AW98&lt;&gt;-999,AW98*$EQ98, -999)</f>
        <v>101591.64411463903</v>
      </c>
      <c r="ES98">
        <f>IF(AX98&lt;&gt;-999,AX98*$EQ98, -999)</f>
        <v>31523.01563338632</v>
      </c>
      <c r="ET98" s="23">
        <f>IF(AY98&lt;&gt;-999,AY98*$EQ98, -999)</f>
        <v>133114.65974802535</v>
      </c>
      <c r="EU98">
        <f>-25.871-(0.1023*G98)+H98*(100+102.093-66.644-64.243)</f>
        <v>-5.1589307523998684</v>
      </c>
      <c r="EV98">
        <f>IF(AZ98&lt;&gt;-999,AZ98*$EU98, -999)</f>
        <v>-1965626.4635883204</v>
      </c>
      <c r="EW98">
        <f>IF(BA98&lt;&gt;-999,BA98*$EU98, -999)</f>
        <v>-609918.32814895851</v>
      </c>
      <c r="EX98" s="23">
        <f>IF(BB98&lt;&gt;-999,BB98*$EU98, -999)</f>
        <v>-2575544.7917372789</v>
      </c>
      <c r="EY98">
        <f>-25.245-(0.1023*G98)+H98*(100+102.093-66.644-64.243)</f>
        <v>-4.5329307523998779</v>
      </c>
      <c r="EZ98">
        <f>IF(BC98&lt;&gt;-999, BC98*$EY98, -999)</f>
        <v>-1520954.5114554502</v>
      </c>
      <c r="FA98">
        <f>IF(BD98&lt;&gt;-999, BD98*$EY98, -999)</f>
        <v>-471940.1709271943</v>
      </c>
      <c r="FB98" s="23">
        <f>IF(BE98&lt;&gt;-999, BE98*$EY98, -999)</f>
        <v>-1992894.6823826449</v>
      </c>
      <c r="FC98">
        <f>-29.317-(0.1023*G98)+H98*(100+102.093-66.644-64.243)</f>
        <v>-8.6049307523998806</v>
      </c>
      <c r="FD98">
        <f>IF(BF98&lt;&gt;-999,BF98*$FC98, -999)</f>
        <v>-1842960.8303600154</v>
      </c>
      <c r="FE98">
        <f>IF(BG98&lt;&gt;-999,BG98*$FC98, -999)</f>
        <v>-571856.74489965965</v>
      </c>
      <c r="FF98" s="23">
        <f>IF(BH98&lt;&gt;-999,BH98*$FC98, -999)</f>
        <v>-2414817.5752596753</v>
      </c>
      <c r="FG98">
        <f>-38.03-(0.1023*G98)+H98*(100+102.093-66.644-64.243)</f>
        <v>-17.317930752399874</v>
      </c>
      <c r="FH98">
        <f>IF(BI98&lt;&gt;-999,BI98*$FG98, -999)</f>
        <v>-10698277.286458623</v>
      </c>
      <c r="FI98">
        <f>IF(BJ98&lt;&gt;-999,BJ98*$FG98, -999)</f>
        <v>-3319589.0789926625</v>
      </c>
      <c r="FJ98" s="23">
        <f>IF(BK98&lt;&gt;-999,BK98*$FG98, -999)</f>
        <v>-14017866.365451284</v>
      </c>
      <c r="FK98" s="28">
        <f t="shared" si="63"/>
        <v>-19907534.342549041</v>
      </c>
      <c r="FL98" s="22">
        <f t="shared" si="66"/>
        <v>10.012280000000011</v>
      </c>
      <c r="FM98">
        <f>IF(AT98&lt;&gt;-999,AT98*$FL98, -999)</f>
        <v>2072018.7937031235</v>
      </c>
      <c r="FN98">
        <f>IF(AU98&lt;&gt;-999,AU98*$FL98, -999)</f>
        <v>642930.59855949751</v>
      </c>
      <c r="FO98" s="29">
        <f>IF(AV98&lt;&gt;-999,AV98*$FL98, -999)</f>
        <v>2714949.3922626209</v>
      </c>
      <c r="FP98">
        <f t="shared" si="67"/>
        <v>7.2392800000000115</v>
      </c>
      <c r="FQ98">
        <f>IF(AW98&lt;&gt;-999,AW98*$FP98, -999)</f>
        <v>956286.26381979126</v>
      </c>
      <c r="FR98">
        <f>IF(AX98&lt;&gt;-999,AX98*$FP98, -999)</f>
        <v>296727.42386536562</v>
      </c>
      <c r="FS98" s="29">
        <f>IF(AY98&lt;&gt;-999,AY98*$FP98, -999)</f>
        <v>1253013.6876851569</v>
      </c>
      <c r="FT98">
        <f t="shared" si="68"/>
        <v>1.3112800000000142</v>
      </c>
      <c r="FU98">
        <f>IF(AZ98&lt;&gt;-999,AZ98*$FT98, -999)</f>
        <v>499616.45016752876</v>
      </c>
      <c r="FV98">
        <f>IF(BA98&lt;&gt;-999,BA98*$FT98, -999)</f>
        <v>155027.0286072614</v>
      </c>
      <c r="FW98" s="29">
        <f>IF(BB98&lt;&gt;-999,BB98*$FT98, -999)</f>
        <v>654643.47877479019</v>
      </c>
      <c r="FX98">
        <f t="shared" si="69"/>
        <v>1.9372800000000119</v>
      </c>
      <c r="FY98">
        <f>IF(BC98&lt;&gt;-999, BC98*$FX98, -999)</f>
        <v>650024.21543555544</v>
      </c>
      <c r="FZ98">
        <f>IF(BD98&lt;&gt;-999, BD98*$FX98, -999)</f>
        <v>201697.37952643365</v>
      </c>
      <c r="GA98" s="29">
        <f>IF(BE98&lt;&gt;-999, BE98*$FX98, -999)</f>
        <v>851721.59496198921</v>
      </c>
      <c r="GB98">
        <f t="shared" si="70"/>
        <v>-2.1347199999999873</v>
      </c>
      <c r="GC98">
        <f>IF(BF98&lt;&gt;-999,BF98*$GB98, -999)</f>
        <v>-457203.6030259598</v>
      </c>
      <c r="GD98">
        <f>IF(BG98&lt;&gt;-999,BG98*$GB98, -999)</f>
        <v>-141866.80469586936</v>
      </c>
      <c r="GE98" s="29">
        <f>IF(BH98&lt;&gt;-999,BH98*$GB98, -999)</f>
        <v>-599070.40772182913</v>
      </c>
      <c r="GF98">
        <f t="shared" si="71"/>
        <v>-10.847719999999988</v>
      </c>
      <c r="GG98">
        <f>IF(BI98&lt;&gt;-999,BI98*$GF98, -999)</f>
        <v>-6701257.6817112304</v>
      </c>
      <c r="GH98">
        <f>IF(BJ98&lt;&gt;-999,BJ98*$GF98, -999)</f>
        <v>-2079346.1620107284</v>
      </c>
      <c r="GI98" s="29">
        <f>IF(BK98&lt;&gt;-999,BK98*$GF98, -999)</f>
        <v>-8780603.8437219579</v>
      </c>
      <c r="GJ98" s="30">
        <f t="shared" si="64"/>
        <v>-3905346.0977592282</v>
      </c>
    </row>
    <row r="99" spans="1:192">
      <c r="A99" s="48" t="s">
        <v>178</v>
      </c>
      <c r="B99" s="48" t="s">
        <v>234</v>
      </c>
      <c r="C99" s="49">
        <v>116</v>
      </c>
      <c r="D99" s="50">
        <v>0.73</v>
      </c>
      <c r="E99" s="49">
        <v>184.43040100628301</v>
      </c>
      <c r="F99" s="49">
        <v>0.78292614690032003</v>
      </c>
      <c r="G99" s="49">
        <v>76.724567407129499</v>
      </c>
      <c r="H99" s="49">
        <v>0.81674273051411495</v>
      </c>
      <c r="I99" s="42">
        <v>24781</v>
      </c>
      <c r="J99" s="43">
        <v>38884.800000000003</v>
      </c>
      <c r="K99" s="43">
        <f t="shared" si="39"/>
        <v>63665.8</v>
      </c>
      <c r="L99" s="43">
        <v>22914.3</v>
      </c>
      <c r="M99" s="43">
        <v>35955.699999999997</v>
      </c>
      <c r="N99" s="43">
        <f t="shared" si="40"/>
        <v>58870</v>
      </c>
      <c r="O99" s="43">
        <v>25824.2</v>
      </c>
      <c r="P99" s="43">
        <v>40521.699999999997</v>
      </c>
      <c r="Q99" s="43">
        <f t="shared" si="41"/>
        <v>66345.899999999994</v>
      </c>
      <c r="R99" s="43">
        <v>21411.8</v>
      </c>
      <c r="S99" s="43">
        <v>33598.1</v>
      </c>
      <c r="T99" s="43">
        <f t="shared" si="42"/>
        <v>55009.899999999994</v>
      </c>
      <c r="U99" s="43">
        <v>19799</v>
      </c>
      <c r="V99" s="43">
        <v>31067.3</v>
      </c>
      <c r="W99" s="43">
        <f t="shared" si="43"/>
        <v>50866.3</v>
      </c>
      <c r="X99" s="43">
        <v>22313.200000000001</v>
      </c>
      <c r="Y99" s="43">
        <v>35012.5</v>
      </c>
      <c r="Z99" s="43">
        <f t="shared" si="44"/>
        <v>57325.7</v>
      </c>
      <c r="AA99" s="22">
        <v>104739.4</v>
      </c>
      <c r="AB99">
        <v>84289.1</v>
      </c>
      <c r="AC99">
        <v>189028.6</v>
      </c>
      <c r="AD99">
        <v>96849.8</v>
      </c>
      <c r="AE99">
        <v>77939.899999999994</v>
      </c>
      <c r="AF99">
        <v>174789.7</v>
      </c>
      <c r="AG99">
        <v>109148.6</v>
      </c>
      <c r="AH99">
        <v>87837.4</v>
      </c>
      <c r="AI99">
        <v>196986</v>
      </c>
      <c r="AJ99">
        <v>90499.3</v>
      </c>
      <c r="AK99">
        <v>72829.399999999994</v>
      </c>
      <c r="AL99">
        <v>163328.70000000001</v>
      </c>
      <c r="AM99">
        <v>83682.3</v>
      </c>
      <c r="AN99">
        <v>67343.399999999994</v>
      </c>
      <c r="AO99">
        <v>151025.70000000001</v>
      </c>
      <c r="AP99">
        <v>94309</v>
      </c>
      <c r="AQ99">
        <v>75895.199999999997</v>
      </c>
      <c r="AR99">
        <v>170204.3</v>
      </c>
      <c r="AS99">
        <v>1045362.94</v>
      </c>
      <c r="AT99" s="22">
        <f t="shared" si="74"/>
        <v>174358.05310081501</v>
      </c>
      <c r="AU99">
        <f t="shared" si="74"/>
        <v>140314.75618172251</v>
      </c>
      <c r="AV99">
        <f t="shared" si="74"/>
        <v>314672.97575098503</v>
      </c>
      <c r="AW99">
        <f t="shared" si="74"/>
        <v>161224.35846685502</v>
      </c>
      <c r="AX99">
        <f t="shared" si="74"/>
        <v>129745.34151305248</v>
      </c>
      <c r="AY99">
        <f t="shared" si="74"/>
        <v>290969.69997990754</v>
      </c>
      <c r="AZ99">
        <f t="shared" si="74"/>
        <v>181697.97988798501</v>
      </c>
      <c r="BA99">
        <f t="shared" si="74"/>
        <v>146221.55610436498</v>
      </c>
      <c r="BB99">
        <f t="shared" si="73"/>
        <v>327919.53599235002</v>
      </c>
      <c r="BC99">
        <f t="shared" si="73"/>
        <v>150652.77970836748</v>
      </c>
      <c r="BD99">
        <f t="shared" si="73"/>
        <v>121237.971503565</v>
      </c>
      <c r="BE99">
        <f t="shared" si="73"/>
        <v>271890.75121193251</v>
      </c>
      <c r="BF99">
        <f t="shared" si="73"/>
        <v>139304.62564229252</v>
      </c>
      <c r="BG99">
        <f t="shared" si="73"/>
        <v>112105.51247371499</v>
      </c>
      <c r="BH99">
        <f t="shared" si="73"/>
        <v>251410.13811600753</v>
      </c>
      <c r="BI99">
        <f t="shared" si="73"/>
        <v>156994.728152775</v>
      </c>
      <c r="BJ99">
        <f t="shared" si="73"/>
        <v>126341.56116701999</v>
      </c>
      <c r="BK99">
        <f t="shared" si="73"/>
        <v>283336.45578824251</v>
      </c>
      <c r="BL99">
        <f t="shared" si="73"/>
        <v>1740199.4569583563</v>
      </c>
      <c r="BM99" s="22">
        <f>-17.17-(0.1023*E99)+F99*(100-8.576-13.681)</f>
        <v>24.829797415528837</v>
      </c>
      <c r="BN99">
        <f>IF(AT99&lt;&gt;-999,AT99*$BM99, -999)</f>
        <v>4329275.1362592559</v>
      </c>
      <c r="BO99">
        <f>IF(AU99&lt;&gt;-999,AU99*$BM99, -999)</f>
        <v>3483986.9704014924</v>
      </c>
      <c r="BP99" s="25">
        <f>IF(AV99&lt;&gt;-999,AV99*$BM99, -999)</f>
        <v>7813266.2400385765</v>
      </c>
      <c r="BQ99">
        <f>-19.943-(0.1023*E99)+F99*(100-8.576-13.681)</f>
        <v>22.056797415528834</v>
      </c>
      <c r="BR99">
        <f>IF(AW99&lt;&gt;-999,AW99*$BQ99, -999)</f>
        <v>3556093.0131520219</v>
      </c>
      <c r="BS99">
        <f>IF(AX99&lt;&gt;-999,AX99*$BQ99, -999)</f>
        <v>2861766.7133620018</v>
      </c>
      <c r="BT99" s="25">
        <f>IF(AY99&lt;&gt;-999,AY99*$BQ99, -999)</f>
        <v>6417859.7265140247</v>
      </c>
      <c r="BU99">
        <f>-25.871-(0.1023*E99)+F99*(100-8.576-13.681)</f>
        <v>16.128797415528837</v>
      </c>
      <c r="BV99">
        <f>IF(AZ99&lt;&gt;-999,AZ99*$BU99, -999)</f>
        <v>2930569.9084241432</v>
      </c>
      <c r="BW99">
        <f>IF(BA99&lt;&gt;-999,BA99*$BU99, -999)</f>
        <v>2358377.8561906866</v>
      </c>
      <c r="BX99" s="25">
        <f>IF(BB99&lt;&gt;-999,BB99*$BU99, -999)</f>
        <v>5288947.7646148307</v>
      </c>
      <c r="BY99">
        <f>-25.245-(0.1023*E99)+F99*(100-8.576-13.681)</f>
        <v>16.754797415528834</v>
      </c>
      <c r="BZ99">
        <f>IF(BC99&lt;&gt;-999,BC99*$BY99, -999)</f>
        <v>2524156.8040999905</v>
      </c>
      <c r="CA99">
        <f>IF(BD99&lt;&gt;-999,BD99*$BY99, -999)</f>
        <v>2031317.6516118892</v>
      </c>
      <c r="CB99" s="25">
        <f>IF(BE99&lt;&gt;-999,BE99*$BY99, -999)</f>
        <v>4555474.4557118798</v>
      </c>
      <c r="CC99">
        <f>-29.317-(0.1023*E99)+F99*(100-8.576-13.681)</f>
        <v>12.682797415528832</v>
      </c>
      <c r="CD99">
        <f>IF(BF99&lt;&gt;-999,BF99*$CC99, -999)</f>
        <v>1766772.3460672791</v>
      </c>
      <c r="CE99">
        <f>IF(BG99&lt;&gt;-999,BG99*$CC99, -999)</f>
        <v>1421811.5038681678</v>
      </c>
      <c r="CF99" s="25">
        <f>IF(BH99&lt;&gt;-999,BH99*$CC99, -999)</f>
        <v>3188583.8499354469</v>
      </c>
      <c r="CG99">
        <f>-38.03-(0.1023*E99)+F99*(100-8.576-13.681)</f>
        <v>3.9697974155288378</v>
      </c>
      <c r="CH99">
        <f>IF(BI99&lt;&gt;-999,BI99*$CG99, -999)</f>
        <v>623237.26607253868</v>
      </c>
      <c r="CI99">
        <f>IF(BJ99&lt;&gt;-999,BJ99*$CG99, -999)</f>
        <v>501550.4029947145</v>
      </c>
      <c r="CJ99" s="25">
        <f>IF(BK99&lt;&gt;-999,BK99*$CG99, -999)</f>
        <v>1124788.329913266</v>
      </c>
      <c r="CK99" s="26">
        <f t="shared" si="45"/>
        <v>28388920.366728023</v>
      </c>
      <c r="CL99">
        <f t="shared" si="46"/>
        <v>-24.947669461323557</v>
      </c>
      <c r="CM99">
        <f t="shared" si="47"/>
        <v>33.097396704777978</v>
      </c>
      <c r="CN99">
        <f t="shared" si="48"/>
        <v>-81.990086778478215</v>
      </c>
      <c r="CO99" s="22">
        <f t="shared" si="49"/>
        <v>-40.08</v>
      </c>
      <c r="CP99">
        <f>IF(AT99&lt;&gt;-999,AT99*$CO99, -999)</f>
        <v>-6988270.7682806654</v>
      </c>
      <c r="CQ99">
        <f>IF(AU99&lt;&gt;-999,AU99*$CO99, -999)</f>
        <v>-5623815.4277634379</v>
      </c>
      <c r="CR99" s="27">
        <f>IF(AV99&lt;&gt;-999,AV99*$CO99, -999)</f>
        <v>-12612092.868099479</v>
      </c>
      <c r="CS99">
        <f t="shared" si="50"/>
        <v>-42.853000000000002</v>
      </c>
      <c r="CT99">
        <f>IF(AW99&lt;&gt;-999,AW99*$CS99, -999)</f>
        <v>-6908947.4333801381</v>
      </c>
      <c r="CU99">
        <f>IF(AX99&lt;&gt;-999,AX99*$CS99, -999)</f>
        <v>-5559977.1198588386</v>
      </c>
      <c r="CV99" s="27">
        <f>IF(AY99&lt;&gt;-999,AY99*$CS99, -999)</f>
        <v>-12468924.553238979</v>
      </c>
      <c r="CW99">
        <f t="shared" si="51"/>
        <v>-48.780999999999999</v>
      </c>
      <c r="CX99">
        <f>IF(AZ99&lt;&gt;-999,AZ99*$CO99, -999)</f>
        <v>-7282455.0339104393</v>
      </c>
      <c r="CY99">
        <f>IF(BA99&lt;&gt;-999,BA99*$CO99, -999)</f>
        <v>-5860559.9686629483</v>
      </c>
      <c r="CZ99" s="27">
        <f>IF(BB99&lt;&gt;-999,BB99*$CO99, -999)</f>
        <v>-13143015.002573388</v>
      </c>
      <c r="DA99">
        <f t="shared" si="52"/>
        <v>-48.155000000000001</v>
      </c>
      <c r="DB99">
        <f>IF(BC99&lt;&gt;-999,BC99*$DA99, -999)</f>
        <v>-7254684.6068564365</v>
      </c>
      <c r="DC99">
        <f>IF(BD99&lt;&gt;-999,BD99*$DA99, -999)</f>
        <v>-5838214.5177541729</v>
      </c>
      <c r="DD99" s="27">
        <f>IF(BE99&lt;&gt;-999,BE99*$DA99, -999)</f>
        <v>-13092899.12461061</v>
      </c>
      <c r="DE99">
        <f t="shared" si="53"/>
        <v>-52.227000000000004</v>
      </c>
      <c r="DF99">
        <f>IF(BF99&lt;&gt;-999,BF99*$DE99, -999)</f>
        <v>-7275462.6834200118</v>
      </c>
      <c r="DG99">
        <f>IF(BG99&lt;&gt;-999,BG99*$DE99, -999)</f>
        <v>-5854934.5999647127</v>
      </c>
      <c r="DH99" s="27">
        <f>IF(BH99&lt;&gt;-999,BH99*$DE99, -999)</f>
        <v>-13130397.283384725</v>
      </c>
      <c r="DI99">
        <f t="shared" si="54"/>
        <v>-60.94</v>
      </c>
      <c r="DJ99">
        <f>IF(BI99&lt;&gt;-999,BI99*$DI99, -999)</f>
        <v>-9567258.7336301077</v>
      </c>
      <c r="DK99">
        <f>IF(BJ99&lt;&gt;-999,BJ99*$DI99, -999)</f>
        <v>-7699254.7375181979</v>
      </c>
      <c r="DL99" s="27">
        <f>IF(BK99&lt;&gt;-999,BK99*$DI99, -999)</f>
        <v>-17266523.615735497</v>
      </c>
      <c r="DM99" s="28">
        <f t="shared" si="55"/>
        <v>-81713852.447642684</v>
      </c>
      <c r="DN99" s="22">
        <f t="shared" si="56"/>
        <v>-17.170000000000002</v>
      </c>
      <c r="DO99">
        <f>IF(AT99&lt;&gt;-999,AT99*$DN99, -999)</f>
        <v>-2993727.771740994</v>
      </c>
      <c r="DP99">
        <f>IF(AU99&lt;&gt;-999,AU99*$DN99, -999)</f>
        <v>-2409204.3636401757</v>
      </c>
      <c r="DQ99" s="24">
        <f>IF(AV99&lt;&gt;-999,AV99*$DN99, -999)</f>
        <v>-5402934.9936444135</v>
      </c>
      <c r="DR99">
        <f t="shared" si="57"/>
        <v>-19.943000000000001</v>
      </c>
      <c r="DS99">
        <f>IF(AW99&lt;&gt;-999,AW99*$DR99, -999)</f>
        <v>-3215297.3809044897</v>
      </c>
      <c r="DT99">
        <f>IF(AX99&lt;&gt;-999,AX99*$DR99, -999)</f>
        <v>-2587511.3457948058</v>
      </c>
      <c r="DU99" s="24">
        <f>IF(AY99&lt;&gt;-999,AY99*$DR99, -999)</f>
        <v>-5802808.7266992964</v>
      </c>
      <c r="DV99">
        <f t="shared" si="58"/>
        <v>-25.870999999999999</v>
      </c>
      <c r="DW99">
        <f>IF(AZ99&lt;&gt;-999,AZ99*$DV99, -999)</f>
        <v>-4700708.4376820596</v>
      </c>
      <c r="DX99">
        <f>IF(BA99&lt;&gt;-999,BA99*$DV99, -999)</f>
        <v>-3782897.8779760264</v>
      </c>
      <c r="DY99" s="24">
        <f>IF(BB99&lt;&gt;-999,BB99*$DV99, -999)</f>
        <v>-8483606.3156580869</v>
      </c>
      <c r="DZ99">
        <f t="shared" si="59"/>
        <v>-25.245000000000001</v>
      </c>
      <c r="EA99">
        <f>IF(BC99&lt;&gt;-999, BC99*$DZ99, -999)</f>
        <v>-3803229.4237377374</v>
      </c>
      <c r="EB99">
        <f>IF(BD99&lt;&gt;-999, BD99*$DZ99, -999)</f>
        <v>-3060652.5906074988</v>
      </c>
      <c r="EC99" s="24">
        <f>IF(BE99&lt;&gt;-999, BE99*$DZ99, -999)</f>
        <v>-6863882.0143452361</v>
      </c>
      <c r="ED99">
        <f t="shared" si="60"/>
        <v>-29.317</v>
      </c>
      <c r="EE99">
        <f>IF(BF99&lt;&gt;-999,BF99*$ED99, -999)</f>
        <v>-4083993.7099550897</v>
      </c>
      <c r="EF99">
        <f>IF(BG99&lt;&gt;-999,BG99*$ED99, -999)</f>
        <v>-3286597.3091919022</v>
      </c>
      <c r="EG99" s="24">
        <f>IF(BH99&lt;&gt;-999,BH99*$ED99, -999)</f>
        <v>-7370591.0191469928</v>
      </c>
      <c r="EH99">
        <f t="shared" si="61"/>
        <v>-38.03</v>
      </c>
      <c r="EI99">
        <f>IF(BI99&lt;&gt;-999,BI99*$EH99, -999)</f>
        <v>-5970509.5116500333</v>
      </c>
      <c r="EJ99">
        <f>IF(BJ99&lt;&gt;-999,BJ99*$EH99, -999)</f>
        <v>-4804769.5711817704</v>
      </c>
      <c r="EK99" s="24">
        <f>IF(BK99&lt;&gt;-999,BK99*$EH99, -999)</f>
        <v>-10775285.413626863</v>
      </c>
      <c r="EL99" s="28">
        <f t="shared" si="62"/>
        <v>-44699108.483120888</v>
      </c>
      <c r="EM99" s="22">
        <f>-17.17-(0.1023*G99)+H99*(100+102.093-66.644-64.243)</f>
        <v>33.138059623238732</v>
      </c>
      <c r="EN99">
        <f>IF(AT99&lt;&gt;-999,AT99*$EM99, -999)</f>
        <v>5777887.5594466329</v>
      </c>
      <c r="EO99">
        <f>IF(AU99&lt;&gt;-999,AU99*$EM99, -999)</f>
        <v>4649758.7563701263</v>
      </c>
      <c r="EP99" s="23">
        <f>IF(AV99&lt;&gt;-999,AV99*$EM99, -999)</f>
        <v>10427651.832258098</v>
      </c>
      <c r="EQ99">
        <f>-19.943-(0.1023*G99)+H99*(100+102.093-66.644-64.243)</f>
        <v>30.365059623238732</v>
      </c>
      <c r="ER99">
        <f>IF(AW99&lt;&gt;-999,AW99*$EQ99, -999)</f>
        <v>4895587.2575644674</v>
      </c>
      <c r="ES99">
        <f>IF(AX99&lt;&gt;-999,AX99*$EQ99, -999)</f>
        <v>3939725.0308813099</v>
      </c>
      <c r="ET99" s="23">
        <f>IF(AY99&lt;&gt;-999,AY99*$EQ99, -999)</f>
        <v>8835312.2884457782</v>
      </c>
      <c r="EU99">
        <f>-25.871-(0.1023*G99)+H99*(100+102.093-66.644-64.243)</f>
        <v>24.437059623238731</v>
      </c>
      <c r="EV99">
        <f>IF(AZ99&lt;&gt;-999,AZ99*$EU99, -999)</f>
        <v>4440164.3679447221</v>
      </c>
      <c r="EW99">
        <f>IF(BA99&lt;&gt;-999,BA99*$EU99, -999)</f>
        <v>3573224.8847251143</v>
      </c>
      <c r="EX99" s="23">
        <f>IF(BB99&lt;&gt;-999,BB99*$EU99, -999)</f>
        <v>8013389.2526698364</v>
      </c>
      <c r="EY99">
        <f>-25.245-(0.1023*G99)+H99*(100+102.093-66.644-64.243)</f>
        <v>25.063059623238729</v>
      </c>
      <c r="EZ99">
        <f>IF(BC99&lt;&gt;-999, BC99*$EY99, -999)</f>
        <v>3775819.6002374641</v>
      </c>
      <c r="FA99">
        <f>IF(BD99&lt;&gt;-999, BD99*$EY99, -999)</f>
        <v>3038594.5083943675</v>
      </c>
      <c r="FB99" s="23">
        <f>IF(BE99&lt;&gt;-999, BE99*$EY99, -999)</f>
        <v>6814414.1086318325</v>
      </c>
      <c r="FC99">
        <f>-29.317-(0.1023*G99)+H99*(100+102.093-66.644-64.243)</f>
        <v>20.991059623238733</v>
      </c>
      <c r="FD99">
        <f>IF(BF99&lt;&gt;-999,BF99*$FC99, -999)</f>
        <v>2924151.7026503137</v>
      </c>
      <c r="FE99">
        <f>IF(BG99&lt;&gt;-999,BG99*$FC99, -999)</f>
        <v>2353213.4964294848</v>
      </c>
      <c r="FF99" s="23">
        <f>IF(BH99&lt;&gt;-999,BH99*$FC99, -999)</f>
        <v>5277365.1990797985</v>
      </c>
      <c r="FG99">
        <f>-38.03-(0.1023*G99)+H99*(100+102.093-66.644-64.243)</f>
        <v>12.278059623238732</v>
      </c>
      <c r="FH99">
        <f>IF(BI99&lt;&gt;-999,BI99*$FG99, -999)</f>
        <v>1927590.6327939278</v>
      </c>
      <c r="FI99">
        <f>IF(BJ99&lt;&gt;-999,BJ99*$FG99, -999)</f>
        <v>1551229.2209017347</v>
      </c>
      <c r="FJ99" s="23">
        <f>IF(BK99&lt;&gt;-999,BK99*$FG99, -999)</f>
        <v>3478821.8976051868</v>
      </c>
      <c r="FK99" s="28">
        <f t="shared" si="63"/>
        <v>42846954.578690529</v>
      </c>
      <c r="FL99" s="22">
        <f t="shared" si="66"/>
        <v>10.012280000000011</v>
      </c>
      <c r="FM99">
        <f>IF(AT99&lt;&gt;-999,AT99*$FL99, -999)</f>
        <v>1745721.64790023</v>
      </c>
      <c r="FN99">
        <f>IF(AU99&lt;&gt;-999,AU99*$FL99, -999)</f>
        <v>1404870.6270231381</v>
      </c>
      <c r="FO99" s="29">
        <f>IF(AV99&lt;&gt;-999,AV99*$FL99, -999)</f>
        <v>3150593.9416520759</v>
      </c>
      <c r="FP99">
        <f t="shared" si="67"/>
        <v>7.2392800000000115</v>
      </c>
      <c r="FQ99">
        <f>IF(AW99&lt;&gt;-999,AW99*$FP99, -999)</f>
        <v>1167148.273761936</v>
      </c>
      <c r="FR99">
        <f>IF(AX99&lt;&gt;-999,AX99*$FP99, -999)</f>
        <v>939262.85590861202</v>
      </c>
      <c r="FS99" s="29">
        <f>IF(AY99&lt;&gt;-999,AY99*$FP99, -999)</f>
        <v>2106411.1296705483</v>
      </c>
      <c r="FT99">
        <f t="shared" si="68"/>
        <v>1.3112800000000142</v>
      </c>
      <c r="FU99">
        <f>IF(AZ99&lt;&gt;-999,AZ99*$FT99, -999)</f>
        <v>238256.92706751957</v>
      </c>
      <c r="FV99">
        <f>IF(BA99&lt;&gt;-999,BA99*$FT99, -999)</f>
        <v>191737.4020885338</v>
      </c>
      <c r="FW99" s="29">
        <f>IF(BB99&lt;&gt;-999,BB99*$FT99, -999)</f>
        <v>429994.32915605337</v>
      </c>
      <c r="FX99">
        <f t="shared" si="69"/>
        <v>1.9372800000000119</v>
      </c>
      <c r="FY99">
        <f>IF(BC99&lt;&gt;-999, BC99*$FX99, -999)</f>
        <v>291856.61707342794</v>
      </c>
      <c r="FZ99">
        <f>IF(BD99&lt;&gt;-999, BD99*$FX99, -999)</f>
        <v>234871.89743442784</v>
      </c>
      <c r="GA99" s="29">
        <f>IF(BE99&lt;&gt;-999, BE99*$FX99, -999)</f>
        <v>526728.51450785587</v>
      </c>
      <c r="GB99">
        <f t="shared" si="70"/>
        <v>-2.1347199999999873</v>
      </c>
      <c r="GC99">
        <f>IF(BF99&lt;&gt;-999,BF99*$GB99, -999)</f>
        <v>-297376.37045111292</v>
      </c>
      <c r="GD99">
        <f>IF(BG99&lt;&gt;-999,BG99*$GB99, -999)</f>
        <v>-239313.87958788744</v>
      </c>
      <c r="GE99" s="29">
        <f>IF(BH99&lt;&gt;-999,BH99*$GB99, -999)</f>
        <v>-536690.25003900041</v>
      </c>
      <c r="GF99">
        <f t="shared" si="71"/>
        <v>-10.847719999999988</v>
      </c>
      <c r="GG99">
        <f>IF(BI99&lt;&gt;-999,BI99*$GF99, -999)</f>
        <v>-1703034.8524774185</v>
      </c>
      <c r="GH99">
        <f>IF(BJ99&lt;&gt;-999,BJ99*$GF99, -999)</f>
        <v>-1370517.8799027046</v>
      </c>
      <c r="GI99" s="29">
        <f>IF(BK99&lt;&gt;-999,BK99*$GF99, -999)</f>
        <v>-3073554.5381832309</v>
      </c>
      <c r="GJ99" s="30">
        <f t="shared" si="64"/>
        <v>2603483.1267643021</v>
      </c>
    </row>
    <row r="100" spans="1:192">
      <c r="A100" s="48" t="s">
        <v>136</v>
      </c>
      <c r="B100" s="48" t="s">
        <v>235</v>
      </c>
      <c r="C100" s="49">
        <v>96</v>
      </c>
      <c r="D100" s="50">
        <v>0.72599999999999998</v>
      </c>
      <c r="E100" s="49">
        <v>62.552212839069099</v>
      </c>
      <c r="F100" s="49">
        <v>0.79131502433852197</v>
      </c>
      <c r="G100" s="49">
        <v>307.28235203332099</v>
      </c>
      <c r="H100" s="49">
        <v>0.80152433711243198</v>
      </c>
      <c r="I100" s="42">
        <v>21485.200000000001</v>
      </c>
      <c r="J100" s="43">
        <v>-999</v>
      </c>
      <c r="K100" s="43">
        <f t="shared" si="39"/>
        <v>21485.200000000001</v>
      </c>
      <c r="L100" s="43">
        <v>11392.2</v>
      </c>
      <c r="M100" s="43">
        <v>-999</v>
      </c>
      <c r="N100" s="43">
        <f t="shared" si="40"/>
        <v>11392.2</v>
      </c>
      <c r="O100" s="43">
        <v>20364.5</v>
      </c>
      <c r="P100" s="43">
        <v>-999</v>
      </c>
      <c r="Q100" s="43">
        <f t="shared" si="41"/>
        <v>20364.5</v>
      </c>
      <c r="R100" s="43">
        <v>10963.1</v>
      </c>
      <c r="S100" s="43">
        <v>-999</v>
      </c>
      <c r="T100" s="43">
        <f t="shared" si="42"/>
        <v>10963.1</v>
      </c>
      <c r="U100" s="43">
        <v>5813</v>
      </c>
      <c r="V100" s="43">
        <v>-999</v>
      </c>
      <c r="W100" s="43">
        <f t="shared" si="43"/>
        <v>5813</v>
      </c>
      <c r="X100" s="43">
        <v>10391.200000000001</v>
      </c>
      <c r="Y100" s="43">
        <v>-999</v>
      </c>
      <c r="Z100" s="43">
        <f t="shared" si="44"/>
        <v>10391.200000000001</v>
      </c>
      <c r="AA100" s="22">
        <v>135030.20000000001</v>
      </c>
      <c r="AB100">
        <v>-999</v>
      </c>
      <c r="AC100">
        <v>135030.20000000001</v>
      </c>
      <c r="AD100">
        <v>71597.399999999994</v>
      </c>
      <c r="AE100">
        <v>-999</v>
      </c>
      <c r="AF100">
        <v>71597.399999999994</v>
      </c>
      <c r="AG100">
        <v>127986.9</v>
      </c>
      <c r="AH100">
        <v>-999</v>
      </c>
      <c r="AI100">
        <v>127986.9</v>
      </c>
      <c r="AJ100">
        <v>68900.7</v>
      </c>
      <c r="AK100">
        <v>-999</v>
      </c>
      <c r="AL100">
        <v>68900.7</v>
      </c>
      <c r="AM100">
        <v>36533.4</v>
      </c>
      <c r="AN100">
        <v>-999</v>
      </c>
      <c r="AO100">
        <v>36533.4</v>
      </c>
      <c r="AP100">
        <v>65306.8</v>
      </c>
      <c r="AQ100">
        <v>-999</v>
      </c>
      <c r="AR100">
        <v>65306.8</v>
      </c>
      <c r="AS100">
        <v>505355.47</v>
      </c>
      <c r="AT100" s="22">
        <f t="shared" si="74"/>
        <v>224782.67759614502</v>
      </c>
      <c r="AU100">
        <f t="shared" si="74"/>
        <v>-999</v>
      </c>
      <c r="AV100">
        <f t="shared" si="74"/>
        <v>224782.67759614502</v>
      </c>
      <c r="AW100">
        <f t="shared" si="74"/>
        <v>119187.080230365</v>
      </c>
      <c r="AX100">
        <f t="shared" si="74"/>
        <v>-999</v>
      </c>
      <c r="AY100">
        <f t="shared" si="74"/>
        <v>119187.080230365</v>
      </c>
      <c r="AZ100">
        <f t="shared" si="74"/>
        <v>213057.80543337748</v>
      </c>
      <c r="BA100">
        <f t="shared" si="74"/>
        <v>-999</v>
      </c>
      <c r="BB100">
        <f t="shared" si="73"/>
        <v>213057.80543337748</v>
      </c>
      <c r="BC100">
        <f t="shared" si="73"/>
        <v>114697.9256066325</v>
      </c>
      <c r="BD100">
        <f t="shared" si="73"/>
        <v>-999</v>
      </c>
      <c r="BE100">
        <f t="shared" si="73"/>
        <v>114697.9256066325</v>
      </c>
      <c r="BF100">
        <f t="shared" si="73"/>
        <v>60816.583798965003</v>
      </c>
      <c r="BG100">
        <f t="shared" si="73"/>
        <v>-999</v>
      </c>
      <c r="BH100">
        <f t="shared" si="73"/>
        <v>60816.583798965003</v>
      </c>
      <c r="BI100">
        <f t="shared" si="73"/>
        <v>108715.21607193</v>
      </c>
      <c r="BJ100">
        <f t="shared" si="73"/>
        <v>-999</v>
      </c>
      <c r="BK100">
        <f t="shared" si="73"/>
        <v>108715.21607193</v>
      </c>
      <c r="BL100">
        <f t="shared" si="73"/>
        <v>841257.40526532824</v>
      </c>
      <c r="BM100" s="22">
        <f>-17.17-(0.1023*E100)+F100*(100-8.576-13.681)</f>
        <v>37.950112563712949</v>
      </c>
      <c r="BN100">
        <f>IF(AT100&lt;&gt;-999,AT100*$BM100, -999)</f>
        <v>8530527.9171465002</v>
      </c>
      <c r="BO100">
        <f>IF(AU100&lt;&gt;-999,AU100*$BM100, -999)</f>
        <v>-999</v>
      </c>
      <c r="BP100" s="25">
        <f>IF(AV100&lt;&gt;-999,AV100*$BM100, -999)</f>
        <v>8530527.9171465002</v>
      </c>
      <c r="BQ100">
        <f>-19.943-(0.1023*E100)+F100*(100-8.576-13.681)</f>
        <v>35.177112563712953</v>
      </c>
      <c r="BR100">
        <f>IF(AW100&lt;&gt;-999,AW100*$BQ100, -999)</f>
        <v>4192657.3374038362</v>
      </c>
      <c r="BS100">
        <f>IF(AX100&lt;&gt;-999,AX100*$BQ100, -999)</f>
        <v>-999</v>
      </c>
      <c r="BT100" s="25">
        <f>IF(AY100&lt;&gt;-999,AY100*$BQ100, -999)</f>
        <v>4192657.3374038362</v>
      </c>
      <c r="BU100">
        <f>-25.871-(0.1023*E100)+F100*(100-8.576-13.681)</f>
        <v>29.249112563712949</v>
      </c>
      <c r="BV100">
        <f>IF(AZ100&lt;&gt;-999,AZ100*$BU100, -999)</f>
        <v>6231751.7336985106</v>
      </c>
      <c r="BW100">
        <f>IF(BA100&lt;&gt;-999,BA100*$BU100, -999)</f>
        <v>-999</v>
      </c>
      <c r="BX100" s="25">
        <f>IF(BB100&lt;&gt;-999,BB100*$BU100, -999)</f>
        <v>6231751.7336985106</v>
      </c>
      <c r="BY100">
        <f>-25.245-(0.1023*E100)+F100*(100-8.576-13.681)</f>
        <v>29.87511256371295</v>
      </c>
      <c r="BZ100">
        <f>IF(BC100&lt;&gt;-999,BC100*$BY100, -999)</f>
        <v>3426613.4383225199</v>
      </c>
      <c r="CA100">
        <f>IF(BD100&lt;&gt;-999,BD100*$BY100, -999)</f>
        <v>-999</v>
      </c>
      <c r="CB100" s="25">
        <f>IF(BE100&lt;&gt;-999,BE100*$BY100, -999)</f>
        <v>3426613.4383225199</v>
      </c>
      <c r="CC100">
        <f>-29.317-(0.1023*E100)+F100*(100-8.576-13.681)</f>
        <v>25.803112563712951</v>
      </c>
      <c r="CD100">
        <f>IF(BF100&lt;&gt;-999,BF100*$CC100, -999)</f>
        <v>1569257.1575051753</v>
      </c>
      <c r="CE100">
        <f>IF(BG100&lt;&gt;-999,BG100*$CC100, -999)</f>
        <v>-999</v>
      </c>
      <c r="CF100" s="25">
        <f>IF(BH100&lt;&gt;-999,BH100*$CC100, -999)</f>
        <v>1569257.1575051753</v>
      </c>
      <c r="CG100">
        <f>-38.03-(0.1023*E100)+F100*(100-8.576-13.681)</f>
        <v>17.09011256371295</v>
      </c>
      <c r="CH100">
        <f>IF(BI100&lt;&gt;-999,BI100*$CG100, -999)</f>
        <v>1857955.2800576589</v>
      </c>
      <c r="CI100">
        <f>IF(BJ100&lt;&gt;-999,BJ100*$CG100, -999)</f>
        <v>-999</v>
      </c>
      <c r="CJ100" s="25">
        <f>IF(BK100&lt;&gt;-999,BK100*$CG100, -999)</f>
        <v>1857955.2800576589</v>
      </c>
      <c r="CK100" s="26">
        <f t="shared" si="45"/>
        <v>25808762.864134204</v>
      </c>
      <c r="CL100">
        <f t="shared" si="46"/>
        <v>-40.20347036435264</v>
      </c>
      <c r="CM100">
        <f t="shared" si="47"/>
        <v>17.226249282368975</v>
      </c>
      <c r="CN100">
        <f t="shared" si="48"/>
        <v>-96.641170428663045</v>
      </c>
      <c r="CO100" s="22">
        <f t="shared" si="49"/>
        <v>-40.08</v>
      </c>
      <c r="CP100">
        <f>IF(AT100&lt;&gt;-999,AT100*$CO100, -999)</f>
        <v>-9009289.7180534918</v>
      </c>
      <c r="CQ100">
        <f>IF(AU100&lt;&gt;-999,AU100*$CO100, -999)</f>
        <v>-999</v>
      </c>
      <c r="CR100" s="27">
        <f>IF(AV100&lt;&gt;-999,AV100*$CO100, -999)</f>
        <v>-9009289.7180534918</v>
      </c>
      <c r="CS100">
        <f t="shared" si="50"/>
        <v>-42.853000000000002</v>
      </c>
      <c r="CT100">
        <f>IF(AW100&lt;&gt;-999,AW100*$CS100, -999)</f>
        <v>-5107523.9491118314</v>
      </c>
      <c r="CU100">
        <f>IF(AX100&lt;&gt;-999,AX100*$CS100, -999)</f>
        <v>-999</v>
      </c>
      <c r="CV100" s="27">
        <f>IF(AY100&lt;&gt;-999,AY100*$CS100, -999)</f>
        <v>-5107523.9491118314</v>
      </c>
      <c r="CW100">
        <f t="shared" si="51"/>
        <v>-48.780999999999999</v>
      </c>
      <c r="CX100">
        <f>IF(AZ100&lt;&gt;-999,AZ100*$CO100, -999)</f>
        <v>-8539356.8417697698</v>
      </c>
      <c r="CY100">
        <f>IF(BA100&lt;&gt;-999,BA100*$CO100, -999)</f>
        <v>-999</v>
      </c>
      <c r="CZ100" s="27">
        <f>IF(BB100&lt;&gt;-999,BB100*$CO100, -999)</f>
        <v>-8539356.8417697698</v>
      </c>
      <c r="DA100">
        <f t="shared" si="52"/>
        <v>-48.155000000000001</v>
      </c>
      <c r="DB100">
        <f>IF(BC100&lt;&gt;-999,BC100*$DA100, -999)</f>
        <v>-5523278.6075873887</v>
      </c>
      <c r="DC100">
        <f>IF(BD100&lt;&gt;-999,BD100*$DA100, -999)</f>
        <v>-999</v>
      </c>
      <c r="DD100" s="27">
        <f>IF(BE100&lt;&gt;-999,BE100*$DA100, -999)</f>
        <v>-5523278.6075873887</v>
      </c>
      <c r="DE100">
        <f t="shared" si="53"/>
        <v>-52.227000000000004</v>
      </c>
      <c r="DF100">
        <f>IF(BF100&lt;&gt;-999,BF100*$DE100, -999)</f>
        <v>-3176267.7220685454</v>
      </c>
      <c r="DG100">
        <f>IF(BG100&lt;&gt;-999,BG100*$DE100, -999)</f>
        <v>-999</v>
      </c>
      <c r="DH100" s="27">
        <f>IF(BH100&lt;&gt;-999,BH100*$DE100, -999)</f>
        <v>-3176267.7220685454</v>
      </c>
      <c r="DI100">
        <f t="shared" si="54"/>
        <v>-60.94</v>
      </c>
      <c r="DJ100">
        <f>IF(BI100&lt;&gt;-999,BI100*$DI100, -999)</f>
        <v>-6625105.2674234137</v>
      </c>
      <c r="DK100">
        <f>IF(BJ100&lt;&gt;-999,BJ100*$DI100, -999)</f>
        <v>-999</v>
      </c>
      <c r="DL100" s="27">
        <f>IF(BK100&lt;&gt;-999,BK100*$DI100, -999)</f>
        <v>-6625105.2674234137</v>
      </c>
      <c r="DM100" s="28">
        <f t="shared" si="55"/>
        <v>-37980822.106014445</v>
      </c>
      <c r="DN100" s="22">
        <f t="shared" si="56"/>
        <v>-17.170000000000002</v>
      </c>
      <c r="DO100">
        <f>IF(AT100&lt;&gt;-999,AT100*$DN100, -999)</f>
        <v>-3859518.5743258102</v>
      </c>
      <c r="DP100">
        <f>IF(AU100&lt;&gt;-999,AU100*$DN100, -999)</f>
        <v>-999</v>
      </c>
      <c r="DQ100" s="24">
        <f>IF(AV100&lt;&gt;-999,AV100*$DN100, -999)</f>
        <v>-3859518.5743258102</v>
      </c>
      <c r="DR100">
        <f t="shared" si="57"/>
        <v>-19.943000000000001</v>
      </c>
      <c r="DS100">
        <f>IF(AW100&lt;&gt;-999,AW100*$DR100, -999)</f>
        <v>-2376947.9410341694</v>
      </c>
      <c r="DT100">
        <f>IF(AX100&lt;&gt;-999,AX100*$DR100, -999)</f>
        <v>-999</v>
      </c>
      <c r="DU100" s="24">
        <f>IF(AY100&lt;&gt;-999,AY100*$DR100, -999)</f>
        <v>-2376947.9410341694</v>
      </c>
      <c r="DV100">
        <f t="shared" si="58"/>
        <v>-25.870999999999999</v>
      </c>
      <c r="DW100">
        <f>IF(AZ100&lt;&gt;-999,AZ100*$DV100, -999)</f>
        <v>-5512018.4843669087</v>
      </c>
      <c r="DX100">
        <f>IF(BA100&lt;&gt;-999,BA100*$DV100, -999)</f>
        <v>-999</v>
      </c>
      <c r="DY100" s="24">
        <f>IF(BB100&lt;&gt;-999,BB100*$DV100, -999)</f>
        <v>-5512018.4843669087</v>
      </c>
      <c r="DZ100">
        <f t="shared" si="59"/>
        <v>-25.245000000000001</v>
      </c>
      <c r="EA100">
        <f>IF(BC100&lt;&gt;-999, BC100*$DZ100, -999)</f>
        <v>-2895549.1319394377</v>
      </c>
      <c r="EB100">
        <f>IF(BD100&lt;&gt;-999, BD100*$DZ100, -999)</f>
        <v>-999</v>
      </c>
      <c r="EC100" s="24">
        <f>IF(BE100&lt;&gt;-999, BE100*$DZ100, -999)</f>
        <v>-2895549.1319394377</v>
      </c>
      <c r="ED100">
        <f t="shared" si="60"/>
        <v>-29.317</v>
      </c>
      <c r="EE100">
        <f>IF(BF100&lt;&gt;-999,BF100*$ED100, -999)</f>
        <v>-1782959.787234257</v>
      </c>
      <c r="EF100">
        <f>IF(BG100&lt;&gt;-999,BG100*$ED100, -999)</f>
        <v>-999</v>
      </c>
      <c r="EG100" s="24">
        <f>IF(BH100&lt;&gt;-999,BH100*$ED100, -999)</f>
        <v>-1782959.787234257</v>
      </c>
      <c r="EH100">
        <f t="shared" si="61"/>
        <v>-38.03</v>
      </c>
      <c r="EI100">
        <f>IF(BI100&lt;&gt;-999,BI100*$EH100, -999)</f>
        <v>-4134439.6672154982</v>
      </c>
      <c r="EJ100">
        <f>IF(BJ100&lt;&gt;-999,BJ100*$EH100, -999)</f>
        <v>-999</v>
      </c>
      <c r="EK100" s="24">
        <f>IF(BK100&lt;&gt;-999,BK100*$EH100, -999)</f>
        <v>-4134439.6672154982</v>
      </c>
      <c r="EL100" s="28">
        <f t="shared" si="62"/>
        <v>-20561433.586116083</v>
      </c>
      <c r="EM100" s="22">
        <f>-17.17-(0.1023*G100)+H100*(100+102.093-66.644-64.243)</f>
        <v>8.4683573354191068</v>
      </c>
      <c r="EN100">
        <f>IF(AT100&lt;&gt;-999,AT100*$EM100, -999)</f>
        <v>1903540.0366964629</v>
      </c>
      <c r="EO100">
        <f>IF(AU100&lt;&gt;-999,AU100*$EM100, -999)</f>
        <v>-999</v>
      </c>
      <c r="EP100" s="23">
        <f>IF(AV100&lt;&gt;-999,AV100*$EM100, -999)</f>
        <v>1903540.0366964629</v>
      </c>
      <c r="EQ100">
        <f>-19.943-(0.1023*G100)+H100*(100+102.093-66.644-64.243)</f>
        <v>5.6953573354191107</v>
      </c>
      <c r="ER100">
        <f>IF(AW100&lt;&gt;-999,AW100*$EQ100, -999)</f>
        <v>678813.01167719532</v>
      </c>
      <c r="ES100">
        <f>IF(AX100&lt;&gt;-999,AX100*$EQ100, -999)</f>
        <v>-999</v>
      </c>
      <c r="ET100" s="23">
        <f>IF(AY100&lt;&gt;-999,AY100*$EQ100, -999)</f>
        <v>678813.01167719532</v>
      </c>
      <c r="EU100">
        <f>-25.871-(0.1023*G100)+H100*(100+102.093-66.644-64.243)</f>
        <v>-0.23264266458088656</v>
      </c>
      <c r="EV100">
        <f>IF(AZ100&lt;&gt;-999,AZ100*$EU100, -999)</f>
        <v>-49566.33556577703</v>
      </c>
      <c r="EW100">
        <f>IF(BA100&lt;&gt;-999,BA100*$EU100, -999)</f>
        <v>-999</v>
      </c>
      <c r="EX100" s="23">
        <f>IF(BB100&lt;&gt;-999,BB100*$EU100, -999)</f>
        <v>-49566.33556577703</v>
      </c>
      <c r="EY100">
        <f>-25.245-(0.1023*G100)+H100*(100+102.093-66.644-64.243)</f>
        <v>0.393357335419104</v>
      </c>
      <c r="EZ100">
        <f>IF(BC100&lt;&gt;-999, BC100*$EY100, -999)</f>
        <v>45117.270394723579</v>
      </c>
      <c r="FA100">
        <f>IF(BD100&lt;&gt;-999, BD100*$EY100, -999)</f>
        <v>-999</v>
      </c>
      <c r="FB100" s="23">
        <f>IF(BE100&lt;&gt;-999, BE100*$EY100, -999)</f>
        <v>45117.270394723579</v>
      </c>
      <c r="FC100">
        <f>-29.317-(0.1023*G100)+H100*(100+102.093-66.644-64.243)</f>
        <v>-3.6786426645808916</v>
      </c>
      <c r="FD100">
        <f>IF(BF100&lt;&gt;-999,BF100*$FC100, -999)</f>
        <v>-223722.4798769317</v>
      </c>
      <c r="FE100">
        <f>IF(BG100&lt;&gt;-999,BG100*$FC100, -999)</f>
        <v>-999</v>
      </c>
      <c r="FF100" s="23">
        <f>IF(BH100&lt;&gt;-999,BH100*$FC100, -999)</f>
        <v>-223722.4798769317</v>
      </c>
      <c r="FG100">
        <f>-38.03-(0.1023*G100)+H100*(100+102.093-66.644-64.243)</f>
        <v>-12.391642664580893</v>
      </c>
      <c r="FH100">
        <f>IF(BI100&lt;&gt;-999,BI100*$FG100, -999)</f>
        <v>-1347160.1097660582</v>
      </c>
      <c r="FI100">
        <f>IF(BJ100&lt;&gt;-999,BJ100*$FG100, -999)</f>
        <v>-999</v>
      </c>
      <c r="FJ100" s="23">
        <f>IF(BK100&lt;&gt;-999,BK100*$FG100, -999)</f>
        <v>-1347160.1097660582</v>
      </c>
      <c r="FK100" s="28">
        <f t="shared" si="63"/>
        <v>1007021.3935596147</v>
      </c>
      <c r="FL100" s="22">
        <f t="shared" si="66"/>
        <v>10.012280000000011</v>
      </c>
      <c r="FM100">
        <f>IF(AT100&lt;&gt;-999,AT100*$FL100, -999)</f>
        <v>2250587.1072423332</v>
      </c>
      <c r="FN100">
        <f>IF(AU100&lt;&gt;-999,AU100*$FL100, -999)</f>
        <v>-999</v>
      </c>
      <c r="FO100" s="29">
        <f>IF(AV100&lt;&gt;-999,AV100*$FL100, -999)</f>
        <v>2250587.1072423332</v>
      </c>
      <c r="FP100">
        <f t="shared" si="67"/>
        <v>7.2392800000000115</v>
      </c>
      <c r="FQ100">
        <f>IF(AW100&lt;&gt;-999,AW100*$FP100, -999)</f>
        <v>862828.64617007808</v>
      </c>
      <c r="FR100">
        <f>IF(AX100&lt;&gt;-999,AX100*$FP100, -999)</f>
        <v>-999</v>
      </c>
      <c r="FS100" s="29">
        <f>IF(AY100&lt;&gt;-999,AY100*$FP100, -999)</f>
        <v>862828.64617007808</v>
      </c>
      <c r="FT100">
        <f t="shared" si="68"/>
        <v>1.3112800000000142</v>
      </c>
      <c r="FU100">
        <f>IF(AZ100&lt;&gt;-999,AZ100*$FT100, -999)</f>
        <v>279378.43910868227</v>
      </c>
      <c r="FV100">
        <f>IF(BA100&lt;&gt;-999,BA100*$FT100, -999)</f>
        <v>-999</v>
      </c>
      <c r="FW100" s="29">
        <f>IF(BB100&lt;&gt;-999,BB100*$FT100, -999)</f>
        <v>279378.43910868227</v>
      </c>
      <c r="FX100">
        <f t="shared" si="69"/>
        <v>1.9372800000000119</v>
      </c>
      <c r="FY100">
        <f>IF(BC100&lt;&gt;-999, BC100*$FX100, -999)</f>
        <v>222201.99731921838</v>
      </c>
      <c r="FZ100">
        <f>IF(BD100&lt;&gt;-999, BD100*$FX100, -999)</f>
        <v>-999</v>
      </c>
      <c r="GA100" s="29">
        <f>IF(BE100&lt;&gt;-999, BE100*$FX100, -999)</f>
        <v>222201.99731921838</v>
      </c>
      <c r="GB100">
        <f t="shared" si="70"/>
        <v>-2.1347199999999873</v>
      </c>
      <c r="GC100">
        <f>IF(BF100&lt;&gt;-999,BF100*$GB100, -999)</f>
        <v>-129826.3777673258</v>
      </c>
      <c r="GD100">
        <f>IF(BG100&lt;&gt;-999,BG100*$GB100, -999)</f>
        <v>-999</v>
      </c>
      <c r="GE100" s="29">
        <f>IF(BH100&lt;&gt;-999,BH100*$GB100, -999)</f>
        <v>-129826.3777673258</v>
      </c>
      <c r="GF100">
        <f t="shared" si="71"/>
        <v>-10.847719999999988</v>
      </c>
      <c r="GG100">
        <f>IF(BI100&lt;&gt;-999,BI100*$GF100, -999)</f>
        <v>-1179312.2236877952</v>
      </c>
      <c r="GH100">
        <f>IF(BJ100&lt;&gt;-999,BJ100*$GF100, -999)</f>
        <v>-999</v>
      </c>
      <c r="GI100" s="29">
        <f>IF(BK100&lt;&gt;-999,BK100*$GF100, -999)</f>
        <v>-1179312.2236877952</v>
      </c>
      <c r="GJ100" s="30">
        <f t="shared" si="64"/>
        <v>2305857.5883851908</v>
      </c>
    </row>
    <row r="101" spans="1:192">
      <c r="A101" s="48" t="s">
        <v>161</v>
      </c>
      <c r="B101" s="48" t="s">
        <v>236</v>
      </c>
      <c r="C101" s="49">
        <v>64</v>
      </c>
      <c r="D101" s="50">
        <v>0.72399999999999998</v>
      </c>
      <c r="E101" s="49">
        <v>93.869086045289194</v>
      </c>
      <c r="F101" s="49">
        <v>0.79520633093804405</v>
      </c>
      <c r="G101" s="49">
        <v>53.588317585391501</v>
      </c>
      <c r="H101" s="49">
        <v>0.81914641609531702</v>
      </c>
      <c r="I101" s="42">
        <v>587.29999999999995</v>
      </c>
      <c r="J101" s="43">
        <v>-999</v>
      </c>
      <c r="K101" s="43">
        <f t="shared" si="39"/>
        <v>587.29999999999995</v>
      </c>
      <c r="L101" s="43">
        <v>202.3</v>
      </c>
      <c r="M101" s="43">
        <v>-999</v>
      </c>
      <c r="N101" s="43">
        <f t="shared" si="40"/>
        <v>202.3</v>
      </c>
      <c r="O101" s="43">
        <v>258.2</v>
      </c>
      <c r="P101" s="43">
        <v>-999</v>
      </c>
      <c r="Q101" s="43">
        <f t="shared" si="41"/>
        <v>258.2</v>
      </c>
      <c r="R101" s="43">
        <v>440.6</v>
      </c>
      <c r="S101" s="43">
        <v>-999</v>
      </c>
      <c r="T101" s="43">
        <f t="shared" si="42"/>
        <v>440.6</v>
      </c>
      <c r="U101" s="43">
        <v>151.69999999999999</v>
      </c>
      <c r="V101" s="43">
        <v>-999</v>
      </c>
      <c r="W101" s="43">
        <f t="shared" si="43"/>
        <v>151.69999999999999</v>
      </c>
      <c r="X101" s="43">
        <v>193.7</v>
      </c>
      <c r="Y101" s="43">
        <v>-999</v>
      </c>
      <c r="Z101" s="43">
        <f t="shared" si="44"/>
        <v>193.7</v>
      </c>
      <c r="AA101" s="22">
        <v>39970.9</v>
      </c>
      <c r="AB101">
        <v>-999</v>
      </c>
      <c r="AC101">
        <v>39970.9</v>
      </c>
      <c r="AD101">
        <v>13767.8</v>
      </c>
      <c r="AE101">
        <v>-999</v>
      </c>
      <c r="AF101">
        <v>13767.8</v>
      </c>
      <c r="AG101">
        <v>17573.400000000001</v>
      </c>
      <c r="AH101">
        <v>-999</v>
      </c>
      <c r="AI101">
        <v>17573.400000000001</v>
      </c>
      <c r="AJ101">
        <v>29985.9</v>
      </c>
      <c r="AK101">
        <v>-999</v>
      </c>
      <c r="AL101">
        <v>29985.9</v>
      </c>
      <c r="AM101">
        <v>10328.5</v>
      </c>
      <c r="AN101">
        <v>-999</v>
      </c>
      <c r="AO101">
        <v>10328.5</v>
      </c>
      <c r="AP101">
        <v>13183.4</v>
      </c>
      <c r="AQ101">
        <v>-999</v>
      </c>
      <c r="AR101">
        <v>13183.4</v>
      </c>
      <c r="AS101">
        <v>124809.92</v>
      </c>
      <c r="AT101" s="22">
        <f t="shared" si="74"/>
        <v>66538.936681777501</v>
      </c>
      <c r="AU101">
        <f t="shared" si="74"/>
        <v>-999</v>
      </c>
      <c r="AV101">
        <f t="shared" si="74"/>
        <v>66538.936681777501</v>
      </c>
      <c r="AW101">
        <f t="shared" si="74"/>
        <v>22919.042914904996</v>
      </c>
      <c r="AX101">
        <f t="shared" si="74"/>
        <v>-999</v>
      </c>
      <c r="AY101">
        <f t="shared" si="74"/>
        <v>22919.042914904996</v>
      </c>
      <c r="AZ101">
        <f t="shared" si="74"/>
        <v>29254.166152965001</v>
      </c>
      <c r="BA101">
        <f t="shared" si="74"/>
        <v>-999</v>
      </c>
      <c r="BB101">
        <f t="shared" si="73"/>
        <v>29254.166152965001</v>
      </c>
      <c r="BC101">
        <f t="shared" si="73"/>
        <v>49917.062198902502</v>
      </c>
      <c r="BD101">
        <f t="shared" si="73"/>
        <v>-999</v>
      </c>
      <c r="BE101">
        <f t="shared" si="73"/>
        <v>49917.062198902502</v>
      </c>
      <c r="BF101">
        <f t="shared" si="73"/>
        <v>17193.693600037503</v>
      </c>
      <c r="BG101">
        <f t="shared" si="73"/>
        <v>-999</v>
      </c>
      <c r="BH101">
        <f t="shared" si="73"/>
        <v>17193.693600037503</v>
      </c>
      <c r="BI101">
        <f t="shared" si="73"/>
        <v>21946.201307715</v>
      </c>
      <c r="BJ101">
        <f t="shared" si="73"/>
        <v>-999</v>
      </c>
      <c r="BK101">
        <f t="shared" si="73"/>
        <v>21946.201307715</v>
      </c>
      <c r="BL101">
        <f t="shared" si="73"/>
        <v>207769.136149992</v>
      </c>
      <c r="BM101" s="22">
        <f>-17.17-(0.1023*E101)+F101*(100-8.576-13.681)</f>
        <v>35.048918283683278</v>
      </c>
      <c r="BN101">
        <f>IF(AT101&lt;&gt;-999,AT101*$BM101, -999)</f>
        <v>2332117.7544427952</v>
      </c>
      <c r="BO101">
        <f>IF(AU101&lt;&gt;-999,AU101*$BM101, -999)</f>
        <v>-999</v>
      </c>
      <c r="BP101" s="25">
        <f>IF(AV101&lt;&gt;-999,AV101*$BM101, -999)</f>
        <v>2332117.7544427952</v>
      </c>
      <c r="BQ101">
        <f>-19.943-(0.1023*E101)+F101*(100-8.576-13.681)</f>
        <v>32.275918283683282</v>
      </c>
      <c r="BR101">
        <f>IF(AW101&lt;&gt;-999,AW101*$BQ101, -999)</f>
        <v>739733.15626170393</v>
      </c>
      <c r="BS101">
        <f>IF(AX101&lt;&gt;-999,AX101*$BQ101, -999)</f>
        <v>-999</v>
      </c>
      <c r="BT101" s="25">
        <f>IF(AY101&lt;&gt;-999,AY101*$BQ101, -999)</f>
        <v>739733.15626170393</v>
      </c>
      <c r="BU101">
        <f>-25.871-(0.1023*E101)+F101*(100-8.576-13.681)</f>
        <v>26.347918283683285</v>
      </c>
      <c r="BV101">
        <f>IF(AZ101&lt;&gt;-999,AZ101*$BU101, -999)</f>
        <v>770786.37925561529</v>
      </c>
      <c r="BW101">
        <f>IF(BA101&lt;&gt;-999,BA101*$BU101, -999)</f>
        <v>-999</v>
      </c>
      <c r="BX101" s="25">
        <f>IF(BB101&lt;&gt;-999,BB101*$BU101, -999)</f>
        <v>770786.37925561529</v>
      </c>
      <c r="BY101">
        <f>-25.245-(0.1023*E101)+F101*(100-8.576-13.681)</f>
        <v>26.973918283683282</v>
      </c>
      <c r="BZ101">
        <f>IF(BC101&lt;&gt;-999,BC101*$BY101, -999)</f>
        <v>1346458.7567147319</v>
      </c>
      <c r="CA101">
        <f>IF(BD101&lt;&gt;-999,BD101*$BY101, -999)</f>
        <v>-999</v>
      </c>
      <c r="CB101" s="25">
        <f>IF(BE101&lt;&gt;-999,BE101*$BY101, -999)</f>
        <v>1346458.7567147319</v>
      </c>
      <c r="CC101">
        <f>-29.317-(0.1023*E101)+F101*(100-8.576-13.681)</f>
        <v>22.90191828368328</v>
      </c>
      <c r="CD101">
        <f>IF(BF101&lt;&gt;-999,BF101*$CC101, -999)</f>
        <v>393768.56582274707</v>
      </c>
      <c r="CE101">
        <f>IF(BG101&lt;&gt;-999,BG101*$CC101, -999)</f>
        <v>-999</v>
      </c>
      <c r="CF101" s="25">
        <f>IF(BH101&lt;&gt;-999,BH101*$CC101, -999)</f>
        <v>393768.56582274707</v>
      </c>
      <c r="CG101">
        <f>-38.03-(0.1023*E101)+F101*(100-8.576-13.681)</f>
        <v>14.188918283683286</v>
      </c>
      <c r="CH101">
        <f>IF(BI101&lt;&gt;-999,BI101*$CG101, -999)</f>
        <v>311392.85699243139</v>
      </c>
      <c r="CI101">
        <f>IF(BJ101&lt;&gt;-999,BJ101*$CG101, -999)</f>
        <v>-999</v>
      </c>
      <c r="CJ101" s="25">
        <f>IF(BK101&lt;&gt;-999,BK101*$CG101, -999)</f>
        <v>311392.85699243139</v>
      </c>
      <c r="CK101" s="26">
        <f t="shared" si="45"/>
        <v>5894257.4694900233</v>
      </c>
      <c r="CL101">
        <f t="shared" si="46"/>
        <v>-35.869036852651995</v>
      </c>
      <c r="CM101">
        <f t="shared" si="47"/>
        <v>21.279653030629014</v>
      </c>
      <c r="CN101">
        <f t="shared" si="48"/>
        <v>-92.030561556961132</v>
      </c>
      <c r="CO101" s="22">
        <f t="shared" si="49"/>
        <v>-40.08</v>
      </c>
      <c r="CP101">
        <f>IF(AT101&lt;&gt;-999,AT101*$CO101, -999)</f>
        <v>-2666880.582205642</v>
      </c>
      <c r="CQ101">
        <f>IF(AU101&lt;&gt;-999,AU101*$CO101, -999)</f>
        <v>-999</v>
      </c>
      <c r="CR101" s="27">
        <f>IF(AV101&lt;&gt;-999,AV101*$CO101, -999)</f>
        <v>-2666880.582205642</v>
      </c>
      <c r="CS101">
        <f t="shared" si="50"/>
        <v>-42.853000000000002</v>
      </c>
      <c r="CT101">
        <f>IF(AW101&lt;&gt;-999,AW101*$CS101, -999)</f>
        <v>-982149.74603242381</v>
      </c>
      <c r="CU101">
        <f>IF(AX101&lt;&gt;-999,AX101*$CS101, -999)</f>
        <v>-999</v>
      </c>
      <c r="CV101" s="27">
        <f>IF(AY101&lt;&gt;-999,AY101*$CS101, -999)</f>
        <v>-982149.74603242381</v>
      </c>
      <c r="CW101">
        <f t="shared" si="51"/>
        <v>-48.780999999999999</v>
      </c>
      <c r="CX101">
        <f>IF(AZ101&lt;&gt;-999,AZ101*$CO101, -999)</f>
        <v>-1172506.9794108372</v>
      </c>
      <c r="CY101">
        <f>IF(BA101&lt;&gt;-999,BA101*$CO101, -999)</f>
        <v>-999</v>
      </c>
      <c r="CZ101" s="27">
        <f>IF(BB101&lt;&gt;-999,BB101*$CO101, -999)</f>
        <v>-1172506.9794108372</v>
      </c>
      <c r="DA101">
        <f t="shared" si="52"/>
        <v>-48.155000000000001</v>
      </c>
      <c r="DB101">
        <f>IF(BC101&lt;&gt;-999,BC101*$DA101, -999)</f>
        <v>-2403756.1301881499</v>
      </c>
      <c r="DC101">
        <f>IF(BD101&lt;&gt;-999,BD101*$DA101, -999)</f>
        <v>-999</v>
      </c>
      <c r="DD101" s="27">
        <f>IF(BE101&lt;&gt;-999,BE101*$DA101, -999)</f>
        <v>-2403756.1301881499</v>
      </c>
      <c r="DE101">
        <f t="shared" si="53"/>
        <v>-52.227000000000004</v>
      </c>
      <c r="DF101">
        <f>IF(BF101&lt;&gt;-999,BF101*$DE101, -999)</f>
        <v>-897975.03564915876</v>
      </c>
      <c r="DG101">
        <f>IF(BG101&lt;&gt;-999,BG101*$DE101, -999)</f>
        <v>-999</v>
      </c>
      <c r="DH101" s="27">
        <f>IF(BH101&lt;&gt;-999,BH101*$DE101, -999)</f>
        <v>-897975.03564915876</v>
      </c>
      <c r="DI101">
        <f t="shared" si="54"/>
        <v>-60.94</v>
      </c>
      <c r="DJ101">
        <f>IF(BI101&lt;&gt;-999,BI101*$DI101, -999)</f>
        <v>-1337401.5076921522</v>
      </c>
      <c r="DK101">
        <f>IF(BJ101&lt;&gt;-999,BJ101*$DI101, -999)</f>
        <v>-999</v>
      </c>
      <c r="DL101" s="27">
        <f>IF(BK101&lt;&gt;-999,BK101*$DI101, -999)</f>
        <v>-1337401.5076921522</v>
      </c>
      <c r="DM101" s="28">
        <f t="shared" si="55"/>
        <v>-9460669.9811783638</v>
      </c>
      <c r="DN101" s="22">
        <f t="shared" si="56"/>
        <v>-17.170000000000002</v>
      </c>
      <c r="DO101">
        <f>IF(AT101&lt;&gt;-999,AT101*$DN101, -999)</f>
        <v>-1142473.5428261198</v>
      </c>
      <c r="DP101">
        <f>IF(AU101&lt;&gt;-999,AU101*$DN101, -999)</f>
        <v>-999</v>
      </c>
      <c r="DQ101" s="24">
        <f>IF(AV101&lt;&gt;-999,AV101*$DN101, -999)</f>
        <v>-1142473.5428261198</v>
      </c>
      <c r="DR101">
        <f t="shared" si="57"/>
        <v>-19.943000000000001</v>
      </c>
      <c r="DS101">
        <f>IF(AW101&lt;&gt;-999,AW101*$DR101, -999)</f>
        <v>-457074.47285195038</v>
      </c>
      <c r="DT101">
        <f>IF(AX101&lt;&gt;-999,AX101*$DR101, -999)</f>
        <v>-999</v>
      </c>
      <c r="DU101" s="24">
        <f>IF(AY101&lt;&gt;-999,AY101*$DR101, -999)</f>
        <v>-457074.47285195038</v>
      </c>
      <c r="DV101">
        <f t="shared" si="58"/>
        <v>-25.870999999999999</v>
      </c>
      <c r="DW101">
        <f>IF(AZ101&lt;&gt;-999,AZ101*$DV101, -999)</f>
        <v>-756834.53254335746</v>
      </c>
      <c r="DX101">
        <f>IF(BA101&lt;&gt;-999,BA101*$DV101, -999)</f>
        <v>-999</v>
      </c>
      <c r="DY101" s="24">
        <f>IF(BB101&lt;&gt;-999,BB101*$DV101, -999)</f>
        <v>-756834.53254335746</v>
      </c>
      <c r="DZ101">
        <f t="shared" si="59"/>
        <v>-25.245000000000001</v>
      </c>
      <c r="EA101">
        <f>IF(BC101&lt;&gt;-999, BC101*$DZ101, -999)</f>
        <v>-1260156.2352112937</v>
      </c>
      <c r="EB101">
        <f>IF(BD101&lt;&gt;-999, BD101*$DZ101, -999)</f>
        <v>-999</v>
      </c>
      <c r="EC101" s="24">
        <f>IF(BE101&lt;&gt;-999, BE101*$DZ101, -999)</f>
        <v>-1260156.2352112937</v>
      </c>
      <c r="ED101">
        <f t="shared" si="60"/>
        <v>-29.317</v>
      </c>
      <c r="EE101">
        <f>IF(BF101&lt;&gt;-999,BF101*$ED101, -999)</f>
        <v>-504067.51527229947</v>
      </c>
      <c r="EF101">
        <f>IF(BG101&lt;&gt;-999,BG101*$ED101, -999)</f>
        <v>-999</v>
      </c>
      <c r="EG101" s="24">
        <f>IF(BH101&lt;&gt;-999,BH101*$ED101, -999)</f>
        <v>-504067.51527229947</v>
      </c>
      <c r="EH101">
        <f t="shared" si="61"/>
        <v>-38.03</v>
      </c>
      <c r="EI101">
        <f>IF(BI101&lt;&gt;-999,BI101*$EH101, -999)</f>
        <v>-834614.03573240153</v>
      </c>
      <c r="EJ101">
        <f>IF(BJ101&lt;&gt;-999,BJ101*$EH101, -999)</f>
        <v>-999</v>
      </c>
      <c r="EK101" s="24">
        <f>IF(BK101&lt;&gt;-999,BK101*$EH101, -999)</f>
        <v>-834614.03573240153</v>
      </c>
      <c r="EL101" s="28">
        <f t="shared" si="62"/>
        <v>-4955220.3344374225</v>
      </c>
      <c r="EM101" s="22">
        <f>-17.17-(0.1023*G101)+H101*(100+102.093-66.644-64.243)</f>
        <v>35.676054815497608</v>
      </c>
      <c r="EN101">
        <f>IF(AT101&lt;&gt;-999,AT101*$EM101, -999)</f>
        <v>2373846.7524240185</v>
      </c>
      <c r="EO101">
        <f>IF(AU101&lt;&gt;-999,AU101*$EM101, -999)</f>
        <v>-999</v>
      </c>
      <c r="EP101" s="23">
        <f>IF(AV101&lt;&gt;-999,AV101*$EM101, -999)</f>
        <v>2373846.7524240185</v>
      </c>
      <c r="EQ101">
        <f>-19.943-(0.1023*G101)+H101*(100+102.093-66.644-64.243)</f>
        <v>32.903054815497605</v>
      </c>
      <c r="ER101">
        <f>IF(AW101&lt;&gt;-999,AW101*$EQ101, -999)</f>
        <v>754106.52534786111</v>
      </c>
      <c r="ES101">
        <f>IF(AX101&lt;&gt;-999,AX101*$EQ101, -999)</f>
        <v>-999</v>
      </c>
      <c r="ET101" s="23">
        <f>IF(AY101&lt;&gt;-999,AY101*$EQ101, -999)</f>
        <v>754106.52534786111</v>
      </c>
      <c r="EU101">
        <f>-25.871-(0.1023*G101)+H101*(100+102.093-66.644-64.243)</f>
        <v>26.975054815497607</v>
      </c>
      <c r="EV101">
        <f>IF(AZ101&lt;&gt;-999,AZ101*$EU101, -999)</f>
        <v>789132.73555790563</v>
      </c>
      <c r="EW101">
        <f>IF(BA101&lt;&gt;-999,BA101*$EU101, -999)</f>
        <v>-999</v>
      </c>
      <c r="EX101" s="23">
        <f>IF(BB101&lt;&gt;-999,BB101*$EU101, -999)</f>
        <v>789132.73555790563</v>
      </c>
      <c r="EY101">
        <f>-25.245-(0.1023*G101)+H101*(100+102.093-66.644-64.243)</f>
        <v>27.601054815497605</v>
      </c>
      <c r="EZ101">
        <f>IF(BC101&lt;&gt;-999, BC101*$EY101, -999)</f>
        <v>1377763.5699805114</v>
      </c>
      <c r="FA101">
        <f>IF(BD101&lt;&gt;-999, BD101*$EY101, -999)</f>
        <v>-999</v>
      </c>
      <c r="FB101" s="23">
        <f>IF(BE101&lt;&gt;-999, BE101*$EY101, -999)</f>
        <v>1377763.5699805114</v>
      </c>
      <c r="FC101">
        <f>-29.317-(0.1023*G101)+H101*(100+102.093-66.644-64.243)</f>
        <v>23.529054815497609</v>
      </c>
      <c r="FD101">
        <f>IF(BF101&lt;&gt;-999,BF101*$FC101, -999)</f>
        <v>404551.35919615283</v>
      </c>
      <c r="FE101">
        <f>IF(BG101&lt;&gt;-999,BG101*$FC101, -999)</f>
        <v>-999</v>
      </c>
      <c r="FF101" s="23">
        <f>IF(BH101&lt;&gt;-999,BH101*$FC101, -999)</f>
        <v>404551.35919615283</v>
      </c>
      <c r="FG101">
        <f>-38.03-(0.1023*G101)+H101*(100+102.093-66.644-64.243)</f>
        <v>14.816054815497601</v>
      </c>
      <c r="FH101">
        <f>IF(BI101&lt;&gt;-999,BI101*$FG101, -999)</f>
        <v>325156.12156705058</v>
      </c>
      <c r="FI101">
        <f>IF(BJ101&lt;&gt;-999,BJ101*$FG101, -999)</f>
        <v>-999</v>
      </c>
      <c r="FJ101" s="23">
        <f>IF(BK101&lt;&gt;-999,BK101*$FG101, -999)</f>
        <v>325156.12156705058</v>
      </c>
      <c r="FK101" s="28">
        <f t="shared" si="63"/>
        <v>6024557.0640735002</v>
      </c>
      <c r="FL101" s="22">
        <f t="shared" si="66"/>
        <v>10.012280000000011</v>
      </c>
      <c r="FM101">
        <f>IF(AT101&lt;&gt;-999,AT101*$FL101, -999)</f>
        <v>666206.46496022795</v>
      </c>
      <c r="FN101">
        <f>IF(AU101&lt;&gt;-999,AU101*$FL101, -999)</f>
        <v>-999</v>
      </c>
      <c r="FO101" s="29">
        <f>IF(AV101&lt;&gt;-999,AV101*$FL101, -999)</f>
        <v>666206.46496022795</v>
      </c>
      <c r="FP101">
        <f t="shared" si="67"/>
        <v>7.2392800000000115</v>
      </c>
      <c r="FQ101">
        <f>IF(AW101&lt;&gt;-999,AW101*$FP101, -999)</f>
        <v>165917.36899301369</v>
      </c>
      <c r="FR101">
        <f>IF(AX101&lt;&gt;-999,AX101*$FP101, -999)</f>
        <v>-999</v>
      </c>
      <c r="FS101" s="29">
        <f>IF(AY101&lt;&gt;-999,AY101*$FP101, -999)</f>
        <v>165917.36899301369</v>
      </c>
      <c r="FT101">
        <f t="shared" si="68"/>
        <v>1.3112800000000142</v>
      </c>
      <c r="FU101">
        <f>IF(AZ101&lt;&gt;-999,AZ101*$FT101, -999)</f>
        <v>38360.402993060365</v>
      </c>
      <c r="FV101">
        <f>IF(BA101&lt;&gt;-999,BA101*$FT101, -999)</f>
        <v>-999</v>
      </c>
      <c r="FW101" s="29">
        <f>IF(BB101&lt;&gt;-999,BB101*$FT101, -999)</f>
        <v>38360.402993060365</v>
      </c>
      <c r="FX101">
        <f t="shared" si="69"/>
        <v>1.9372800000000119</v>
      </c>
      <c r="FY101">
        <f>IF(BC101&lt;&gt;-999, BC101*$FX101, -999)</f>
        <v>96703.32625669043</v>
      </c>
      <c r="FZ101">
        <f>IF(BD101&lt;&gt;-999, BD101*$FX101, -999)</f>
        <v>-999</v>
      </c>
      <c r="GA101" s="29">
        <f>IF(BE101&lt;&gt;-999, BE101*$FX101, -999)</f>
        <v>96703.32625669043</v>
      </c>
      <c r="GB101">
        <f t="shared" si="70"/>
        <v>-2.1347199999999873</v>
      </c>
      <c r="GC101">
        <f>IF(BF101&lt;&gt;-999,BF101*$GB101, -999)</f>
        <v>-36703.721601871839</v>
      </c>
      <c r="GD101">
        <f>IF(BG101&lt;&gt;-999,BG101*$GB101, -999)</f>
        <v>-999</v>
      </c>
      <c r="GE101" s="29">
        <f>IF(BH101&lt;&gt;-999,BH101*$GB101, -999)</f>
        <v>-36703.721601871839</v>
      </c>
      <c r="GF101">
        <f t="shared" si="71"/>
        <v>-10.847719999999988</v>
      </c>
      <c r="GG101">
        <f>IF(BI101&lt;&gt;-999,BI101*$GF101, -999)</f>
        <v>-238066.2468497259</v>
      </c>
      <c r="GH101">
        <f>IF(BJ101&lt;&gt;-999,BJ101*$GF101, -999)</f>
        <v>-999</v>
      </c>
      <c r="GI101" s="29">
        <f>IF(BK101&lt;&gt;-999,BK101*$GF101, -999)</f>
        <v>-238066.2468497259</v>
      </c>
      <c r="GJ101" s="30">
        <f t="shared" si="64"/>
        <v>692417.59475139459</v>
      </c>
    </row>
    <row r="102" spans="1:192">
      <c r="A102" s="48" t="s">
        <v>194</v>
      </c>
      <c r="B102" s="48" t="s">
        <v>237</v>
      </c>
      <c r="C102" s="49">
        <v>142</v>
      </c>
      <c r="D102" s="50">
        <v>0.72399999999999998</v>
      </c>
      <c r="E102" s="49">
        <v>104.22765574941801</v>
      </c>
      <c r="F102" s="49">
        <v>0.77281528967550595</v>
      </c>
      <c r="G102" s="49">
        <v>243.27068118770001</v>
      </c>
      <c r="H102" s="49">
        <v>0.80625917791591994</v>
      </c>
      <c r="I102" s="42">
        <v>8140.2</v>
      </c>
      <c r="J102" s="43">
        <v>18458</v>
      </c>
      <c r="K102" s="43">
        <f t="shared" si="39"/>
        <v>26598.2</v>
      </c>
      <c r="L102" s="43">
        <v>9073.2000000000007</v>
      </c>
      <c r="M102" s="43">
        <v>20573.8</v>
      </c>
      <c r="N102" s="43">
        <f t="shared" si="40"/>
        <v>29647</v>
      </c>
      <c r="O102" s="43">
        <v>16867.3</v>
      </c>
      <c r="P102" s="43">
        <v>38247.1</v>
      </c>
      <c r="Q102" s="43">
        <f t="shared" si="41"/>
        <v>55114.399999999994</v>
      </c>
      <c r="R102" s="43">
        <v>8787.4</v>
      </c>
      <c r="S102" s="43">
        <v>19925.7</v>
      </c>
      <c r="T102" s="43">
        <f t="shared" si="42"/>
        <v>28713.1</v>
      </c>
      <c r="U102" s="43">
        <v>9794.7000000000007</v>
      </c>
      <c r="V102" s="43">
        <v>22209.599999999999</v>
      </c>
      <c r="W102" s="43">
        <f t="shared" si="43"/>
        <v>32004.3</v>
      </c>
      <c r="X102" s="43">
        <v>18208.5</v>
      </c>
      <c r="Y102" s="43">
        <v>41288.199999999997</v>
      </c>
      <c r="Z102" s="43">
        <f t="shared" si="44"/>
        <v>59496.7</v>
      </c>
      <c r="AA102" s="22">
        <v>82304.899999999994</v>
      </c>
      <c r="AB102">
        <v>111274.2</v>
      </c>
      <c r="AC102">
        <v>193579.1</v>
      </c>
      <c r="AD102">
        <v>91739.1</v>
      </c>
      <c r="AE102">
        <v>124028.9</v>
      </c>
      <c r="AF102">
        <v>215768</v>
      </c>
      <c r="AG102">
        <v>170544.7</v>
      </c>
      <c r="AH102">
        <v>230572.2</v>
      </c>
      <c r="AI102">
        <v>401117</v>
      </c>
      <c r="AJ102">
        <v>88849.1</v>
      </c>
      <c r="AK102">
        <v>120121.7</v>
      </c>
      <c r="AL102">
        <v>208970.8</v>
      </c>
      <c r="AM102">
        <v>99033.3</v>
      </c>
      <c r="AN102">
        <v>133890.6</v>
      </c>
      <c r="AO102">
        <v>232923.9</v>
      </c>
      <c r="AP102">
        <v>184105</v>
      </c>
      <c r="AQ102">
        <v>248905.3</v>
      </c>
      <c r="AR102">
        <v>433010.3</v>
      </c>
      <c r="AS102">
        <v>1685368.97</v>
      </c>
      <c r="AT102" s="22">
        <f t="shared" si="74"/>
        <v>137011.68924642747</v>
      </c>
      <c r="AU102">
        <f t="shared" si="74"/>
        <v>185236.433208045</v>
      </c>
      <c r="AV102">
        <f t="shared" si="74"/>
        <v>322248.12245447253</v>
      </c>
      <c r="AW102">
        <f t="shared" si="74"/>
        <v>152716.65552047253</v>
      </c>
      <c r="AX102">
        <f t="shared" si="74"/>
        <v>206468.98428132749</v>
      </c>
      <c r="AY102">
        <f t="shared" si="74"/>
        <v>359185.63980179996</v>
      </c>
      <c r="AZ102">
        <f t="shared" si="74"/>
        <v>283903.11438353249</v>
      </c>
      <c r="BA102">
        <f t="shared" si="74"/>
        <v>383829.96170659503</v>
      </c>
      <c r="BB102">
        <f t="shared" si="73"/>
        <v>667733.242558575</v>
      </c>
      <c r="BC102">
        <f t="shared" si="73"/>
        <v>147905.71738772251</v>
      </c>
      <c r="BD102">
        <f t="shared" si="73"/>
        <v>199964.72910060748</v>
      </c>
      <c r="BE102">
        <f t="shared" si="73"/>
        <v>347870.44648832997</v>
      </c>
      <c r="BF102">
        <f t="shared" si="73"/>
        <v>164859.1970180175</v>
      </c>
      <c r="BG102">
        <f t="shared" si="73"/>
        <v>222885.60316843502</v>
      </c>
      <c r="BH102">
        <f t="shared" si="73"/>
        <v>387744.80018645251</v>
      </c>
      <c r="BI102">
        <f t="shared" si="73"/>
        <v>306476.73526987497</v>
      </c>
      <c r="BJ102">
        <f t="shared" si="73"/>
        <v>414348.78865521745</v>
      </c>
      <c r="BK102">
        <f t="shared" si="73"/>
        <v>720825.52392509254</v>
      </c>
      <c r="BL102">
        <f t="shared" si="73"/>
        <v>2805607.5590057406</v>
      </c>
      <c r="BM102" s="22">
        <f>-17.17-(0.1023*E102)+F102*(100-8.576-13.681)</f>
        <v>32.248489882077401</v>
      </c>
      <c r="BN102">
        <f>IF(AT102&lt;&gt;-999,AT102*$BM102, -999)</f>
        <v>4418420.0743897492</v>
      </c>
      <c r="BO102">
        <f>IF(AU102&lt;&gt;-999,AU102*$BM102, -999)</f>
        <v>5973595.2421017457</v>
      </c>
      <c r="BP102" s="25">
        <f>IF(AV102&lt;&gt;-999,AV102*$BM102, -999)</f>
        <v>10392015.316491496</v>
      </c>
      <c r="BQ102">
        <f>-19.943-(0.1023*E102)+F102*(100-8.576-13.681)</f>
        <v>29.475489882077401</v>
      </c>
      <c r="BR102">
        <f>IF(AW102&lt;&gt;-999,AW102*$BQ102, -999)</f>
        <v>4501398.2346183881</v>
      </c>
      <c r="BS102">
        <f>IF(AX102&lt;&gt;-999,AX102*$BQ102, -999)</f>
        <v>6085774.4571470665</v>
      </c>
      <c r="BT102" s="25">
        <f>IF(AY102&lt;&gt;-999,AY102*$BQ102, -999)</f>
        <v>10587172.691765452</v>
      </c>
      <c r="BU102">
        <f>-25.871-(0.1023*E102)+F102*(100-8.576-13.681)</f>
        <v>23.547489882077407</v>
      </c>
      <c r="BV102">
        <f>IF(AZ102&lt;&gt;-999,AZ102*$BU102, -999)</f>
        <v>6685205.7134364964</v>
      </c>
      <c r="BW102">
        <f>IF(BA102&lt;&gt;-999,BA102*$BU102, -999)</f>
        <v>9038232.1397242043</v>
      </c>
      <c r="BX102" s="25">
        <f>IF(BB102&lt;&gt;-999,BB102*$BU102, -999)</f>
        <v>15723441.773074783</v>
      </c>
      <c r="BY102">
        <f>-25.245-(0.1023*E102)+F102*(100-8.576-13.681)</f>
        <v>24.173489882077398</v>
      </c>
      <c r="BZ102">
        <f>IF(BC102&lt;&gt;-999,BC102*$BY102, -999)</f>
        <v>3575397.3627735092</v>
      </c>
      <c r="CA102">
        <f>IF(BD102&lt;&gt;-999,BD102*$BY102, -999)</f>
        <v>4833845.3556858823</v>
      </c>
      <c r="CB102" s="25">
        <f>IF(BE102&lt;&gt;-999,BE102*$BY102, -999)</f>
        <v>8409242.718459392</v>
      </c>
      <c r="CC102">
        <f>-29.317-(0.1023*E102)+F102*(100-8.576-13.681)</f>
        <v>20.101489882077402</v>
      </c>
      <c r="CD102">
        <f>IF(BF102&lt;&gt;-999,BF102*$CC102, -999)</f>
        <v>3313915.4808250838</v>
      </c>
      <c r="CE102">
        <f>IF(BG102&lt;&gt;-999,BG102*$CC102, -999)</f>
        <v>4480332.6969510159</v>
      </c>
      <c r="CF102" s="25">
        <f>IF(BH102&lt;&gt;-999,BH102*$CC102, -999)</f>
        <v>7794248.1777760992</v>
      </c>
      <c r="CG102">
        <f>-38.03-(0.1023*E102)+F102*(100-8.576-13.681)</f>
        <v>11.388489882077401</v>
      </c>
      <c r="CH102">
        <f>IF(BI102&lt;&gt;-999,BI102*$CG102, -999)</f>
        <v>3490307.1987130851</v>
      </c>
      <c r="CI102">
        <f>IF(BJ102&lt;&gt;-999,BJ102*$CG102, -999)</f>
        <v>4718806.9872509716</v>
      </c>
      <c r="CJ102" s="25">
        <f>IF(BK102&lt;&gt;-999,BK102*$CG102, -999)</f>
        <v>8209114.1859640582</v>
      </c>
      <c r="CK102" s="26">
        <f t="shared" si="45"/>
        <v>61115234.863531277</v>
      </c>
      <c r="CL102">
        <f t="shared" si="46"/>
        <v>-36.181945787159094</v>
      </c>
      <c r="CM102">
        <f t="shared" si="47"/>
        <v>22.622532601307711</v>
      </c>
      <c r="CN102">
        <f t="shared" si="48"/>
        <v>-93.97065752285998</v>
      </c>
      <c r="CO102" s="22">
        <f t="shared" si="49"/>
        <v>-40.08</v>
      </c>
      <c r="CP102">
        <f>IF(AT102&lt;&gt;-999,AT102*$CO102, -999)</f>
        <v>-5491428.5049968129</v>
      </c>
      <c r="CQ102">
        <f>IF(AU102&lt;&gt;-999,AU102*$CO102, -999)</f>
        <v>-7424276.2429784434</v>
      </c>
      <c r="CR102" s="27">
        <f>IF(AV102&lt;&gt;-999,AV102*$CO102, -999)</f>
        <v>-12915704.747975258</v>
      </c>
      <c r="CS102">
        <f t="shared" si="50"/>
        <v>-42.853000000000002</v>
      </c>
      <c r="CT102">
        <f>IF(AW102&lt;&gt;-999,AW102*$CS102, -999)</f>
        <v>-6544366.8390188096</v>
      </c>
      <c r="CU102">
        <f>IF(AX102&lt;&gt;-999,AX102*$CS102, -999)</f>
        <v>-8847815.3834077269</v>
      </c>
      <c r="CV102" s="27">
        <f>IF(AY102&lt;&gt;-999,AY102*$CS102, -999)</f>
        <v>-15392182.222426534</v>
      </c>
      <c r="CW102">
        <f t="shared" si="51"/>
        <v>-48.780999999999999</v>
      </c>
      <c r="CX102">
        <f>IF(AZ102&lt;&gt;-999,AZ102*$CO102, -999)</f>
        <v>-11378836.824491981</v>
      </c>
      <c r="CY102">
        <f>IF(BA102&lt;&gt;-999,BA102*$CO102, -999)</f>
        <v>-15383904.865200328</v>
      </c>
      <c r="CZ102" s="27">
        <f>IF(BB102&lt;&gt;-999,BB102*$CO102, -999)</f>
        <v>-26762748.361747686</v>
      </c>
      <c r="DA102">
        <f t="shared" si="52"/>
        <v>-48.155000000000001</v>
      </c>
      <c r="DB102">
        <f>IF(BC102&lt;&gt;-999,BC102*$DA102, -999)</f>
        <v>-7122399.8208057778</v>
      </c>
      <c r="DC102">
        <f>IF(BD102&lt;&gt;-999,BD102*$DA102, -999)</f>
        <v>-9629301.5298397541</v>
      </c>
      <c r="DD102" s="27">
        <f>IF(BE102&lt;&gt;-999,BE102*$DA102, -999)</f>
        <v>-16751701.350645529</v>
      </c>
      <c r="DE102">
        <f t="shared" si="53"/>
        <v>-52.227000000000004</v>
      </c>
      <c r="DF102">
        <f>IF(BF102&lt;&gt;-999,BF102*$DE102, -999)</f>
        <v>-8610101.28266</v>
      </c>
      <c r="DG102">
        <f>IF(BG102&lt;&gt;-999,BG102*$DE102, -999)</f>
        <v>-11640646.396677857</v>
      </c>
      <c r="DH102" s="27">
        <f>IF(BH102&lt;&gt;-999,BH102*$DE102, -999)</f>
        <v>-20250747.679337855</v>
      </c>
      <c r="DI102">
        <f t="shared" si="54"/>
        <v>-60.94</v>
      </c>
      <c r="DJ102">
        <f>IF(BI102&lt;&gt;-999,BI102*$DI102, -999)</f>
        <v>-18676692.247346181</v>
      </c>
      <c r="DK102">
        <f>IF(BJ102&lt;&gt;-999,BJ102*$DI102, -999)</f>
        <v>-25250415.180648949</v>
      </c>
      <c r="DL102" s="27">
        <f>IF(BK102&lt;&gt;-999,BK102*$DI102, -999)</f>
        <v>-43927107.427995138</v>
      </c>
      <c r="DM102" s="28">
        <f t="shared" si="55"/>
        <v>-136000191.79012799</v>
      </c>
      <c r="DN102" s="22">
        <f t="shared" si="56"/>
        <v>-17.170000000000002</v>
      </c>
      <c r="DO102">
        <f>IF(AT102&lt;&gt;-999,AT102*$DN102, -999)</f>
        <v>-2352490.7043611598</v>
      </c>
      <c r="DP102">
        <f>IF(AU102&lt;&gt;-999,AU102*$DN102, -999)</f>
        <v>-3180509.5581821329</v>
      </c>
      <c r="DQ102" s="24">
        <f>IF(AV102&lt;&gt;-999,AV102*$DN102, -999)</f>
        <v>-5533000.2625432936</v>
      </c>
      <c r="DR102">
        <f t="shared" si="57"/>
        <v>-19.943000000000001</v>
      </c>
      <c r="DS102">
        <f>IF(AW102&lt;&gt;-999,AW102*$DR102, -999)</f>
        <v>-3045628.261044784</v>
      </c>
      <c r="DT102">
        <f>IF(AX102&lt;&gt;-999,AX102*$DR102, -999)</f>
        <v>-4117610.9535225146</v>
      </c>
      <c r="DU102" s="24">
        <f>IF(AY102&lt;&gt;-999,AY102*$DR102, -999)</f>
        <v>-7163239.2145672971</v>
      </c>
      <c r="DV102">
        <f t="shared" si="58"/>
        <v>-25.870999999999999</v>
      </c>
      <c r="DW102">
        <f>IF(AZ102&lt;&gt;-999,AZ102*$DV102, -999)</f>
        <v>-7344857.4722163687</v>
      </c>
      <c r="DX102">
        <f>IF(BA102&lt;&gt;-999,BA102*$DV102, -999)</f>
        <v>-9930064.93931132</v>
      </c>
      <c r="DY102" s="24">
        <f>IF(BB102&lt;&gt;-999,BB102*$DV102, -999)</f>
        <v>-17274926.718232892</v>
      </c>
      <c r="DZ102">
        <f t="shared" si="59"/>
        <v>-25.245000000000001</v>
      </c>
      <c r="EA102">
        <f>IF(BC102&lt;&gt;-999, BC102*$DZ102, -999)</f>
        <v>-3733879.8354530549</v>
      </c>
      <c r="EB102">
        <f>IF(BD102&lt;&gt;-999, BD102*$DZ102, -999)</f>
        <v>-5048109.5861448357</v>
      </c>
      <c r="EC102" s="24">
        <f>IF(BE102&lt;&gt;-999, BE102*$DZ102, -999)</f>
        <v>-8781989.4215978906</v>
      </c>
      <c r="ED102">
        <f t="shared" si="60"/>
        <v>-29.317</v>
      </c>
      <c r="EE102">
        <f>IF(BF102&lt;&gt;-999,BF102*$ED102, -999)</f>
        <v>-4833177.0789772188</v>
      </c>
      <c r="EF102">
        <f>IF(BG102&lt;&gt;-999,BG102*$ED102, -999)</f>
        <v>-6534337.2280890094</v>
      </c>
      <c r="EG102" s="24">
        <f>IF(BH102&lt;&gt;-999,BH102*$ED102, -999)</f>
        <v>-11367514.307066228</v>
      </c>
      <c r="EH102">
        <f t="shared" si="61"/>
        <v>-38.03</v>
      </c>
      <c r="EI102">
        <f>IF(BI102&lt;&gt;-999,BI102*$EH102, -999)</f>
        <v>-11655310.242313346</v>
      </c>
      <c r="EJ102">
        <f>IF(BJ102&lt;&gt;-999,BJ102*$EH102, -999)</f>
        <v>-15757684.43255792</v>
      </c>
      <c r="EK102" s="24">
        <f>IF(BK102&lt;&gt;-999,BK102*$EH102, -999)</f>
        <v>-27412994.67487127</v>
      </c>
      <c r="EL102" s="28">
        <f t="shared" si="62"/>
        <v>-77533664.598878875</v>
      </c>
      <c r="EM102" s="22">
        <f>-17.17-(0.1023*G102)+H102*(100+102.093-66.644-64.243)</f>
        <v>15.35390033717929</v>
      </c>
      <c r="EN102">
        <f>IF(AT102&lt;&gt;-999,AT102*$EM102, -999)</f>
        <v>2103663.8217182267</v>
      </c>
      <c r="EO102">
        <f>IF(AU102&lt;&gt;-999,AU102*$EM102, -999)</f>
        <v>2844101.7342908913</v>
      </c>
      <c r="EP102" s="23">
        <f>IF(AV102&lt;&gt;-999,AV102*$EM102, -999)</f>
        <v>4947765.5560091184</v>
      </c>
      <c r="EQ102">
        <f>-19.943-(0.1023*G102)+H102*(100+102.093-66.644-64.243)</f>
        <v>12.580900337179294</v>
      </c>
      <c r="ER102">
        <f>IF(AW102&lt;&gt;-999,AW102*$EQ102, -999)</f>
        <v>1921313.022930407</v>
      </c>
      <c r="ES102">
        <f>IF(AX102&lt;&gt;-999,AX102*$EQ102, -999)</f>
        <v>2597565.7139620194</v>
      </c>
      <c r="ET102" s="23">
        <f>IF(AY102&lt;&gt;-999,AY102*$EQ102, -999)</f>
        <v>4518878.7368924255</v>
      </c>
      <c r="EU102">
        <f>-25.871-(0.1023*G102)+H102*(100+102.093-66.644-64.243)</f>
        <v>6.6529003371792967</v>
      </c>
      <c r="EV102">
        <f>IF(AZ102&lt;&gt;-999,AZ102*$EU102, -999)</f>
        <v>1888779.1254084557</v>
      </c>
      <c r="EW102">
        <f>IF(BA102&lt;&gt;-999,BA102*$EU102, -999)</f>
        <v>2553582.4816573225</v>
      </c>
      <c r="EX102" s="23">
        <f>IF(BB102&lt;&gt;-999,BB102*$EU102, -999)</f>
        <v>4442362.7145637684</v>
      </c>
      <c r="EY102">
        <f>-25.245-(0.1023*G102)+H102*(100+102.093-66.644-64.243)</f>
        <v>7.2789003371792944</v>
      </c>
      <c r="EZ102">
        <f>IF(BC102&lt;&gt;-999, BC102*$EY102, -999)</f>
        <v>1076590.9761642388</v>
      </c>
      <c r="FA102">
        <f>IF(BD102&lt;&gt;-999, BD102*$EY102, -999)</f>
        <v>1455523.334074378</v>
      </c>
      <c r="FB102" s="23">
        <f>IF(BE102&lt;&gt;-999, BE102*$EY102, -999)</f>
        <v>2532114.3102386165</v>
      </c>
      <c r="FC102">
        <f>-29.317-(0.1023*G102)+H102*(100+102.093-66.644-64.243)</f>
        <v>3.2069003371792988</v>
      </c>
      <c r="FD102">
        <f>IF(BF102&lt;&gt;-999,BF102*$FC102, -999)</f>
        <v>528687.01450418879</v>
      </c>
      <c r="FE102">
        <f>IF(BG102&lt;&gt;-999,BG102*$FC102, -999)</f>
        <v>714771.91595326562</v>
      </c>
      <c r="FF102" s="23">
        <f>IF(BH102&lt;&gt;-999,BH102*$FC102, -999)</f>
        <v>1243458.9304574544</v>
      </c>
      <c r="FG102">
        <f>-38.03-(0.1023*G102)+H102*(100+102.093-66.644-64.243)</f>
        <v>-5.5060996628207093</v>
      </c>
      <c r="FH102">
        <f>IF(BI102&lt;&gt;-999,BI102*$FG102, -999)</f>
        <v>-1687491.4487318504</v>
      </c>
      <c r="FI102">
        <f>IF(BJ102&lt;&gt;-999,BJ102*$FG102, -999)</f>
        <v>-2281445.7255046619</v>
      </c>
      <c r="FJ102" s="23">
        <f>IF(BK102&lt;&gt;-999,BK102*$FG102, -999)</f>
        <v>-3968937.1742365132</v>
      </c>
      <c r="FK102" s="28">
        <f t="shared" si="63"/>
        <v>13715643.073924869</v>
      </c>
      <c r="FL102" s="22">
        <f t="shared" si="66"/>
        <v>10.012280000000011</v>
      </c>
      <c r="FM102">
        <f>IF(AT102&lt;&gt;-999,AT102*$FL102, -999)</f>
        <v>1371799.3960082224</v>
      </c>
      <c r="FN102">
        <f>IF(AU102&lt;&gt;-999,AU102*$FL102, -999)</f>
        <v>1854639.0354802469</v>
      </c>
      <c r="FO102" s="29">
        <f>IF(AV102&lt;&gt;-999,AV102*$FL102, -999)</f>
        <v>3226438.4314884697</v>
      </c>
      <c r="FP102">
        <f t="shared" si="67"/>
        <v>7.2392800000000115</v>
      </c>
      <c r="FQ102">
        <f>IF(AW102&lt;&gt;-999,AW102*$FP102, -999)</f>
        <v>1105558.6299762481</v>
      </c>
      <c r="FR102">
        <f>IF(AX102&lt;&gt;-999,AX102*$FP102, -999)</f>
        <v>1494686.7885281309</v>
      </c>
      <c r="FS102" s="29">
        <f>IF(AY102&lt;&gt;-999,AY102*$FP102, -999)</f>
        <v>2600245.4185043788</v>
      </c>
      <c r="FT102">
        <f t="shared" si="68"/>
        <v>1.3112800000000142</v>
      </c>
      <c r="FU102">
        <f>IF(AZ102&lt;&gt;-999,AZ102*$FT102, -999)</f>
        <v>372276.47582884249</v>
      </c>
      <c r="FV102">
        <f>IF(BA102&lt;&gt;-999,BA102*$FT102, -999)</f>
        <v>503308.55218662939</v>
      </c>
      <c r="FW102" s="29">
        <f>IF(BB102&lt;&gt;-999,BB102*$FT102, -999)</f>
        <v>875585.24630221771</v>
      </c>
      <c r="FX102">
        <f t="shared" si="69"/>
        <v>1.9372800000000119</v>
      </c>
      <c r="FY102">
        <f>IF(BC102&lt;&gt;-999, BC102*$FX102, -999)</f>
        <v>286534.78818088881</v>
      </c>
      <c r="FZ102">
        <f>IF(BD102&lt;&gt;-999, BD102*$FX102, -999)</f>
        <v>387387.67039202724</v>
      </c>
      <c r="GA102" s="29">
        <f>IF(BE102&lt;&gt;-999, BE102*$FX102, -999)</f>
        <v>673922.45857291599</v>
      </c>
      <c r="GB102">
        <f t="shared" si="70"/>
        <v>-2.1347199999999873</v>
      </c>
      <c r="GC102">
        <f>IF(BF102&lt;&gt;-999,BF102*$GB102, -999)</f>
        <v>-351928.22505830025</v>
      </c>
      <c r="GD102">
        <f>IF(BG102&lt;&gt;-999,BG102*$GB102, -999)</f>
        <v>-475798.35479571874</v>
      </c>
      <c r="GE102" s="29">
        <f>IF(BH102&lt;&gt;-999,BH102*$GB102, -999)</f>
        <v>-827726.57985401899</v>
      </c>
      <c r="GF102">
        <f t="shared" si="71"/>
        <v>-10.847719999999988</v>
      </c>
      <c r="GG102">
        <f>IF(BI102&lt;&gt;-999,BI102*$GF102, -999)</f>
        <v>-3324573.8107217248</v>
      </c>
      <c r="GH102">
        <f>IF(BJ102&lt;&gt;-999,BJ102*$GF102, -999)</f>
        <v>-4494739.6416709702</v>
      </c>
      <c r="GI102" s="29">
        <f>IF(BK102&lt;&gt;-999,BK102*$GF102, -999)</f>
        <v>-7819313.4523926964</v>
      </c>
      <c r="GJ102" s="30">
        <f t="shared" si="64"/>
        <v>-1270848.4773787335</v>
      </c>
    </row>
    <row r="103" spans="1:192">
      <c r="A103" s="48" t="s">
        <v>178</v>
      </c>
      <c r="B103" s="48" t="s">
        <v>238</v>
      </c>
      <c r="C103" s="49">
        <v>126</v>
      </c>
      <c r="D103" s="50">
        <v>0.71099999999999997</v>
      </c>
      <c r="E103" s="49">
        <v>122.74964469824501</v>
      </c>
      <c r="F103" s="49">
        <v>0.78536592199966404</v>
      </c>
      <c r="G103" s="49">
        <v>201.54484598270801</v>
      </c>
      <c r="H103" s="49">
        <v>0.80917946146849395</v>
      </c>
      <c r="I103" s="42">
        <v>8450.1</v>
      </c>
      <c r="J103" s="43">
        <v>3296.5</v>
      </c>
      <c r="K103" s="43">
        <f t="shared" si="39"/>
        <v>11746.6</v>
      </c>
      <c r="L103" s="43">
        <v>6055.7</v>
      </c>
      <c r="M103" s="43">
        <v>2362.4</v>
      </c>
      <c r="N103" s="43">
        <f t="shared" si="40"/>
        <v>8418.1</v>
      </c>
      <c r="O103" s="43">
        <v>20143.599999999999</v>
      </c>
      <c r="P103" s="43">
        <v>7858.2</v>
      </c>
      <c r="Q103" s="43">
        <f t="shared" si="41"/>
        <v>28001.8</v>
      </c>
      <c r="R103" s="43">
        <v>29280.6</v>
      </c>
      <c r="S103" s="43">
        <v>11422.7</v>
      </c>
      <c r="T103" s="43">
        <f t="shared" si="42"/>
        <v>40703.300000000003</v>
      </c>
      <c r="U103" s="43">
        <v>20983.8</v>
      </c>
      <c r="V103" s="43">
        <v>8186</v>
      </c>
      <c r="W103" s="43">
        <f t="shared" si="43"/>
        <v>29169.8</v>
      </c>
      <c r="X103" s="43">
        <v>69800.2</v>
      </c>
      <c r="Y103" s="43">
        <v>27229.8</v>
      </c>
      <c r="Z103" s="43">
        <f t="shared" si="44"/>
        <v>97030</v>
      </c>
      <c r="AA103" s="22">
        <v>327554.5</v>
      </c>
      <c r="AB103">
        <v>205057.4</v>
      </c>
      <c r="AC103">
        <v>532611.9</v>
      </c>
      <c r="AD103">
        <v>234740.1</v>
      </c>
      <c r="AE103">
        <v>146953.20000000001</v>
      </c>
      <c r="AF103">
        <v>381693.4</v>
      </c>
      <c r="AG103">
        <v>780837.9</v>
      </c>
      <c r="AH103">
        <v>488824.2</v>
      </c>
      <c r="AI103">
        <v>1269662.2</v>
      </c>
      <c r="AJ103">
        <v>1135018.7</v>
      </c>
      <c r="AK103">
        <v>710550.3</v>
      </c>
      <c r="AL103">
        <v>1845569</v>
      </c>
      <c r="AM103">
        <v>813404.8</v>
      </c>
      <c r="AN103">
        <v>509211.9</v>
      </c>
      <c r="AO103">
        <v>1322616.8</v>
      </c>
      <c r="AP103">
        <v>2705704.1</v>
      </c>
      <c r="AQ103">
        <v>1693839</v>
      </c>
      <c r="AR103">
        <v>4399543.0999999996</v>
      </c>
      <c r="AS103">
        <v>9751696.3000000007</v>
      </c>
      <c r="AT103" s="22">
        <f t="shared" si="74"/>
        <v>545274.89086638752</v>
      </c>
      <c r="AU103">
        <f t="shared" si="74"/>
        <v>341355.87026386498</v>
      </c>
      <c r="AV103">
        <f t="shared" si="74"/>
        <v>886630.7611302525</v>
      </c>
      <c r="AW103">
        <f t="shared" si="74"/>
        <v>390768.20012994751</v>
      </c>
      <c r="AX103">
        <f t="shared" si="74"/>
        <v>244630.71059157004</v>
      </c>
      <c r="AY103">
        <f t="shared" si="74"/>
        <v>635399.07718996506</v>
      </c>
      <c r="AZ103">
        <f t="shared" si="74"/>
        <v>1299848.7296216025</v>
      </c>
      <c r="BA103">
        <f t="shared" si="74"/>
        <v>813738.05674429506</v>
      </c>
      <c r="BB103">
        <f t="shared" si="73"/>
        <v>2113586.9528343449</v>
      </c>
      <c r="BC103">
        <f t="shared" si="73"/>
        <v>1889448.0087246825</v>
      </c>
      <c r="BD103">
        <f t="shared" si="73"/>
        <v>1182842.0531165926</v>
      </c>
      <c r="BE103">
        <f t="shared" si="73"/>
        <v>3072290.0618412751</v>
      </c>
      <c r="BF103">
        <f t="shared" si="73"/>
        <v>1354062.34245048</v>
      </c>
      <c r="BG103">
        <f t="shared" si="73"/>
        <v>847677.14441525249</v>
      </c>
      <c r="BH103">
        <f t="shared" si="73"/>
        <v>2201739.6533341804</v>
      </c>
      <c r="BI103">
        <f t="shared" si="73"/>
        <v>4504143.6092138477</v>
      </c>
      <c r="BJ103">
        <f t="shared" si="73"/>
        <v>2819707.4864495252</v>
      </c>
      <c r="BK103">
        <f t="shared" si="73"/>
        <v>7323851.0956633724</v>
      </c>
      <c r="BL103">
        <f t="shared" si="73"/>
        <v>16233497.435524944</v>
      </c>
      <c r="BM103" s="22">
        <f>-17.17-(0.1023*E103)+F103*(100-8.576-13.681)</f>
        <v>31.329414221389424</v>
      </c>
      <c r="BN103">
        <f>IF(AT103&lt;&gt;-999,AT103*$BM103, -999)</f>
        <v>17083142.920475967</v>
      </c>
      <c r="BO103">
        <f>IF(AU103&lt;&gt;-999,AU103*$BM103, -999)</f>
        <v>10694479.456399495</v>
      </c>
      <c r="BP103" s="25">
        <f>IF(AV103&lt;&gt;-999,AV103*$BM103, -999)</f>
        <v>27777622.376875464</v>
      </c>
      <c r="BQ103">
        <f>-19.943-(0.1023*E103)+F103*(100-8.576-13.681)</f>
        <v>28.556414221389424</v>
      </c>
      <c r="BR103">
        <f>IF(AW103&lt;&gt;-999,AW103*$BQ103, -999)</f>
        <v>11158938.587457582</v>
      </c>
      <c r="BS103">
        <f>IF(AX103&lt;&gt;-999,AX103*$BQ103, -999)</f>
        <v>6985775.9029257111</v>
      </c>
      <c r="BT103" s="25">
        <f>IF(AY103&lt;&gt;-999,AY103*$BQ103, -999)</f>
        <v>18144719.244125236</v>
      </c>
      <c r="BU103">
        <f>-25.871-(0.1023*E103)+F103*(100-8.576-13.681)</f>
        <v>22.628414221389427</v>
      </c>
      <c r="BV103">
        <f>IF(AZ103&lt;&gt;-999,AZ103*$BU103, -999)</f>
        <v>29413515.479024448</v>
      </c>
      <c r="BW103">
        <f>IF(BA103&lt;&gt;-999,BA103*$BU103, -999)</f>
        <v>18413601.815718401</v>
      </c>
      <c r="BX103" s="25">
        <f>IF(BB103&lt;&gt;-999,BB103*$BU103, -999)</f>
        <v>47827121.061659835</v>
      </c>
      <c r="BY103">
        <f>-25.245-(0.1023*E103)+F103*(100-8.576-13.681)</f>
        <v>23.254414221389425</v>
      </c>
      <c r="BZ103">
        <f>IF(BC103&lt;&gt;-999,BC103*$BY103, -999)</f>
        <v>43938006.644663185</v>
      </c>
      <c r="CA103">
        <f>IF(BD103&lt;&gt;-999,BD103*$BY103, -999)</f>
        <v>27506299.061651956</v>
      </c>
      <c r="CB103" s="25">
        <f>IF(BE103&lt;&gt;-999,BE103*$BY103, -999)</f>
        <v>71444305.706315145</v>
      </c>
      <c r="CC103">
        <f>-29.317-(0.1023*E103)+F103*(100-8.576-13.681)</f>
        <v>19.182414221389422</v>
      </c>
      <c r="CD103">
        <f>IF(BF103&lt;&gt;-999,BF103*$CC103, -999)</f>
        <v>25974184.734469961</v>
      </c>
      <c r="CE103">
        <f>IF(BG103&lt;&gt;-999,BG103*$CC103, -999)</f>
        <v>16260494.110177914</v>
      </c>
      <c r="CF103" s="25">
        <f>IF(BH103&lt;&gt;-999,BH103*$CC103, -999)</f>
        <v>42234682.037914596</v>
      </c>
      <c r="CG103">
        <f>-38.03-(0.1023*E103)+F103*(100-8.576-13.681)</f>
        <v>10.469414221389428</v>
      </c>
      <c r="CH103">
        <f>IF(BI103&lt;&gt;-999,BI103*$CG103, -999)</f>
        <v>47155745.157483764</v>
      </c>
      <c r="CI103">
        <f>IF(BJ103&lt;&gt;-999,BJ103*$CG103, -999)</f>
        <v>29520685.658792898</v>
      </c>
      <c r="CJ103" s="25">
        <f>IF(BK103&lt;&gt;-999,BK103*$CG103, -999)</f>
        <v>76676430.816276655</v>
      </c>
      <c r="CK103" s="26">
        <f t="shared" si="45"/>
        <v>284104881.24316692</v>
      </c>
      <c r="CL103">
        <f t="shared" si="46"/>
        <v>-32.835422697948502</v>
      </c>
      <c r="CM103">
        <f t="shared" si="47"/>
        <v>25.029323819560119</v>
      </c>
      <c r="CN103">
        <f t="shared" si="48"/>
        <v>-89.700635140944101</v>
      </c>
      <c r="CO103" s="22">
        <f t="shared" si="49"/>
        <v>-40.08</v>
      </c>
      <c r="CP103">
        <f>IF(AT103&lt;&gt;-999,AT103*$CO103, -999)</f>
        <v>-21854617.625924811</v>
      </c>
      <c r="CQ103">
        <f>IF(AU103&lt;&gt;-999,AU103*$CO103, -999)</f>
        <v>-13681543.280175708</v>
      </c>
      <c r="CR103" s="27">
        <f>IF(AV103&lt;&gt;-999,AV103*$CO103, -999)</f>
        <v>-35536160.906100519</v>
      </c>
      <c r="CS103">
        <f t="shared" si="50"/>
        <v>-42.853000000000002</v>
      </c>
      <c r="CT103">
        <f>IF(AW103&lt;&gt;-999,AW103*$CS103, -999)</f>
        <v>-16745589.680168642</v>
      </c>
      <c r="CU103">
        <f>IF(AX103&lt;&gt;-999,AX103*$CS103, -999)</f>
        <v>-10483159.84098055</v>
      </c>
      <c r="CV103" s="27">
        <f>IF(AY103&lt;&gt;-999,AY103*$CS103, -999)</f>
        <v>-27228756.654821575</v>
      </c>
      <c r="CW103">
        <f t="shared" si="51"/>
        <v>-48.780999999999999</v>
      </c>
      <c r="CX103">
        <f>IF(AZ103&lt;&gt;-999,AZ103*$CO103, -999)</f>
        <v>-52097937.083233826</v>
      </c>
      <c r="CY103">
        <f>IF(BA103&lt;&gt;-999,BA103*$CO103, -999)</f>
        <v>-32614621.314311344</v>
      </c>
      <c r="CZ103" s="27">
        <f>IF(BB103&lt;&gt;-999,BB103*$CO103, -999)</f>
        <v>-84712565.069600537</v>
      </c>
      <c r="DA103">
        <f t="shared" si="52"/>
        <v>-48.155000000000001</v>
      </c>
      <c r="DB103">
        <f>IF(BC103&lt;&gt;-999,BC103*$DA103, -999)</f>
        <v>-90986368.86013709</v>
      </c>
      <c r="DC103">
        <f>IF(BD103&lt;&gt;-999,BD103*$DA103, -999)</f>
        <v>-56959759.06782952</v>
      </c>
      <c r="DD103" s="27">
        <f>IF(BE103&lt;&gt;-999,BE103*$DA103, -999)</f>
        <v>-147946127.92796659</v>
      </c>
      <c r="DE103">
        <f t="shared" si="53"/>
        <v>-52.227000000000004</v>
      </c>
      <c r="DF103">
        <f>IF(BF103&lt;&gt;-999,BF103*$DE103, -999)</f>
        <v>-70718613.959161222</v>
      </c>
      <c r="DG103">
        <f>IF(BG103&lt;&gt;-999,BG103*$DE103, -999)</f>
        <v>-44271634.221375398</v>
      </c>
      <c r="DH103" s="27">
        <f>IF(BH103&lt;&gt;-999,BH103*$DE103, -999)</f>
        <v>-114990256.87468424</v>
      </c>
      <c r="DI103">
        <f t="shared" si="54"/>
        <v>-60.94</v>
      </c>
      <c r="DJ103">
        <f>IF(BI103&lt;&gt;-999,BI103*$DI103, -999)</f>
        <v>-274482511.54549187</v>
      </c>
      <c r="DK103">
        <f>IF(BJ103&lt;&gt;-999,BJ103*$DI103, -999)</f>
        <v>-171832974.22423407</v>
      </c>
      <c r="DL103" s="27">
        <f>IF(BK103&lt;&gt;-999,BK103*$DI103, -999)</f>
        <v>-446315485.76972592</v>
      </c>
      <c r="DM103" s="28">
        <f t="shared" si="55"/>
        <v>-856729353.20289934</v>
      </c>
      <c r="DN103" s="22">
        <f t="shared" si="56"/>
        <v>-17.170000000000002</v>
      </c>
      <c r="DO103">
        <f>IF(AT103&lt;&gt;-999,AT103*$DN103, -999)</f>
        <v>-9362369.8761758748</v>
      </c>
      <c r="DP103">
        <f>IF(AU103&lt;&gt;-999,AU103*$DN103, -999)</f>
        <v>-5861080.292430562</v>
      </c>
      <c r="DQ103" s="24">
        <f>IF(AV103&lt;&gt;-999,AV103*$DN103, -999)</f>
        <v>-15223450.168606438</v>
      </c>
      <c r="DR103">
        <f t="shared" si="57"/>
        <v>-19.943000000000001</v>
      </c>
      <c r="DS103">
        <f>IF(AW103&lt;&gt;-999,AW103*$DR103, -999)</f>
        <v>-7793090.215191544</v>
      </c>
      <c r="DT103">
        <f>IF(AX103&lt;&gt;-999,AX103*$DR103, -999)</f>
        <v>-4878670.2613276821</v>
      </c>
      <c r="DU103" s="24">
        <f>IF(AY103&lt;&gt;-999,AY103*$DR103, -999)</f>
        <v>-12671763.796399474</v>
      </c>
      <c r="DV103">
        <f t="shared" si="58"/>
        <v>-25.870999999999999</v>
      </c>
      <c r="DW103">
        <f>IF(AZ103&lt;&gt;-999,AZ103*$DV103, -999)</f>
        <v>-33628386.484040476</v>
      </c>
      <c r="DX103">
        <f>IF(BA103&lt;&gt;-999,BA103*$DV103, -999)</f>
        <v>-21052217.266031656</v>
      </c>
      <c r="DY103" s="24">
        <f>IF(BB103&lt;&gt;-999,BB103*$DV103, -999)</f>
        <v>-54680608.056777336</v>
      </c>
      <c r="DZ103">
        <f t="shared" si="59"/>
        <v>-25.245000000000001</v>
      </c>
      <c r="EA103">
        <f>IF(BC103&lt;&gt;-999, BC103*$DZ103, -999)</f>
        <v>-47699114.980254613</v>
      </c>
      <c r="EB103">
        <f>IF(BD103&lt;&gt;-999, BD103*$DZ103, -999)</f>
        <v>-29860847.630928382</v>
      </c>
      <c r="EC103" s="24">
        <f>IF(BE103&lt;&gt;-999, BE103*$DZ103, -999)</f>
        <v>-77559962.611182988</v>
      </c>
      <c r="ED103">
        <f t="shared" si="60"/>
        <v>-29.317</v>
      </c>
      <c r="EE103">
        <f>IF(BF103&lt;&gt;-999,BF103*$ED103, -999)</f>
        <v>-39697045.693620719</v>
      </c>
      <c r="EF103">
        <f>IF(BG103&lt;&gt;-999,BG103*$ED103, -999)</f>
        <v>-24851350.842821956</v>
      </c>
      <c r="EG103" s="24">
        <f>IF(BH103&lt;&gt;-999,BH103*$ED103, -999)</f>
        <v>-64548401.416798167</v>
      </c>
      <c r="EH103">
        <f t="shared" si="61"/>
        <v>-38.03</v>
      </c>
      <c r="EI103">
        <f>IF(BI103&lt;&gt;-999,BI103*$EH103, -999)</f>
        <v>-171292581.45840263</v>
      </c>
      <c r="EJ103">
        <f>IF(BJ103&lt;&gt;-999,BJ103*$EH103, -999)</f>
        <v>-107233475.70967545</v>
      </c>
      <c r="EK103" s="24">
        <f>IF(BK103&lt;&gt;-999,BK103*$EH103, -999)</f>
        <v>-278526057.16807806</v>
      </c>
      <c r="EL103" s="28">
        <f t="shared" si="62"/>
        <v>-503210243.21784246</v>
      </c>
      <c r="EM103" s="22">
        <f>-17.17-(0.1023*G103)+H103*(100+102.093-66.644-64.243)</f>
        <v>19.830394989294568</v>
      </c>
      <c r="EN103">
        <f>IF(AT103&lt;&gt;-999,AT103*$EM103, -999)</f>
        <v>10813016.463624954</v>
      </c>
      <c r="EO103">
        <f>IF(AU103&lt;&gt;-999,AU103*$EM103, -999)</f>
        <v>6769221.739246835</v>
      </c>
      <c r="EP103" s="23">
        <f>IF(AV103&lt;&gt;-999,AV103*$EM103, -999)</f>
        <v>17582238.202871788</v>
      </c>
      <c r="EQ103">
        <f>-19.943-(0.1023*G103)+H103*(100+102.093-66.644-64.243)</f>
        <v>17.057394989294565</v>
      </c>
      <c r="ER103">
        <f>IF(AW103&lt;&gt;-999,AW103*$EQ103, -999)</f>
        <v>6665487.5388722224</v>
      </c>
      <c r="ES103">
        <f>IF(AX103&lt;&gt;-999,AX103*$EQ103, -999)</f>
        <v>4172762.6570722158</v>
      </c>
      <c r="ET103" s="23">
        <f>IF(AY103&lt;&gt;-999,AY103*$EQ103, -999)</f>
        <v>10838253.035462501</v>
      </c>
      <c r="EU103">
        <f>-25.871-(0.1023*G103)+H103*(100+102.093-66.644-64.243)</f>
        <v>11.129394989294568</v>
      </c>
      <c r="EV103">
        <f>IF(AZ103&lt;&gt;-999,AZ103*$EU103, -999)</f>
        <v>14466529.938291572</v>
      </c>
      <c r="EW103">
        <f>IF(BA103&lt;&gt;-999,BA103*$EU103, -999)</f>
        <v>9056412.251328256</v>
      </c>
      <c r="EX103" s="23">
        <f>IF(BB103&lt;&gt;-999,BB103*$EU103, -999)</f>
        <v>23522944.042312931</v>
      </c>
      <c r="EY103">
        <f>-25.245-(0.1023*G103)+H103*(100+102.093-66.644-64.243)</f>
        <v>11.755394989294565</v>
      </c>
      <c r="EZ103">
        <f>IF(BC103&lt;&gt;-999, BC103*$EY103, -999)</f>
        <v>22211207.654294726</v>
      </c>
      <c r="FA103">
        <f>IF(BD103&lt;&gt;-999, BD103*$EY103, -999)</f>
        <v>13904775.544333689</v>
      </c>
      <c r="FB103" s="23">
        <f>IF(BE103&lt;&gt;-999, BE103*$EY103, -999)</f>
        <v>36115983.198628418</v>
      </c>
      <c r="FC103">
        <f>-29.317-(0.1023*G103)+H103*(100+102.093-66.644-64.243)</f>
        <v>7.6833949892945625</v>
      </c>
      <c r="FD103">
        <f>IF(BF103&lt;&gt;-999,BF103*$FC103, -999)</f>
        <v>10403795.817176476</v>
      </c>
      <c r="FE103">
        <f>IF(BG103&lt;&gt;-999,BG103*$FC103, -999)</f>
        <v>6513038.3239396745</v>
      </c>
      <c r="FF103" s="23">
        <f>IF(BH103&lt;&gt;-999,BH103*$FC103, -999)</f>
        <v>16916835.42015899</v>
      </c>
      <c r="FG103">
        <f>-38.03-(0.1023*G103)+H103*(100+102.093-66.644-64.243)</f>
        <v>-1.0296050107054313</v>
      </c>
      <c r="FH103">
        <f>IF(BI103&lt;&gt;-999,BI103*$FG103, -999)</f>
        <v>-4637488.8289834233</v>
      </c>
      <c r="FI103">
        <f>IF(BJ103&lt;&gt;-999,BJ103*$FG103, -999)</f>
        <v>-2903184.956772048</v>
      </c>
      <c r="FJ103" s="23">
        <f>IF(BK103&lt;&gt;-999,BK103*$FG103, -999)</f>
        <v>-7540673.7857554713</v>
      </c>
      <c r="FK103" s="28">
        <f t="shared" si="63"/>
        <v>97435580.113679156</v>
      </c>
      <c r="FL103" s="22">
        <f t="shared" si="66"/>
        <v>10.012280000000011</v>
      </c>
      <c r="FM103">
        <f>IF(AT103&lt;&gt;-999,AT103*$FL103, -999)</f>
        <v>5459444.8843237208</v>
      </c>
      <c r="FN103">
        <f>IF(AU103&lt;&gt;-999,AU103*$FL103, -999)</f>
        <v>3417750.5527254939</v>
      </c>
      <c r="FO103" s="29">
        <f>IF(AV103&lt;&gt;-999,AV103*$FL103, -999)</f>
        <v>8877195.4370492138</v>
      </c>
      <c r="FP103">
        <f t="shared" si="67"/>
        <v>7.2392800000000115</v>
      </c>
      <c r="FQ103">
        <f>IF(AW103&lt;&gt;-999,AW103*$FP103, -999)</f>
        <v>2828880.415836731</v>
      </c>
      <c r="FR103">
        <f>IF(AX103&lt;&gt;-999,AX103*$FP103, -999)</f>
        <v>1770950.210571344</v>
      </c>
      <c r="FS103" s="29">
        <f>IF(AY103&lt;&gt;-999,AY103*$FP103, -999)</f>
        <v>4599831.8315197779</v>
      </c>
      <c r="FT103">
        <f t="shared" si="68"/>
        <v>1.3112800000000142</v>
      </c>
      <c r="FU103">
        <f>IF(AZ103&lt;&gt;-999,AZ103*$FT103, -999)</f>
        <v>1704465.6421782332</v>
      </c>
      <c r="FV103">
        <f>IF(BA103&lt;&gt;-999,BA103*$FT103, -999)</f>
        <v>1067038.4390476707</v>
      </c>
      <c r="FW103" s="29">
        <f>IF(BB103&lt;&gt;-999,BB103*$FT103, -999)</f>
        <v>2771504.2995126499</v>
      </c>
      <c r="FX103">
        <f t="shared" si="69"/>
        <v>1.9372800000000119</v>
      </c>
      <c r="FY103">
        <f>IF(BC103&lt;&gt;-999, BC103*$FX103, -999)</f>
        <v>3660389.8383421754</v>
      </c>
      <c r="FZ103">
        <f>IF(BD103&lt;&gt;-999, BD103*$FX103, -999)</f>
        <v>2291496.2526617264</v>
      </c>
      <c r="GA103" s="29">
        <f>IF(BE103&lt;&gt;-999, BE103*$FX103, -999)</f>
        <v>5951886.0910039023</v>
      </c>
      <c r="GB103">
        <f t="shared" si="70"/>
        <v>-2.1347199999999873</v>
      </c>
      <c r="GC103">
        <f>IF(BF103&lt;&gt;-999,BF103*$GB103, -999)</f>
        <v>-2890543.9636758715</v>
      </c>
      <c r="GD103">
        <f>IF(BG103&lt;&gt;-999,BG103*$GB103, -999)</f>
        <v>-1809553.3537261169</v>
      </c>
      <c r="GE103" s="29">
        <f>IF(BH103&lt;&gt;-999,BH103*$GB103, -999)</f>
        <v>-4700097.6727655139</v>
      </c>
      <c r="GF103">
        <f t="shared" si="71"/>
        <v>-10.847719999999988</v>
      </c>
      <c r="GG103">
        <f>IF(BI103&lt;&gt;-999,BI103*$GF103, -999)</f>
        <v>-48859688.712541185</v>
      </c>
      <c r="GH103">
        <f>IF(BJ103&lt;&gt;-999,BJ103*$GF103, -999)</f>
        <v>-30587397.294908211</v>
      </c>
      <c r="GI103" s="29">
        <f>IF(BK103&lt;&gt;-999,BK103*$GF103, -999)</f>
        <v>-79447086.007449389</v>
      </c>
      <c r="GJ103" s="30">
        <f t="shared" si="64"/>
        <v>-61946766.021129355</v>
      </c>
    </row>
    <row r="104" spans="1:192">
      <c r="A104" s="48" t="s">
        <v>161</v>
      </c>
      <c r="B104" s="48" t="s">
        <v>239</v>
      </c>
      <c r="C104" s="49">
        <v>66</v>
      </c>
      <c r="D104" s="50">
        <v>0.7</v>
      </c>
      <c r="E104" s="49">
        <v>61.393560565650098</v>
      </c>
      <c r="F104" s="49">
        <v>0.79363821719599903</v>
      </c>
      <c r="G104" s="49">
        <v>240.805196760819</v>
      </c>
      <c r="H104" s="49">
        <v>0.80640965341794102</v>
      </c>
      <c r="I104" s="42">
        <v>60575.3</v>
      </c>
      <c r="J104" s="43">
        <v>-999</v>
      </c>
      <c r="K104" s="43">
        <f t="shared" si="39"/>
        <v>60575.3</v>
      </c>
      <c r="L104" s="43">
        <v>31002.400000000001</v>
      </c>
      <c r="M104" s="43">
        <v>-999</v>
      </c>
      <c r="N104" s="43">
        <f t="shared" si="40"/>
        <v>31002.400000000001</v>
      </c>
      <c r="O104" s="43">
        <v>62786.2</v>
      </c>
      <c r="P104" s="43">
        <v>-999</v>
      </c>
      <c r="Q104" s="43">
        <f t="shared" si="41"/>
        <v>62786.2</v>
      </c>
      <c r="R104" s="43">
        <v>22297</v>
      </c>
      <c r="S104" s="43">
        <v>-999</v>
      </c>
      <c r="T104" s="43">
        <f t="shared" si="42"/>
        <v>22297</v>
      </c>
      <c r="U104" s="43">
        <v>11411.6</v>
      </c>
      <c r="V104" s="43">
        <v>-999</v>
      </c>
      <c r="W104" s="43">
        <f t="shared" si="43"/>
        <v>11411.6</v>
      </c>
      <c r="X104" s="43">
        <v>23110.799999999999</v>
      </c>
      <c r="Y104" s="43">
        <v>-999</v>
      </c>
      <c r="Z104" s="43">
        <f t="shared" si="44"/>
        <v>23110.799999999999</v>
      </c>
      <c r="AA104" s="22">
        <v>898787.4</v>
      </c>
      <c r="AB104">
        <v>-999</v>
      </c>
      <c r="AC104">
        <v>898787.4</v>
      </c>
      <c r="AD104">
        <v>459998.9</v>
      </c>
      <c r="AE104">
        <v>-999</v>
      </c>
      <c r="AF104">
        <v>459998.9</v>
      </c>
      <c r="AG104">
        <v>931591.2</v>
      </c>
      <c r="AH104">
        <v>-999</v>
      </c>
      <c r="AI104">
        <v>931591.2</v>
      </c>
      <c r="AJ104">
        <v>330831.8</v>
      </c>
      <c r="AK104">
        <v>-999</v>
      </c>
      <c r="AL104">
        <v>330831.8</v>
      </c>
      <c r="AM104">
        <v>169319.5</v>
      </c>
      <c r="AN104">
        <v>-999</v>
      </c>
      <c r="AO104">
        <v>169319.5</v>
      </c>
      <c r="AP104">
        <v>342906.5</v>
      </c>
      <c r="AQ104">
        <v>-999</v>
      </c>
      <c r="AR104">
        <v>342906.5</v>
      </c>
      <c r="AS104">
        <v>3133435.36</v>
      </c>
      <c r="AT104" s="22">
        <f t="shared" si="74"/>
        <v>1496197.4311056151</v>
      </c>
      <c r="AU104">
        <f t="shared" si="74"/>
        <v>-999</v>
      </c>
      <c r="AV104">
        <f t="shared" si="74"/>
        <v>1496197.4311056151</v>
      </c>
      <c r="AW104">
        <f t="shared" si="74"/>
        <v>765753.0273470775</v>
      </c>
      <c r="AX104">
        <f t="shared" si="74"/>
        <v>-999</v>
      </c>
      <c r="AY104">
        <f t="shared" si="74"/>
        <v>765753.0273470775</v>
      </c>
      <c r="AZ104">
        <f t="shared" si="74"/>
        <v>1550805.40768662</v>
      </c>
      <c r="BA104">
        <f t="shared" si="74"/>
        <v>-999</v>
      </c>
      <c r="BB104">
        <f t="shared" si="73"/>
        <v>1550805.40768662</v>
      </c>
      <c r="BC104">
        <f t="shared" si="73"/>
        <v>550730.56129630504</v>
      </c>
      <c r="BD104">
        <f t="shared" si="73"/>
        <v>-999</v>
      </c>
      <c r="BE104">
        <f t="shared" si="73"/>
        <v>550730.56129630504</v>
      </c>
      <c r="BF104">
        <f t="shared" si="73"/>
        <v>281863.54296476248</v>
      </c>
      <c r="BG104">
        <f t="shared" si="73"/>
        <v>-999</v>
      </c>
      <c r="BH104">
        <f t="shared" si="73"/>
        <v>281863.54296476248</v>
      </c>
      <c r="BI104">
        <f t="shared" si="73"/>
        <v>570831.12692658755</v>
      </c>
      <c r="BJ104">
        <f t="shared" si="73"/>
        <v>-999</v>
      </c>
      <c r="BK104">
        <f t="shared" si="73"/>
        <v>570831.12692658755</v>
      </c>
      <c r="BL104">
        <f t="shared" si="73"/>
        <v>5216181.1972080357</v>
      </c>
      <c r="BM104" s="22">
        <f>-17.17-(0.1023*E104)+F104*(100-8.576-13.681)</f>
        <v>38.249254673602557</v>
      </c>
      <c r="BN104">
        <f>IF(AT104&lt;&gt;-999,AT104*$BM104, -999)</f>
        <v>57228436.584348589</v>
      </c>
      <c r="BO104">
        <f>IF(AU104&lt;&gt;-999,AU104*$BM104, -999)</f>
        <v>-999</v>
      </c>
      <c r="BP104" s="25">
        <f>IF(AV104&lt;&gt;-999,AV104*$BM104, -999)</f>
        <v>57228436.584348589</v>
      </c>
      <c r="BQ104">
        <f>-19.943-(0.1023*E104)+F104*(100-8.576-13.681)</f>
        <v>35.476254673602554</v>
      </c>
      <c r="BR104">
        <f>IF(AW104&lt;&gt;-999,AW104*$BQ104, -999)</f>
        <v>27166049.415247064</v>
      </c>
      <c r="BS104">
        <f>IF(AX104&lt;&gt;-999,AX104*$BQ104, -999)</f>
        <v>-999</v>
      </c>
      <c r="BT104" s="25">
        <f>IF(AY104&lt;&gt;-999,AY104*$BQ104, -999)</f>
        <v>27166049.415247064</v>
      </c>
      <c r="BU104">
        <f>-25.871-(0.1023*E104)+F104*(100-8.576-13.681)</f>
        <v>29.548254673602557</v>
      </c>
      <c r="BV104">
        <f>IF(AZ104&lt;&gt;-999,AZ104*$BU104, -999)</f>
        <v>45823593.135524288</v>
      </c>
      <c r="BW104">
        <f>IF(BA104&lt;&gt;-999,BA104*$BU104, -999)</f>
        <v>-999</v>
      </c>
      <c r="BX104" s="25">
        <f>IF(BB104&lt;&gt;-999,BB104*$BU104, -999)</f>
        <v>45823593.135524288</v>
      </c>
      <c r="BY104">
        <f>-25.245-(0.1023*E104)+F104*(100-8.576-13.681)</f>
        <v>30.174254673602555</v>
      </c>
      <c r="BZ104">
        <f>IF(BC104&lt;&gt;-999,BC104*$BY104, -999)</f>
        <v>16617884.21309079</v>
      </c>
      <c r="CA104">
        <f>IF(BD104&lt;&gt;-999,BD104*$BY104, -999)</f>
        <v>-999</v>
      </c>
      <c r="CB104" s="25">
        <f>IF(BE104&lt;&gt;-999,BE104*$BY104, -999)</f>
        <v>16617884.21309079</v>
      </c>
      <c r="CC104">
        <f>-29.317-(0.1023*E104)+F104*(100-8.576-13.681)</f>
        <v>26.102254673602559</v>
      </c>
      <c r="CD104">
        <f>IF(BF104&lt;&gt;-999,BF104*$CC104, -999)</f>
        <v>7357273.9816701468</v>
      </c>
      <c r="CE104">
        <f>IF(BG104&lt;&gt;-999,BG104*$CC104, -999)</f>
        <v>-999</v>
      </c>
      <c r="CF104" s="25">
        <f>IF(BH104&lt;&gt;-999,BH104*$CC104, -999)</f>
        <v>7357273.9816701468</v>
      </c>
      <c r="CG104">
        <f>-38.03-(0.1023*E104)+F104*(100-8.576-13.681)</f>
        <v>17.389254673602558</v>
      </c>
      <c r="CH104">
        <f>IF(BI104&lt;&gt;-999,BI104*$CG104, -999)</f>
        <v>9926327.8417459782</v>
      </c>
      <c r="CI104">
        <f>IF(BJ104&lt;&gt;-999,BJ104*$CG104, -999)</f>
        <v>-999</v>
      </c>
      <c r="CJ104" s="25">
        <f>IF(BK104&lt;&gt;-999,BK104*$CG104, -999)</f>
        <v>9926327.8417459782</v>
      </c>
      <c r="CK104" s="26">
        <f t="shared" si="45"/>
        <v>164119565.17162684</v>
      </c>
      <c r="CL104">
        <f t="shared" si="46"/>
        <v>-40.169982068957466</v>
      </c>
      <c r="CM104">
        <f t="shared" si="47"/>
        <v>17.091625317543667</v>
      </c>
      <c r="CN104">
        <f t="shared" si="48"/>
        <v>-96.442473781602203</v>
      </c>
      <c r="CO104" s="22">
        <f t="shared" si="49"/>
        <v>-40.08</v>
      </c>
      <c r="CP104">
        <f>IF(AT104&lt;&gt;-999,AT104*$CO104, -999)</f>
        <v>-59967593.038713053</v>
      </c>
      <c r="CQ104">
        <f>IF(AU104&lt;&gt;-999,AU104*$CO104, -999)</f>
        <v>-999</v>
      </c>
      <c r="CR104" s="27">
        <f>IF(AV104&lt;&gt;-999,AV104*$CO104, -999)</f>
        <v>-59967593.038713053</v>
      </c>
      <c r="CS104">
        <f t="shared" si="50"/>
        <v>-42.853000000000002</v>
      </c>
      <c r="CT104">
        <f>IF(AW104&lt;&gt;-999,AW104*$CS104, -999)</f>
        <v>-32814814.480904315</v>
      </c>
      <c r="CU104">
        <f>IF(AX104&lt;&gt;-999,AX104*$CS104, -999)</f>
        <v>-999</v>
      </c>
      <c r="CV104" s="27">
        <f>IF(AY104&lt;&gt;-999,AY104*$CS104, -999)</f>
        <v>-32814814.480904315</v>
      </c>
      <c r="CW104">
        <f t="shared" si="51"/>
        <v>-48.780999999999999</v>
      </c>
      <c r="CX104">
        <f>IF(AZ104&lt;&gt;-999,AZ104*$CO104, -999)</f>
        <v>-62156280.740079731</v>
      </c>
      <c r="CY104">
        <f>IF(BA104&lt;&gt;-999,BA104*$CO104, -999)</f>
        <v>-999</v>
      </c>
      <c r="CZ104" s="27">
        <f>IF(BB104&lt;&gt;-999,BB104*$CO104, -999)</f>
        <v>-62156280.740079731</v>
      </c>
      <c r="DA104">
        <f t="shared" si="52"/>
        <v>-48.155000000000001</v>
      </c>
      <c r="DB104">
        <f>IF(BC104&lt;&gt;-999,BC104*$DA104, -999)</f>
        <v>-26520430.179223571</v>
      </c>
      <c r="DC104">
        <f>IF(BD104&lt;&gt;-999,BD104*$DA104, -999)</f>
        <v>-999</v>
      </c>
      <c r="DD104" s="27">
        <f>IF(BE104&lt;&gt;-999,BE104*$DA104, -999)</f>
        <v>-26520430.179223571</v>
      </c>
      <c r="DE104">
        <f t="shared" si="53"/>
        <v>-52.227000000000004</v>
      </c>
      <c r="DF104">
        <f>IF(BF104&lt;&gt;-999,BF104*$DE104, -999)</f>
        <v>-14720887.258420652</v>
      </c>
      <c r="DG104">
        <f>IF(BG104&lt;&gt;-999,BG104*$DE104, -999)</f>
        <v>-999</v>
      </c>
      <c r="DH104" s="27">
        <f>IF(BH104&lt;&gt;-999,BH104*$DE104, -999)</f>
        <v>-14720887.258420652</v>
      </c>
      <c r="DI104">
        <f t="shared" si="54"/>
        <v>-60.94</v>
      </c>
      <c r="DJ104">
        <f>IF(BI104&lt;&gt;-999,BI104*$DI104, -999)</f>
        <v>-34786448.874906242</v>
      </c>
      <c r="DK104">
        <f>IF(BJ104&lt;&gt;-999,BJ104*$DI104, -999)</f>
        <v>-999</v>
      </c>
      <c r="DL104" s="27">
        <f>IF(BK104&lt;&gt;-999,BK104*$DI104, -999)</f>
        <v>-34786448.874906242</v>
      </c>
      <c r="DM104" s="28">
        <f t="shared" si="55"/>
        <v>-230966454.57224753</v>
      </c>
      <c r="DN104" s="22">
        <f t="shared" si="56"/>
        <v>-17.170000000000002</v>
      </c>
      <c r="DO104">
        <f>IF(AT104&lt;&gt;-999,AT104*$DN104, -999)</f>
        <v>-25689709.892083414</v>
      </c>
      <c r="DP104">
        <f>IF(AU104&lt;&gt;-999,AU104*$DN104, -999)</f>
        <v>-999</v>
      </c>
      <c r="DQ104" s="24">
        <f>IF(AV104&lt;&gt;-999,AV104*$DN104, -999)</f>
        <v>-25689709.892083414</v>
      </c>
      <c r="DR104">
        <f t="shared" si="57"/>
        <v>-19.943000000000001</v>
      </c>
      <c r="DS104">
        <f>IF(AW104&lt;&gt;-999,AW104*$DR104, -999)</f>
        <v>-15271412.624382768</v>
      </c>
      <c r="DT104">
        <f>IF(AX104&lt;&gt;-999,AX104*$DR104, -999)</f>
        <v>-999</v>
      </c>
      <c r="DU104" s="24">
        <f>IF(AY104&lt;&gt;-999,AY104*$DR104, -999)</f>
        <v>-15271412.624382768</v>
      </c>
      <c r="DV104">
        <f t="shared" si="58"/>
        <v>-25.870999999999999</v>
      </c>
      <c r="DW104">
        <f>IF(AZ104&lt;&gt;-999,AZ104*$DV104, -999)</f>
        <v>-40120886.702260546</v>
      </c>
      <c r="DX104">
        <f>IF(BA104&lt;&gt;-999,BA104*$DV104, -999)</f>
        <v>-999</v>
      </c>
      <c r="DY104" s="24">
        <f>IF(BB104&lt;&gt;-999,BB104*$DV104, -999)</f>
        <v>-40120886.702260546</v>
      </c>
      <c r="DZ104">
        <f t="shared" si="59"/>
        <v>-25.245000000000001</v>
      </c>
      <c r="EA104">
        <f>IF(BC104&lt;&gt;-999, BC104*$DZ104, -999)</f>
        <v>-13903193.019925222</v>
      </c>
      <c r="EB104">
        <f>IF(BD104&lt;&gt;-999, BD104*$DZ104, -999)</f>
        <v>-999</v>
      </c>
      <c r="EC104" s="24">
        <f>IF(BE104&lt;&gt;-999, BE104*$DZ104, -999)</f>
        <v>-13903193.019925222</v>
      </c>
      <c r="ED104">
        <f t="shared" si="60"/>
        <v>-29.317</v>
      </c>
      <c r="EE104">
        <f>IF(BF104&lt;&gt;-999,BF104*$ED104, -999)</f>
        <v>-8263393.4890979417</v>
      </c>
      <c r="EF104">
        <f>IF(BG104&lt;&gt;-999,BG104*$ED104, -999)</f>
        <v>-999</v>
      </c>
      <c r="EG104" s="24">
        <f>IF(BH104&lt;&gt;-999,BH104*$ED104, -999)</f>
        <v>-8263393.4890979417</v>
      </c>
      <c r="EH104">
        <f t="shared" si="61"/>
        <v>-38.03</v>
      </c>
      <c r="EI104">
        <f>IF(BI104&lt;&gt;-999,BI104*$EH104, -999)</f>
        <v>-21708707.757018127</v>
      </c>
      <c r="EJ104">
        <f>IF(BJ104&lt;&gt;-999,BJ104*$EH104, -999)</f>
        <v>-999</v>
      </c>
      <c r="EK104" s="24">
        <f>IF(BK104&lt;&gt;-999,BK104*$EH104, -999)</f>
        <v>-21708707.757018127</v>
      </c>
      <c r="EL104" s="28">
        <f t="shared" si="62"/>
        <v>-124957303.484768</v>
      </c>
      <c r="EM104" s="22">
        <f>-17.17-(0.1023*G104)+H104*(100+102.093-66.644-64.243)</f>
        <v>15.616834152646135</v>
      </c>
      <c r="EN104">
        <f>IF(AT104&lt;&gt;-999,AT104*$EM104, -999)</f>
        <v>23365867.141191583</v>
      </c>
      <c r="EO104">
        <f>IF(AU104&lt;&gt;-999,AU104*$EM104, -999)</f>
        <v>-999</v>
      </c>
      <c r="EP104" s="23">
        <f>IF(AV104&lt;&gt;-999,AV104*$EM104, -999)</f>
        <v>23365867.141191583</v>
      </c>
      <c r="EQ104">
        <f>-19.943-(0.1023*G104)+H104*(100+102.093-66.644-64.243)</f>
        <v>12.843834152646139</v>
      </c>
      <c r="ER104">
        <f>IF(AW104&lt;&gt;-999,AW104*$EQ104, -999)</f>
        <v>9835204.8851325661</v>
      </c>
      <c r="ES104">
        <f>IF(AX104&lt;&gt;-999,AX104*$EQ104, -999)</f>
        <v>-999</v>
      </c>
      <c r="ET104" s="23">
        <f>IF(AY104&lt;&gt;-999,AY104*$EQ104, -999)</f>
        <v>9835204.8851325661</v>
      </c>
      <c r="EU104">
        <f>-25.871-(0.1023*G104)+H104*(100+102.093-66.644-64.243)</f>
        <v>6.9158341526461413</v>
      </c>
      <c r="EV104">
        <f>IF(AZ104&lt;&gt;-999,AZ104*$EU104, -999)</f>
        <v>10725113.002587449</v>
      </c>
      <c r="EW104">
        <f>IF(BA104&lt;&gt;-999,BA104*$EU104, -999)</f>
        <v>-999</v>
      </c>
      <c r="EX104" s="23">
        <f>IF(BB104&lt;&gt;-999,BB104*$EU104, -999)</f>
        <v>10725113.002587449</v>
      </c>
      <c r="EY104">
        <f>-25.245-(0.1023*G104)+H104*(100+102.093-66.644-64.243)</f>
        <v>7.5418341526461319</v>
      </c>
      <c r="EZ104">
        <f>IF(BC104&lt;&gt;-999, BC104*$EY104, -999)</f>
        <v>4153518.5560904471</v>
      </c>
      <c r="FA104">
        <f>IF(BD104&lt;&gt;-999, BD104*$EY104, -999)</f>
        <v>-999</v>
      </c>
      <c r="FB104" s="23">
        <f>IF(BE104&lt;&gt;-999, BE104*$EY104, -999)</f>
        <v>4153518.5560904471</v>
      </c>
      <c r="FC104">
        <f>-29.317-(0.1023*G104)+H104*(100+102.093-66.644-64.243)</f>
        <v>3.4698341526461363</v>
      </c>
      <c r="FD104">
        <f>IF(BF104&lt;&gt;-999,BF104*$FC104, -999)</f>
        <v>978019.74776497448</v>
      </c>
      <c r="FE104">
        <f>IF(BG104&lt;&gt;-999,BG104*$FC104, -999)</f>
        <v>-999</v>
      </c>
      <c r="FF104" s="23">
        <f>IF(BH104&lt;&gt;-999,BH104*$FC104, -999)</f>
        <v>978019.74776497448</v>
      </c>
      <c r="FG104">
        <f>-38.03-(0.1023*G104)+H104*(100+102.093-66.644-64.243)</f>
        <v>-5.2431658473538647</v>
      </c>
      <c r="FH104">
        <f>IF(BI104&lt;&gt;-999,BI104*$FG104, -999)</f>
        <v>-2992962.2693080027</v>
      </c>
      <c r="FI104">
        <f>IF(BJ104&lt;&gt;-999,BJ104*$FG104, -999)</f>
        <v>-999</v>
      </c>
      <c r="FJ104" s="23">
        <f>IF(BK104&lt;&gt;-999,BK104*$FG104, -999)</f>
        <v>-2992962.2693080027</v>
      </c>
      <c r="FK104" s="28">
        <f t="shared" si="63"/>
        <v>46064761.063459016</v>
      </c>
      <c r="FL104" s="22">
        <f t="shared" si="66"/>
        <v>10.012280000000011</v>
      </c>
      <c r="FM104">
        <f>IF(AT104&lt;&gt;-999,AT104*$FL104, -999)</f>
        <v>14980347.615510145</v>
      </c>
      <c r="FN104">
        <f>IF(AU104&lt;&gt;-999,AU104*$FL104, -999)</f>
        <v>-999</v>
      </c>
      <c r="FO104" s="29">
        <f>IF(AV104&lt;&gt;-999,AV104*$FL104, -999)</f>
        <v>14980347.615510145</v>
      </c>
      <c r="FP104">
        <f t="shared" si="67"/>
        <v>7.2392800000000115</v>
      </c>
      <c r="FQ104">
        <f>IF(AW104&lt;&gt;-999,AW104*$FP104, -999)</f>
        <v>5543500.5758131603</v>
      </c>
      <c r="FR104">
        <f>IF(AX104&lt;&gt;-999,AX104*$FP104, -999)</f>
        <v>-999</v>
      </c>
      <c r="FS104" s="29">
        <f>IF(AY104&lt;&gt;-999,AY104*$FP104, -999)</f>
        <v>5543500.5758131603</v>
      </c>
      <c r="FT104">
        <f t="shared" si="68"/>
        <v>1.3112800000000142</v>
      </c>
      <c r="FU104">
        <f>IF(AZ104&lt;&gt;-999,AZ104*$FT104, -999)</f>
        <v>2033540.1149913331</v>
      </c>
      <c r="FV104">
        <f>IF(BA104&lt;&gt;-999,BA104*$FT104, -999)</f>
        <v>-999</v>
      </c>
      <c r="FW104" s="29">
        <f>IF(BB104&lt;&gt;-999,BB104*$FT104, -999)</f>
        <v>2033540.1149913331</v>
      </c>
      <c r="FX104">
        <f t="shared" si="69"/>
        <v>1.9372800000000119</v>
      </c>
      <c r="FY104">
        <f>IF(BC104&lt;&gt;-999, BC104*$FX104, -999)</f>
        <v>1066919.3017881124</v>
      </c>
      <c r="FZ104">
        <f>IF(BD104&lt;&gt;-999, BD104*$FX104, -999)</f>
        <v>-999</v>
      </c>
      <c r="GA104" s="29">
        <f>IF(BE104&lt;&gt;-999, BE104*$FX104, -999)</f>
        <v>1066919.3017881124</v>
      </c>
      <c r="GB104">
        <f t="shared" si="70"/>
        <v>-2.1347199999999873</v>
      </c>
      <c r="GC104">
        <f>IF(BF104&lt;&gt;-999,BF104*$GB104, -999)</f>
        <v>-601699.74243773415</v>
      </c>
      <c r="GD104">
        <f>IF(BG104&lt;&gt;-999,BG104*$GB104, -999)</f>
        <v>-999</v>
      </c>
      <c r="GE104" s="29">
        <f>IF(BH104&lt;&gt;-999,BH104*$GB104, -999)</f>
        <v>-601699.74243773415</v>
      </c>
      <c r="GF104">
        <f t="shared" si="71"/>
        <v>-10.847719999999988</v>
      </c>
      <c r="GG104">
        <f>IF(BI104&lt;&gt;-999,BI104*$GF104, -999)</f>
        <v>-6192216.2321840758</v>
      </c>
      <c r="GH104">
        <f>IF(BJ104&lt;&gt;-999,BJ104*$GF104, -999)</f>
        <v>-999</v>
      </c>
      <c r="GI104" s="29">
        <f>IF(BK104&lt;&gt;-999,BK104*$GF104, -999)</f>
        <v>-6192216.2321840758</v>
      </c>
      <c r="GJ104" s="30">
        <f t="shared" si="64"/>
        <v>16830391.633480944</v>
      </c>
    </row>
    <row r="105" spans="1:192">
      <c r="A105" s="48" t="s">
        <v>161</v>
      </c>
      <c r="B105" s="48" t="s">
        <v>240</v>
      </c>
      <c r="C105" s="49">
        <v>87</v>
      </c>
      <c r="D105" s="50">
        <v>0.68600000000000005</v>
      </c>
      <c r="E105" s="49">
        <v>48.922363899327202</v>
      </c>
      <c r="F105" s="49">
        <v>0.79309670969881596</v>
      </c>
      <c r="G105" s="49">
        <v>215.45544627034801</v>
      </c>
      <c r="H105" s="49">
        <v>0.80819911288647495</v>
      </c>
      <c r="I105" s="42">
        <v>12250</v>
      </c>
      <c r="J105" s="43">
        <v>-999</v>
      </c>
      <c r="K105" s="43">
        <f t="shared" si="39"/>
        <v>12250</v>
      </c>
      <c r="L105" s="43">
        <v>6467.5</v>
      </c>
      <c r="M105" s="43">
        <v>-999</v>
      </c>
      <c r="N105" s="43">
        <f t="shared" si="40"/>
        <v>6467.5</v>
      </c>
      <c r="O105" s="43">
        <v>10854.2</v>
      </c>
      <c r="P105" s="43">
        <v>-999</v>
      </c>
      <c r="Q105" s="43">
        <f t="shared" si="41"/>
        <v>10854.2</v>
      </c>
      <c r="R105" s="43">
        <v>11837.4</v>
      </c>
      <c r="S105" s="43">
        <v>-999</v>
      </c>
      <c r="T105" s="43">
        <f t="shared" si="42"/>
        <v>11837.4</v>
      </c>
      <c r="U105" s="43">
        <v>6249.6</v>
      </c>
      <c r="V105" s="43">
        <v>-999</v>
      </c>
      <c r="W105" s="43">
        <f t="shared" si="43"/>
        <v>6249.6</v>
      </c>
      <c r="X105" s="43">
        <v>10488.5</v>
      </c>
      <c r="Y105" s="43">
        <v>-999</v>
      </c>
      <c r="Z105" s="43">
        <f t="shared" si="44"/>
        <v>10488.5</v>
      </c>
      <c r="AA105" s="22">
        <v>823549.1</v>
      </c>
      <c r="AB105">
        <v>-999</v>
      </c>
      <c r="AC105">
        <v>823549.1</v>
      </c>
      <c r="AD105">
        <v>434796.6</v>
      </c>
      <c r="AE105">
        <v>-999</v>
      </c>
      <c r="AF105">
        <v>434796.6</v>
      </c>
      <c r="AG105">
        <v>729707.7</v>
      </c>
      <c r="AH105">
        <v>-999</v>
      </c>
      <c r="AI105">
        <v>729707.7</v>
      </c>
      <c r="AJ105">
        <v>795804.9</v>
      </c>
      <c r="AK105">
        <v>-999</v>
      </c>
      <c r="AL105">
        <v>795804.9</v>
      </c>
      <c r="AM105">
        <v>420149</v>
      </c>
      <c r="AN105">
        <v>-999</v>
      </c>
      <c r="AO105">
        <v>420149</v>
      </c>
      <c r="AP105">
        <v>705124.9</v>
      </c>
      <c r="AQ105">
        <v>-999</v>
      </c>
      <c r="AR105">
        <v>705124.9</v>
      </c>
      <c r="AS105">
        <v>3909132.33</v>
      </c>
      <c r="AT105" s="22">
        <f t="shared" si="74"/>
        <v>1370949.4011702223</v>
      </c>
      <c r="AU105">
        <f t="shared" si="74"/>
        <v>-999</v>
      </c>
      <c r="AV105">
        <f t="shared" si="74"/>
        <v>1370949.4011702223</v>
      </c>
      <c r="AW105">
        <f t="shared" si="74"/>
        <v>723799.14980278502</v>
      </c>
      <c r="AX105">
        <f t="shared" si="74"/>
        <v>-999</v>
      </c>
      <c r="AY105">
        <f t="shared" si="74"/>
        <v>723799.14980278502</v>
      </c>
      <c r="AZ105">
        <f t="shared" si="74"/>
        <v>1214733.0794779574</v>
      </c>
      <c r="BA105">
        <f t="shared" si="74"/>
        <v>-999</v>
      </c>
      <c r="BB105">
        <f t="shared" si="73"/>
        <v>1214733.0794779574</v>
      </c>
      <c r="BC105">
        <f t="shared" si="73"/>
        <v>1324764.0621589276</v>
      </c>
      <c r="BD105">
        <f t="shared" si="73"/>
        <v>-999</v>
      </c>
      <c r="BE105">
        <f t="shared" si="73"/>
        <v>1324764.0621589276</v>
      </c>
      <c r="BF105">
        <f t="shared" si="73"/>
        <v>699415.51748677506</v>
      </c>
      <c r="BG105">
        <f t="shared" si="73"/>
        <v>-999</v>
      </c>
      <c r="BH105">
        <f t="shared" si="73"/>
        <v>699415.51748677506</v>
      </c>
      <c r="BI105">
        <f t="shared" si="73"/>
        <v>1173810.4739659275</v>
      </c>
      <c r="BJ105">
        <f t="shared" si="73"/>
        <v>-999</v>
      </c>
      <c r="BK105">
        <f t="shared" si="73"/>
        <v>1173810.4739659275</v>
      </c>
      <c r="BL105">
        <f t="shared" si="73"/>
        <v>6507471.9004715774</v>
      </c>
      <c r="BM105" s="22">
        <f>-17.17-(0.1023*E105)+F105*(100-8.576-13.681)</f>
        <v>39.482959675213877</v>
      </c>
      <c r="BN105">
        <f>IF(AT105&lt;&gt;-999,AT105*$BM105, -999)</f>
        <v>54129139.923162498</v>
      </c>
      <c r="BO105">
        <f>IF(AU105&lt;&gt;-999,AU105*$BM105, -999)</f>
        <v>-999</v>
      </c>
      <c r="BP105" s="25">
        <f>IF(AV105&lt;&gt;-999,AV105*$BM105, -999)</f>
        <v>54129139.923162498</v>
      </c>
      <c r="BQ105">
        <f>-19.943-(0.1023*E105)+F105*(100-8.576-13.681)</f>
        <v>36.709959675213881</v>
      </c>
      <c r="BR105">
        <f>IF(AW105&lt;&gt;-999,AW105*$BQ105, -999)</f>
        <v>26570637.602214329</v>
      </c>
      <c r="BS105">
        <f>IF(AX105&lt;&gt;-999,AX105*$BQ105, -999)</f>
        <v>-999</v>
      </c>
      <c r="BT105" s="25">
        <f>IF(AY105&lt;&gt;-999,AY105*$BQ105, -999)</f>
        <v>26570637.602214329</v>
      </c>
      <c r="BU105">
        <f>-25.871-(0.1023*E105)+F105*(100-8.576-13.681)</f>
        <v>30.781959675213884</v>
      </c>
      <c r="BV105">
        <f>IF(AZ105&lt;&gt;-999,AZ105*$BU105, -999)</f>
        <v>37391864.66863887</v>
      </c>
      <c r="BW105">
        <f>IF(BA105&lt;&gt;-999,BA105*$BU105, -999)</f>
        <v>-999</v>
      </c>
      <c r="BX105" s="25">
        <f>IF(BB105&lt;&gt;-999,BB105*$BU105, -999)</f>
        <v>37391864.66863887</v>
      </c>
      <c r="BY105">
        <f>-25.245-(0.1023*E105)+F105*(100-8.576-13.681)</f>
        <v>31.407959675213881</v>
      </c>
      <c r="BZ105">
        <f>IF(BC105&lt;&gt;-999,BC105*$BY105, -999)</f>
        <v>41608136.243460134</v>
      </c>
      <c r="CA105">
        <f>IF(BD105&lt;&gt;-999,BD105*$BY105, -999)</f>
        <v>-999</v>
      </c>
      <c r="CB105" s="25">
        <f>IF(BE105&lt;&gt;-999,BE105*$BY105, -999)</f>
        <v>41608136.243460134</v>
      </c>
      <c r="CC105">
        <f>-29.317-(0.1023*E105)+F105*(100-8.576-13.681)</f>
        <v>27.335959675213878</v>
      </c>
      <c r="CD105">
        <f>IF(BF105&lt;&gt;-999,BF105*$CC105, -999)</f>
        <v>19119194.38223733</v>
      </c>
      <c r="CE105">
        <f>IF(BG105&lt;&gt;-999,BG105*$CC105, -999)</f>
        <v>-999</v>
      </c>
      <c r="CF105" s="25">
        <f>IF(BH105&lt;&gt;-999,BH105*$CC105, -999)</f>
        <v>19119194.38223733</v>
      </c>
      <c r="CG105">
        <f>-38.03-(0.1023*E105)+F105*(100-8.576-13.681)</f>
        <v>18.622959675213885</v>
      </c>
      <c r="CH105">
        <f>IF(BI105&lt;&gt;-999,BI105*$CG105, -999)</f>
        <v>21859825.123011164</v>
      </c>
      <c r="CI105">
        <f>IF(BJ105&lt;&gt;-999,BJ105*$CG105, -999)</f>
        <v>-999</v>
      </c>
      <c r="CJ105" s="25">
        <f>IF(BK105&lt;&gt;-999,BK105*$CG105, -999)</f>
        <v>21859825.123011164</v>
      </c>
      <c r="CK105" s="26">
        <f t="shared" si="45"/>
        <v>200678797.94272435</v>
      </c>
      <c r="CL105">
        <f t="shared" si="46"/>
        <v>-41.821241091679958</v>
      </c>
      <c r="CM105">
        <f t="shared" si="47"/>
        <v>15.479463153150498</v>
      </c>
      <c r="CN105">
        <f t="shared" si="48"/>
        <v>-98.132154318088297</v>
      </c>
      <c r="CO105" s="22">
        <f t="shared" si="49"/>
        <v>-40.08</v>
      </c>
      <c r="CP105">
        <f>IF(AT105&lt;&gt;-999,AT105*$CO105, -999)</f>
        <v>-54947651.998902507</v>
      </c>
      <c r="CQ105">
        <f>IF(AU105&lt;&gt;-999,AU105*$CO105, -999)</f>
        <v>-999</v>
      </c>
      <c r="CR105" s="27">
        <f>IF(AV105&lt;&gt;-999,AV105*$CO105, -999)</f>
        <v>-54947651.998902507</v>
      </c>
      <c r="CS105">
        <f t="shared" si="50"/>
        <v>-42.853000000000002</v>
      </c>
      <c r="CT105">
        <f>IF(AW105&lt;&gt;-999,AW105*$CS105, -999)</f>
        <v>-31016964.966498747</v>
      </c>
      <c r="CU105">
        <f>IF(AX105&lt;&gt;-999,AX105*$CS105, -999)</f>
        <v>-999</v>
      </c>
      <c r="CV105" s="27">
        <f>IF(AY105&lt;&gt;-999,AY105*$CS105, -999)</f>
        <v>-31016964.966498747</v>
      </c>
      <c r="CW105">
        <f t="shared" si="51"/>
        <v>-48.780999999999999</v>
      </c>
      <c r="CX105">
        <f>IF(AZ105&lt;&gt;-999,AZ105*$CO105, -999)</f>
        <v>-48686501.825476535</v>
      </c>
      <c r="CY105">
        <f>IF(BA105&lt;&gt;-999,BA105*$CO105, -999)</f>
        <v>-999</v>
      </c>
      <c r="CZ105" s="27">
        <f>IF(BB105&lt;&gt;-999,BB105*$CO105, -999)</f>
        <v>-48686501.825476535</v>
      </c>
      <c r="DA105">
        <f t="shared" si="52"/>
        <v>-48.155000000000001</v>
      </c>
      <c r="DB105">
        <f>IF(BC105&lt;&gt;-999,BC105*$DA105, -999)</f>
        <v>-63794013.413263157</v>
      </c>
      <c r="DC105">
        <f>IF(BD105&lt;&gt;-999,BD105*$DA105, -999)</f>
        <v>-999</v>
      </c>
      <c r="DD105" s="27">
        <f>IF(BE105&lt;&gt;-999,BE105*$DA105, -999)</f>
        <v>-63794013.413263157</v>
      </c>
      <c r="DE105">
        <f t="shared" si="53"/>
        <v>-52.227000000000004</v>
      </c>
      <c r="DF105">
        <f>IF(BF105&lt;&gt;-999,BF105*$DE105, -999)</f>
        <v>-36528374.231781803</v>
      </c>
      <c r="DG105">
        <f>IF(BG105&lt;&gt;-999,BG105*$DE105, -999)</f>
        <v>-999</v>
      </c>
      <c r="DH105" s="27">
        <f>IF(BH105&lt;&gt;-999,BH105*$DE105, -999)</f>
        <v>-36528374.231781803</v>
      </c>
      <c r="DI105">
        <f t="shared" si="54"/>
        <v>-60.94</v>
      </c>
      <c r="DJ105">
        <f>IF(BI105&lt;&gt;-999,BI105*$DI105, -999)</f>
        <v>-71532010.283483624</v>
      </c>
      <c r="DK105">
        <f>IF(BJ105&lt;&gt;-999,BJ105*$DI105, -999)</f>
        <v>-999</v>
      </c>
      <c r="DL105" s="27">
        <f>IF(BK105&lt;&gt;-999,BK105*$DI105, -999)</f>
        <v>-71532010.283483624</v>
      </c>
      <c r="DM105" s="28">
        <f t="shared" si="55"/>
        <v>-306505516.71940637</v>
      </c>
      <c r="DN105" s="22">
        <f t="shared" si="56"/>
        <v>-17.170000000000002</v>
      </c>
      <c r="DO105">
        <f>IF(AT105&lt;&gt;-999,AT105*$DN105, -999)</f>
        <v>-23539201.218092721</v>
      </c>
      <c r="DP105">
        <f>IF(AU105&lt;&gt;-999,AU105*$DN105, -999)</f>
        <v>-999</v>
      </c>
      <c r="DQ105" s="24">
        <f>IF(AV105&lt;&gt;-999,AV105*$DN105, -999)</f>
        <v>-23539201.218092721</v>
      </c>
      <c r="DR105">
        <f t="shared" si="57"/>
        <v>-19.943000000000001</v>
      </c>
      <c r="DS105">
        <f>IF(AW105&lt;&gt;-999,AW105*$DR105, -999)</f>
        <v>-14434726.444516942</v>
      </c>
      <c r="DT105">
        <f>IF(AX105&lt;&gt;-999,AX105*$DR105, -999)</f>
        <v>-999</v>
      </c>
      <c r="DU105" s="24">
        <f>IF(AY105&lt;&gt;-999,AY105*$DR105, -999)</f>
        <v>-14434726.444516942</v>
      </c>
      <c r="DV105">
        <f t="shared" si="58"/>
        <v>-25.870999999999999</v>
      </c>
      <c r="DW105">
        <f>IF(AZ105&lt;&gt;-999,AZ105*$DV105, -999)</f>
        <v>-31426359.499174237</v>
      </c>
      <c r="DX105">
        <f>IF(BA105&lt;&gt;-999,BA105*$DV105, -999)</f>
        <v>-999</v>
      </c>
      <c r="DY105" s="24">
        <f>IF(BB105&lt;&gt;-999,BB105*$DV105, -999)</f>
        <v>-31426359.499174237</v>
      </c>
      <c r="DZ105">
        <f t="shared" si="59"/>
        <v>-25.245000000000001</v>
      </c>
      <c r="EA105">
        <f>IF(BC105&lt;&gt;-999, BC105*$DZ105, -999)</f>
        <v>-33443668.749202128</v>
      </c>
      <c r="EB105">
        <f>IF(BD105&lt;&gt;-999, BD105*$DZ105, -999)</f>
        <v>-999</v>
      </c>
      <c r="EC105" s="24">
        <f>IF(BE105&lt;&gt;-999, BE105*$DZ105, -999)</f>
        <v>-33443668.749202128</v>
      </c>
      <c r="ED105">
        <f t="shared" si="60"/>
        <v>-29.317</v>
      </c>
      <c r="EE105">
        <f>IF(BF105&lt;&gt;-999,BF105*$ED105, -999)</f>
        <v>-20504764.726159785</v>
      </c>
      <c r="EF105">
        <f>IF(BG105&lt;&gt;-999,BG105*$ED105, -999)</f>
        <v>-999</v>
      </c>
      <c r="EG105" s="24">
        <f>IF(BH105&lt;&gt;-999,BH105*$ED105, -999)</f>
        <v>-20504764.726159785</v>
      </c>
      <c r="EH105">
        <f t="shared" si="61"/>
        <v>-38.03</v>
      </c>
      <c r="EI105">
        <f>IF(BI105&lt;&gt;-999,BI105*$EH105, -999)</f>
        <v>-44640012.324924223</v>
      </c>
      <c r="EJ105">
        <f>IF(BJ105&lt;&gt;-999,BJ105*$EH105, -999)</f>
        <v>-999</v>
      </c>
      <c r="EK105" s="24">
        <f>IF(BK105&lt;&gt;-999,BK105*$EH105, -999)</f>
        <v>-44640012.324924223</v>
      </c>
      <c r="EL105" s="28">
        <f t="shared" si="62"/>
        <v>-167988732.96207005</v>
      </c>
      <c r="EM105" s="22">
        <f>-17.17-(0.1023*G105)+H105*(100+102.093-66.644-64.243)</f>
        <v>18.337533878737744</v>
      </c>
      <c r="EN105">
        <f>IF(AT105&lt;&gt;-999,AT105*$EM105, -999)</f>
        <v>25139831.089994173</v>
      </c>
      <c r="EO105">
        <f>IF(AU105&lt;&gt;-999,AU105*$EM105, -999)</f>
        <v>-999</v>
      </c>
      <c r="EP105" s="23">
        <f>IF(AV105&lt;&gt;-999,AV105*$EM105, -999)</f>
        <v>25139831.089994173</v>
      </c>
      <c r="EQ105">
        <f>-19.943-(0.1023*G105)+H105*(100+102.093-66.644-64.243)</f>
        <v>15.564533878737748</v>
      </c>
      <c r="ER105">
        <f>IF(AW105&lt;&gt;-999,AW105*$EQ105, -999)</f>
        <v>11265596.388507025</v>
      </c>
      <c r="ES105">
        <f>IF(AX105&lt;&gt;-999,AX105*$EQ105, -999)</f>
        <v>-999</v>
      </c>
      <c r="ET105" s="23">
        <f>IF(AY105&lt;&gt;-999,AY105*$EQ105, -999)</f>
        <v>11265596.388507025</v>
      </c>
      <c r="EU105">
        <f>-25.871-(0.1023*G105)+H105*(100+102.093-66.644-64.243)</f>
        <v>9.636533878737751</v>
      </c>
      <c r="EV105">
        <f>IF(AZ105&lt;&gt;-999,AZ105*$EU105, -999)</f>
        <v>11705816.474012773</v>
      </c>
      <c r="EW105">
        <f>IF(BA105&lt;&gt;-999,BA105*$EU105, -999)</f>
        <v>-999</v>
      </c>
      <c r="EX105" s="23">
        <f>IF(BB105&lt;&gt;-999,BB105*$EU105, -999)</f>
        <v>11705816.474012773</v>
      </c>
      <c r="EY105">
        <f>-25.245-(0.1023*G105)+H105*(100+102.093-66.644-64.243)</f>
        <v>10.262533878737742</v>
      </c>
      <c r="EZ105">
        <f>IF(BC105&lt;&gt;-999, BC105*$EY105, -999)</f>
        <v>13595436.069240225</v>
      </c>
      <c r="FA105">
        <f>IF(BD105&lt;&gt;-999, BD105*$EY105, -999)</f>
        <v>-999</v>
      </c>
      <c r="FB105" s="23">
        <f>IF(BE105&lt;&gt;-999, BE105*$EY105, -999)</f>
        <v>13595436.069240225</v>
      </c>
      <c r="FC105">
        <f>-29.317-(0.1023*G105)+H105*(100+102.093-66.644-64.243)</f>
        <v>6.190533878737746</v>
      </c>
      <c r="FD105">
        <f>IF(BF105&lt;&gt;-999,BF105*$FC105, -999)</f>
        <v>4329755.4563167738</v>
      </c>
      <c r="FE105">
        <f>IF(BG105&lt;&gt;-999,BG105*$FC105, -999)</f>
        <v>-999</v>
      </c>
      <c r="FF105" s="23">
        <f>IF(BH105&lt;&gt;-999,BH105*$FC105, -999)</f>
        <v>4329755.4563167738</v>
      </c>
      <c r="FG105">
        <f>-38.03-(0.1023*G105)+H105*(100+102.093-66.644-64.243)</f>
        <v>-2.522466121262255</v>
      </c>
      <c r="FH105">
        <f>IF(BI105&lt;&gt;-999,BI105*$FG105, -999)</f>
        <v>-2960897.1533618425</v>
      </c>
      <c r="FI105">
        <f>IF(BJ105&lt;&gt;-999,BJ105*$FG105, -999)</f>
        <v>-999</v>
      </c>
      <c r="FJ105" s="23">
        <f>IF(BK105&lt;&gt;-999,BK105*$FG105, -999)</f>
        <v>-2960897.1533618425</v>
      </c>
      <c r="FK105" s="28">
        <f t="shared" si="63"/>
        <v>63075538.32470914</v>
      </c>
      <c r="FL105" s="22">
        <f t="shared" si="66"/>
        <v>10.012280000000011</v>
      </c>
      <c r="FM105">
        <f>IF(AT105&lt;&gt;-999,AT105*$FL105, -999)</f>
        <v>13726329.270348608</v>
      </c>
      <c r="FN105">
        <f>IF(AU105&lt;&gt;-999,AU105*$FL105, -999)</f>
        <v>-999</v>
      </c>
      <c r="FO105" s="29">
        <f>IF(AV105&lt;&gt;-999,AV105*$FL105, -999)</f>
        <v>13726329.270348608</v>
      </c>
      <c r="FP105">
        <f t="shared" si="67"/>
        <v>7.2392800000000115</v>
      </c>
      <c r="FQ105">
        <f>IF(AW105&lt;&gt;-999,AW105*$FP105, -999)</f>
        <v>5239784.7091843141</v>
      </c>
      <c r="FR105">
        <f>IF(AX105&lt;&gt;-999,AX105*$FP105, -999)</f>
        <v>-999</v>
      </c>
      <c r="FS105" s="29">
        <f>IF(AY105&lt;&gt;-999,AY105*$FP105, -999)</f>
        <v>5239784.7091843141</v>
      </c>
      <c r="FT105">
        <f t="shared" si="68"/>
        <v>1.3112800000000142</v>
      </c>
      <c r="FU105">
        <f>IF(AZ105&lt;&gt;-999,AZ105*$FT105, -999)</f>
        <v>1592855.1924578734</v>
      </c>
      <c r="FV105">
        <f>IF(BA105&lt;&gt;-999,BA105*$FT105, -999)</f>
        <v>-999</v>
      </c>
      <c r="FW105" s="29">
        <f>IF(BB105&lt;&gt;-999,BB105*$FT105, -999)</f>
        <v>1592855.1924578734</v>
      </c>
      <c r="FX105">
        <f t="shared" si="69"/>
        <v>1.9372800000000119</v>
      </c>
      <c r="FY105">
        <f>IF(BC105&lt;&gt;-999, BC105*$FX105, -999)</f>
        <v>2566438.9223392629</v>
      </c>
      <c r="FZ105">
        <f>IF(BD105&lt;&gt;-999, BD105*$FX105, -999)</f>
        <v>-999</v>
      </c>
      <c r="GA105" s="29">
        <f>IF(BE105&lt;&gt;-999, BE105*$FX105, -999)</f>
        <v>2566438.9223392629</v>
      </c>
      <c r="GB105">
        <f t="shared" si="70"/>
        <v>-2.1347199999999873</v>
      </c>
      <c r="GC105">
        <f>IF(BF105&lt;&gt;-999,BF105*$GB105, -999)</f>
        <v>-1493056.2934893596</v>
      </c>
      <c r="GD105">
        <f>IF(BG105&lt;&gt;-999,BG105*$GB105, -999)</f>
        <v>-999</v>
      </c>
      <c r="GE105" s="29">
        <f>IF(BH105&lt;&gt;-999,BH105*$GB105, -999)</f>
        <v>-1493056.2934893596</v>
      </c>
      <c r="GF105">
        <f t="shared" si="71"/>
        <v>-10.847719999999988</v>
      </c>
      <c r="GG105">
        <f>IF(BI105&lt;&gt;-999,BI105*$GF105, -999)</f>
        <v>-12733167.354649657</v>
      </c>
      <c r="GH105">
        <f>IF(BJ105&lt;&gt;-999,BJ105*$GF105, -999)</f>
        <v>-999</v>
      </c>
      <c r="GI105" s="29">
        <f>IF(BK105&lt;&gt;-999,BK105*$GF105, -999)</f>
        <v>-12733167.354649657</v>
      </c>
      <c r="GJ105" s="30">
        <f t="shared" si="64"/>
        <v>8899184.4461910445</v>
      </c>
    </row>
    <row r="106" spans="1:192">
      <c r="A106" s="48" t="s">
        <v>146</v>
      </c>
      <c r="B106" s="48" t="s">
        <v>241</v>
      </c>
      <c r="C106" s="49">
        <v>82</v>
      </c>
      <c r="D106" s="50">
        <v>0.67800000000000005</v>
      </c>
      <c r="E106" s="49">
        <v>35.637521589621301</v>
      </c>
      <c r="F106" s="49">
        <v>0.78972305438561996</v>
      </c>
      <c r="G106" s="49">
        <v>366.44464041558399</v>
      </c>
      <c r="H106" s="49">
        <v>0.79756486982669506</v>
      </c>
      <c r="I106" s="42">
        <v>48829.3</v>
      </c>
      <c r="J106" s="43">
        <v>14077.4</v>
      </c>
      <c r="K106" s="43">
        <f t="shared" si="39"/>
        <v>62906.700000000004</v>
      </c>
      <c r="L106" s="43">
        <v>49673.2</v>
      </c>
      <c r="M106" s="43">
        <v>14320.8</v>
      </c>
      <c r="N106" s="43">
        <f t="shared" si="40"/>
        <v>63994</v>
      </c>
      <c r="O106" s="43">
        <v>43066.3</v>
      </c>
      <c r="P106" s="43">
        <v>12416</v>
      </c>
      <c r="Q106" s="43">
        <f t="shared" si="41"/>
        <v>55482.3</v>
      </c>
      <c r="R106" s="43">
        <v>44084.4</v>
      </c>
      <c r="S106" s="43">
        <v>12709.5</v>
      </c>
      <c r="T106" s="43">
        <f t="shared" si="42"/>
        <v>56793.9</v>
      </c>
      <c r="U106" s="43">
        <v>44846.400000000001</v>
      </c>
      <c r="V106" s="43">
        <v>12929.2</v>
      </c>
      <c r="W106" s="43">
        <f t="shared" si="43"/>
        <v>57775.600000000006</v>
      </c>
      <c r="X106" s="43">
        <v>38881.4</v>
      </c>
      <c r="Y106" s="43">
        <v>11209.5</v>
      </c>
      <c r="Z106" s="43">
        <f t="shared" si="44"/>
        <v>50090.9</v>
      </c>
      <c r="AA106" s="22">
        <v>854846.6</v>
      </c>
      <c r="AB106">
        <v>166205.29999999999</v>
      </c>
      <c r="AC106">
        <v>1021051.9</v>
      </c>
      <c r="AD106">
        <v>869622</v>
      </c>
      <c r="AE106">
        <v>169078</v>
      </c>
      <c r="AF106">
        <v>1038700</v>
      </c>
      <c r="AG106">
        <v>753954.4</v>
      </c>
      <c r="AH106">
        <v>146589.1</v>
      </c>
      <c r="AI106">
        <v>900543.4</v>
      </c>
      <c r="AJ106">
        <v>771778.7</v>
      </c>
      <c r="AK106">
        <v>150054.6</v>
      </c>
      <c r="AL106">
        <v>921833.3</v>
      </c>
      <c r="AM106">
        <v>785118.3</v>
      </c>
      <c r="AN106">
        <v>152648.20000000001</v>
      </c>
      <c r="AO106">
        <v>937766.5</v>
      </c>
      <c r="AP106">
        <v>680690.4</v>
      </c>
      <c r="AQ106">
        <v>132344.6</v>
      </c>
      <c r="AR106">
        <v>813035</v>
      </c>
      <c r="AS106">
        <v>5632930.0099999998</v>
      </c>
      <c r="AT106" s="22">
        <f t="shared" si="74"/>
        <v>1423049.863526535</v>
      </c>
      <c r="AU106">
        <f t="shared" si="74"/>
        <v>276679.3825727175</v>
      </c>
      <c r="AV106">
        <f t="shared" si="74"/>
        <v>1699729.2460992527</v>
      </c>
      <c r="AW106">
        <f t="shared" si="74"/>
        <v>1447646.2425184499</v>
      </c>
      <c r="AX106">
        <f t="shared" si="74"/>
        <v>281461.52166405</v>
      </c>
      <c r="AY106">
        <f t="shared" si="74"/>
        <v>1729107.7641825001</v>
      </c>
      <c r="AZ106">
        <f t="shared" si="74"/>
        <v>1255096.18453794</v>
      </c>
      <c r="BA106">
        <f t="shared" si="74"/>
        <v>244024.59897422249</v>
      </c>
      <c r="BB106">
        <f t="shared" si="73"/>
        <v>1499120.617043715</v>
      </c>
      <c r="BC106">
        <f t="shared" si="73"/>
        <v>1284768.0200256824</v>
      </c>
      <c r="BD106">
        <f t="shared" si="73"/>
        <v>249793.563022335</v>
      </c>
      <c r="BE106">
        <f t="shared" si="73"/>
        <v>1534561.5830480177</v>
      </c>
      <c r="BF106">
        <f t="shared" si="73"/>
        <v>1306974.2450483926</v>
      </c>
      <c r="BG106">
        <f t="shared" si="73"/>
        <v>254111.08867669504</v>
      </c>
      <c r="BH106">
        <f t="shared" si="73"/>
        <v>1561085.3337250873</v>
      </c>
      <c r="BI106">
        <f t="shared" si="73"/>
        <v>1133134.7411615402</v>
      </c>
      <c r="BJ106">
        <f t="shared" si="73"/>
        <v>220312.00097008501</v>
      </c>
      <c r="BK106">
        <f t="shared" si="73"/>
        <v>1353446.7421316248</v>
      </c>
      <c r="BL106">
        <f t="shared" si="73"/>
        <v>9377051.1364085954</v>
      </c>
      <c r="BM106" s="22">
        <f>-17.17-(0.1023*E106)+F106*(100-8.576-13.681)</f>
        <v>40.579720958482994</v>
      </c>
      <c r="BN106">
        <f>IF(AT106&lt;&gt;-999,AT106*$BM106, -999)</f>
        <v>57746966.371914096</v>
      </c>
      <c r="BO106">
        <f>IF(AU106&lt;&gt;-999,AU106*$BM106, -999)</f>
        <v>11227572.139766239</v>
      </c>
      <c r="BP106" s="25">
        <f>IF(AV106&lt;&gt;-999,AV106*$BM106, -999)</f>
        <v>68974538.51168035</v>
      </c>
      <c r="BQ106">
        <f>-19.943-(0.1023*E106)+F106*(100-8.576-13.681)</f>
        <v>37.806720958482998</v>
      </c>
      <c r="BR106">
        <f>IF(AW106&lt;&gt;-999,AW106*$BQ106, -999)</f>
        <v>54730757.537491441</v>
      </c>
      <c r="BS106">
        <f>IF(AX106&lt;&gt;-999,AX106*$BQ106, -999)</f>
        <v>10641137.210102756</v>
      </c>
      <c r="BT106" s="25">
        <f>IF(AY106&lt;&gt;-999,AY106*$BQ106, -999)</f>
        <v>65371894.7475942</v>
      </c>
      <c r="BU106">
        <f>-25.871-(0.1023*E106)+F106*(100-8.576-13.681)</f>
        <v>31.878720958483001</v>
      </c>
      <c r="BV106">
        <f>IF(AZ106&lt;&gt;-999,AZ106*$BU106, -999)</f>
        <v>40010861.042941675</v>
      </c>
      <c r="BW106">
        <f>IF(BA106&lt;&gt;-999,BA106*$BU106, -999)</f>
        <v>7779192.0977049563</v>
      </c>
      <c r="BX106" s="25">
        <f>IF(BB106&lt;&gt;-999,BB106*$BU106, -999)</f>
        <v>47790047.833845444</v>
      </c>
      <c r="BY106">
        <f>-25.245-(0.1023*E106)+F106*(100-8.576-13.681)</f>
        <v>32.504720958482999</v>
      </c>
      <c r="BZ106">
        <f>IF(BC106&lt;&gt;-999,BC106*$BY106, -999)</f>
        <v>41761025.987317502</v>
      </c>
      <c r="CA106">
        <f>IF(BD106&lt;&gt;-999,BD106*$BY106, -999)</f>
        <v>8119470.0632662363</v>
      </c>
      <c r="CB106" s="25">
        <f>IF(BE106&lt;&gt;-999,BE106*$BY106, -999)</f>
        <v>49880496.05058375</v>
      </c>
      <c r="CC106">
        <f>-29.317-(0.1023*E106)+F106*(100-8.576-13.681)</f>
        <v>28.432720958482996</v>
      </c>
      <c r="CD106">
        <f>IF(BF106&lt;&gt;-999,BF106*$CC106, -999)</f>
        <v>37160834.009384923</v>
      </c>
      <c r="CE106">
        <f>IF(BG106&lt;&gt;-999,BG106*$CC106, -999)</f>
        <v>7225069.6768007986</v>
      </c>
      <c r="CF106" s="25">
        <f>IF(BH106&lt;&gt;-999,BH106*$CC106, -999)</f>
        <v>44385903.68618571</v>
      </c>
      <c r="CG106">
        <f>-38.03-(0.1023*E106)+F106*(100-8.576-13.681)</f>
        <v>19.719720958482995</v>
      </c>
      <c r="CH106">
        <f>IF(BI106&lt;&gt;-999,BI106*$CG106, -999)</f>
        <v>22345100.904068425</v>
      </c>
      <c r="CI106">
        <f>IF(BJ106&lt;&gt;-999,BJ106*$CG106, -999)</f>
        <v>4344491.1829351112</v>
      </c>
      <c r="CJ106" s="25">
        <f>IF(BK106&lt;&gt;-999,BK106*$CG106, -999)</f>
        <v>26689592.087003533</v>
      </c>
      <c r="CK106" s="26">
        <f t="shared" si="45"/>
        <v>303092472.91689295</v>
      </c>
      <c r="CL106">
        <f t="shared" si="46"/>
        <v>-43.815886249946963</v>
      </c>
      <c r="CM106">
        <f t="shared" si="47"/>
        <v>13.729603586809549</v>
      </c>
      <c r="CN106">
        <f t="shared" si="48"/>
        <v>-100.36735673315845</v>
      </c>
      <c r="CO106" s="22">
        <f t="shared" si="49"/>
        <v>-40.08</v>
      </c>
      <c r="CP106">
        <f>IF(AT106&lt;&gt;-999,AT106*$CO106, -999)</f>
        <v>-57035838.530143522</v>
      </c>
      <c r="CQ106">
        <f>IF(AU106&lt;&gt;-999,AU106*$CO106, -999)</f>
        <v>-11089309.653514517</v>
      </c>
      <c r="CR106" s="27">
        <f>IF(AV106&lt;&gt;-999,AV106*$CO106, -999)</f>
        <v>-68125148.183658049</v>
      </c>
      <c r="CS106">
        <f t="shared" si="50"/>
        <v>-42.853000000000002</v>
      </c>
      <c r="CT106">
        <f>IF(AW106&lt;&gt;-999,AW106*$CS106, -999)</f>
        <v>-62035984.430643134</v>
      </c>
      <c r="CU106">
        <f>IF(AX106&lt;&gt;-999,AX106*$CS106, -999)</f>
        <v>-12061470.587869534</v>
      </c>
      <c r="CV106" s="27">
        <f>IF(AY106&lt;&gt;-999,AY106*$CS106, -999)</f>
        <v>-74097455.018512681</v>
      </c>
      <c r="CW106">
        <f t="shared" si="51"/>
        <v>-48.780999999999999</v>
      </c>
      <c r="CX106">
        <f>IF(AZ106&lt;&gt;-999,AZ106*$CO106, -999)</f>
        <v>-50304255.076280631</v>
      </c>
      <c r="CY106">
        <f>IF(BA106&lt;&gt;-999,BA106*$CO106, -999)</f>
        <v>-9780505.9268868379</v>
      </c>
      <c r="CZ106" s="27">
        <f>IF(BB106&lt;&gt;-999,BB106*$CO106, -999)</f>
        <v>-60084754.331112094</v>
      </c>
      <c r="DA106">
        <f t="shared" si="52"/>
        <v>-48.155000000000001</v>
      </c>
      <c r="DB106">
        <f>IF(BC106&lt;&gt;-999,BC106*$DA106, -999)</f>
        <v>-61868004.004336737</v>
      </c>
      <c r="DC106">
        <f>IF(BD106&lt;&gt;-999,BD106*$DA106, -999)</f>
        <v>-12028809.027340543</v>
      </c>
      <c r="DD106" s="27">
        <f>IF(BE106&lt;&gt;-999,BE106*$DA106, -999)</f>
        <v>-73896813.031677291</v>
      </c>
      <c r="DE106">
        <f t="shared" si="53"/>
        <v>-52.227000000000004</v>
      </c>
      <c r="DF106">
        <f>IF(BF106&lt;&gt;-999,BF106*$DE106, -999)</f>
        <v>-68259343.896142408</v>
      </c>
      <c r="DG106">
        <f>IF(BG106&lt;&gt;-999,BG106*$DE106, -999)</f>
        <v>-13271459.828317752</v>
      </c>
      <c r="DH106" s="27">
        <f>IF(BH106&lt;&gt;-999,BH106*$DE106, -999)</f>
        <v>-81530803.72446014</v>
      </c>
      <c r="DI106">
        <f t="shared" si="54"/>
        <v>-60.94</v>
      </c>
      <c r="DJ106">
        <f>IF(BI106&lt;&gt;-999,BI106*$DI106, -999)</f>
        <v>-69053231.126384258</v>
      </c>
      <c r="DK106">
        <f>IF(BJ106&lt;&gt;-999,BJ106*$DI106, -999)</f>
        <v>-13425813.339116979</v>
      </c>
      <c r="DL106" s="27">
        <f>IF(BK106&lt;&gt;-999,BK106*$DI106, -999)</f>
        <v>-82479044.465501219</v>
      </c>
      <c r="DM106" s="28">
        <f t="shared" si="55"/>
        <v>-440214018.75492144</v>
      </c>
      <c r="DN106" s="22">
        <f t="shared" si="56"/>
        <v>-17.170000000000002</v>
      </c>
      <c r="DO106">
        <f>IF(AT106&lt;&gt;-999,AT106*$DN106, -999)</f>
        <v>-24433766.156750608</v>
      </c>
      <c r="DP106">
        <f>IF(AU106&lt;&gt;-999,AU106*$DN106, -999)</f>
        <v>-4750584.9987735599</v>
      </c>
      <c r="DQ106" s="24">
        <f>IF(AV106&lt;&gt;-999,AV106*$DN106, -999)</f>
        <v>-29184351.155524172</v>
      </c>
      <c r="DR106">
        <f t="shared" si="57"/>
        <v>-19.943000000000001</v>
      </c>
      <c r="DS106">
        <f>IF(AW106&lt;&gt;-999,AW106*$DR106, -999)</f>
        <v>-28870409.014545448</v>
      </c>
      <c r="DT106">
        <f>IF(AX106&lt;&gt;-999,AX106*$DR106, -999)</f>
        <v>-5613187.1265461491</v>
      </c>
      <c r="DU106" s="24">
        <f>IF(AY106&lt;&gt;-999,AY106*$DR106, -999)</f>
        <v>-34483596.1410916</v>
      </c>
      <c r="DV106">
        <f t="shared" si="58"/>
        <v>-25.870999999999999</v>
      </c>
      <c r="DW106">
        <f>IF(AZ106&lt;&gt;-999,AZ106*$DV106, -999)</f>
        <v>-32470593.390181042</v>
      </c>
      <c r="DX106">
        <f>IF(BA106&lt;&gt;-999,BA106*$DV106, -999)</f>
        <v>-6313160.4000621093</v>
      </c>
      <c r="DY106" s="24">
        <f>IF(BB106&lt;&gt;-999,BB106*$DV106, -999)</f>
        <v>-38783749.48353795</v>
      </c>
      <c r="DZ106">
        <f t="shared" si="59"/>
        <v>-25.245000000000001</v>
      </c>
      <c r="EA106">
        <f>IF(BC106&lt;&gt;-999, BC106*$DZ106, -999)</f>
        <v>-32433968.665548354</v>
      </c>
      <c r="EB106">
        <f>IF(BD106&lt;&gt;-999, BD106*$DZ106, -999)</f>
        <v>-6306038.4984988477</v>
      </c>
      <c r="EC106" s="24">
        <f>IF(BE106&lt;&gt;-999, BE106*$DZ106, -999)</f>
        <v>-38740007.164047211</v>
      </c>
      <c r="ED106">
        <f t="shared" si="60"/>
        <v>-29.317</v>
      </c>
      <c r="EE106">
        <f>IF(BF106&lt;&gt;-999,BF106*$ED106, -999)</f>
        <v>-38316563.942083724</v>
      </c>
      <c r="EF106">
        <f>IF(BG106&lt;&gt;-999,BG106*$ED106, -999)</f>
        <v>-7449774.7867346685</v>
      </c>
      <c r="EG106" s="24">
        <f>IF(BH106&lt;&gt;-999,BH106*$ED106, -999)</f>
        <v>-45766338.728818387</v>
      </c>
      <c r="EH106">
        <f t="shared" si="61"/>
        <v>-38.03</v>
      </c>
      <c r="EI106">
        <f>IF(BI106&lt;&gt;-999,BI106*$EH106, -999)</f>
        <v>-43093114.206373371</v>
      </c>
      <c r="EJ106">
        <f>IF(BJ106&lt;&gt;-999,BJ106*$EH106, -999)</f>
        <v>-8378465.3968923334</v>
      </c>
      <c r="EK106" s="24">
        <f>IF(BK106&lt;&gt;-999,BK106*$EH106, -999)</f>
        <v>-51471579.603265695</v>
      </c>
      <c r="EL106" s="28">
        <f t="shared" si="62"/>
        <v>-238429622.27628502</v>
      </c>
      <c r="EM106" s="22">
        <f>-17.17-(0.1023*G106)+H106*(100+102.093-66.644-64.243)</f>
        <v>2.1341174063654194</v>
      </c>
      <c r="EN106">
        <f>IF(AT106&lt;&gt;-999,AT106*$EM106, -999)</f>
        <v>3036955.4838779126</v>
      </c>
      <c r="EO106">
        <f>IF(AU106&lt;&gt;-999,AU106*$EM106, -999)</f>
        <v>590466.2863308735</v>
      </c>
      <c r="EP106" s="23">
        <f>IF(AV106&lt;&gt;-999,AV106*$EM106, -999)</f>
        <v>3627421.7702087867</v>
      </c>
      <c r="EQ106">
        <f>-19.943-(0.1023*G106)+H106*(100+102.093-66.644-64.243)</f>
        <v>-0.63888259363457678</v>
      </c>
      <c r="ER106">
        <f>IF(AW106&lt;&gt;-999,AW106*$EQ106, -999)</f>
        <v>-924875.98608553677</v>
      </c>
      <c r="ES106">
        <f>IF(AX106&lt;&gt;-999,AX106*$EQ106, -999)</f>
        <v>-179820.86696906289</v>
      </c>
      <c r="ET106" s="23">
        <f>IF(AY106&lt;&gt;-999,AY106*$EQ106, -999)</f>
        <v>-1104696.8530545998</v>
      </c>
      <c r="EU106">
        <f>-25.871-(0.1023*G106)+H106*(100+102.093-66.644-64.243)</f>
        <v>-6.5668825936345741</v>
      </c>
      <c r="EV106">
        <f>IF(AZ106&lt;&gt;-999,AZ106*$EU106, -999)</f>
        <v>-8242069.2875793651</v>
      </c>
      <c r="EW106">
        <f>IF(BA106&lt;&gt;-999,BA106*$EU106, -999)</f>
        <v>-1602480.8914224789</v>
      </c>
      <c r="EX106" s="23">
        <f>IF(BB106&lt;&gt;-999,BB106*$EU106, -999)</f>
        <v>-9844549.0858230945</v>
      </c>
      <c r="EY106">
        <f>-25.245-(0.1023*G106)+H106*(100+102.093-66.644-64.243)</f>
        <v>-5.9408825936345835</v>
      </c>
      <c r="EZ106">
        <f>IF(BC106&lt;&gt;-999, BC106*$EY106, -999)</f>
        <v>-7632655.9670289448</v>
      </c>
      <c r="FA106">
        <f>IF(BD106&lt;&gt;-999, BD106*$EY106, -999)</f>
        <v>-1483994.2305613533</v>
      </c>
      <c r="FB106" s="23">
        <f>IF(BE106&lt;&gt;-999, BE106*$EY106, -999)</f>
        <v>-9116650.197590299</v>
      </c>
      <c r="FC106">
        <f>-29.317-(0.1023*G106)+H106*(100+102.093-66.644-64.243)</f>
        <v>-10.012882593634572</v>
      </c>
      <c r="FD106">
        <f>IF(BF106&lt;&gt;-999,BF106*$FC106, -999)</f>
        <v>-13086579.668573735</v>
      </c>
      <c r="FE106">
        <f>IF(BG106&lt;&gt;-999,BG106*$FC106, -999)</f>
        <v>-2544384.4966604109</v>
      </c>
      <c r="FF106" s="23">
        <f>IF(BH106&lt;&gt;-999,BH106*$FC106, -999)</f>
        <v>-15630964.165234145</v>
      </c>
      <c r="FG106">
        <f>-38.03-(0.1023*G106)+H106*(100+102.093-66.644-64.243)</f>
        <v>-18.72588259363458</v>
      </c>
      <c r="FH106">
        <f>IF(BI106&lt;&gt;-999,BI106*$FG106, -999)</f>
        <v>-21218948.125759508</v>
      </c>
      <c r="FI106">
        <f>IF(BJ106&lt;&gt;-999,BJ106*$FG106, -999)</f>
        <v>-4125536.6641345196</v>
      </c>
      <c r="FJ106" s="23">
        <f>IF(BK106&lt;&gt;-999,BK106*$FG106, -999)</f>
        <v>-25344484.789894022</v>
      </c>
      <c r="FK106" s="28">
        <f t="shared" si="63"/>
        <v>-57413923.321387373</v>
      </c>
      <c r="FL106" s="22">
        <f t="shared" si="66"/>
        <v>10.012280000000011</v>
      </c>
      <c r="FM106">
        <f>IF(AT106&lt;&gt;-999,AT106*$FL106, -999)</f>
        <v>14247973.687589472</v>
      </c>
      <c r="FN106">
        <f>IF(AU106&lt;&gt;-999,AU106*$FL106, -999)</f>
        <v>2770191.4485451709</v>
      </c>
      <c r="FO106" s="29">
        <f>IF(AV106&lt;&gt;-999,AV106*$FL106, -999)</f>
        <v>17018165.136134647</v>
      </c>
      <c r="FP106">
        <f t="shared" si="67"/>
        <v>7.2392800000000115</v>
      </c>
      <c r="FQ106">
        <f>IF(AW106&lt;&gt;-999,AW106*$FP106, -999)</f>
        <v>10479916.490538981</v>
      </c>
      <c r="FR106">
        <f>IF(AX106&lt;&gt;-999,AX106*$FP106, -999)</f>
        <v>2037578.7645521271</v>
      </c>
      <c r="FS106" s="29">
        <f>IF(AY106&lt;&gt;-999,AY106*$FP106, -999)</f>
        <v>12517495.255091108</v>
      </c>
      <c r="FT106">
        <f t="shared" si="68"/>
        <v>1.3112800000000142</v>
      </c>
      <c r="FU106">
        <f>IF(AZ106&lt;&gt;-999,AZ106*$FT106, -999)</f>
        <v>1645782.5248609278</v>
      </c>
      <c r="FV106">
        <f>IF(BA106&lt;&gt;-999,BA106*$FT106, -999)</f>
        <v>319984.57614292193</v>
      </c>
      <c r="FW106" s="29">
        <f>IF(BB106&lt;&gt;-999,BB106*$FT106, -999)</f>
        <v>1965766.8827171039</v>
      </c>
      <c r="FX106">
        <f t="shared" si="69"/>
        <v>1.9372800000000119</v>
      </c>
      <c r="FY106">
        <f>IF(BC106&lt;&gt;-999, BC106*$FX106, -999)</f>
        <v>2488955.3898353693</v>
      </c>
      <c r="FZ106">
        <f>IF(BD106&lt;&gt;-999, BD106*$FX106, -999)</f>
        <v>483920.07377191214</v>
      </c>
      <c r="GA106" s="29">
        <f>IF(BE106&lt;&gt;-999, BE106*$FX106, -999)</f>
        <v>2972875.4636072819</v>
      </c>
      <c r="GB106">
        <f t="shared" si="70"/>
        <v>-2.1347199999999873</v>
      </c>
      <c r="GC106">
        <f>IF(BF106&lt;&gt;-999,BF106*$GB106, -999)</f>
        <v>-2790024.0603896878</v>
      </c>
      <c r="GD106">
        <f>IF(BG106&lt;&gt;-999,BG106*$GB106, -999)</f>
        <v>-542456.02321991127</v>
      </c>
      <c r="GE106" s="29">
        <f>IF(BH106&lt;&gt;-999,BH106*$GB106, -999)</f>
        <v>-3332480.0836095987</v>
      </c>
      <c r="GF106">
        <f t="shared" si="71"/>
        <v>-10.847719999999988</v>
      </c>
      <c r="GG106">
        <f>IF(BI106&lt;&gt;-999,BI106*$GF106, -999)</f>
        <v>-12291928.39439285</v>
      </c>
      <c r="GH106">
        <f>IF(BJ106&lt;&gt;-999,BJ106*$GF106, -999)</f>
        <v>-2389882.899163208</v>
      </c>
      <c r="GI106" s="29">
        <f>IF(BK106&lt;&gt;-999,BK106*$GF106, -999)</f>
        <v>-14681811.293556053</v>
      </c>
      <c r="GJ106" s="30">
        <f t="shared" si="64"/>
        <v>16460011.360384487</v>
      </c>
    </row>
    <row r="107" spans="1:192">
      <c r="A107" s="48" t="s">
        <v>151</v>
      </c>
      <c r="B107" s="48" t="s">
        <v>242</v>
      </c>
      <c r="C107" s="49">
        <v>140</v>
      </c>
      <c r="D107" s="50">
        <v>0.67500000000000004</v>
      </c>
      <c r="E107" s="49">
        <v>48.034392257138002</v>
      </c>
      <c r="F107" s="49">
        <v>0.79538749162940103</v>
      </c>
      <c r="G107" s="49">
        <v>277.43277126094301</v>
      </c>
      <c r="H107" s="49">
        <v>0.80387399399237303</v>
      </c>
      <c r="I107" s="42">
        <v>1944.5</v>
      </c>
      <c r="J107" s="43">
        <v>-999</v>
      </c>
      <c r="K107" s="43">
        <f t="shared" si="39"/>
        <v>1944.5</v>
      </c>
      <c r="L107" s="43">
        <v>2935.4</v>
      </c>
      <c r="M107" s="43">
        <v>-999</v>
      </c>
      <c r="N107" s="43">
        <f t="shared" si="40"/>
        <v>2935.4</v>
      </c>
      <c r="O107" s="43">
        <v>6208.6</v>
      </c>
      <c r="P107" s="43">
        <v>-999</v>
      </c>
      <c r="Q107" s="43">
        <f t="shared" si="41"/>
        <v>6208.6</v>
      </c>
      <c r="R107" s="43">
        <v>113.1</v>
      </c>
      <c r="S107" s="43">
        <v>-999</v>
      </c>
      <c r="T107" s="43">
        <f t="shared" si="42"/>
        <v>113.1</v>
      </c>
      <c r="U107" s="43">
        <v>170.7</v>
      </c>
      <c r="V107" s="43">
        <v>-999</v>
      </c>
      <c r="W107" s="43">
        <f t="shared" si="43"/>
        <v>170.7</v>
      </c>
      <c r="X107" s="43">
        <v>361</v>
      </c>
      <c r="Y107" s="43">
        <v>-999</v>
      </c>
      <c r="Z107" s="43">
        <f t="shared" si="44"/>
        <v>361</v>
      </c>
      <c r="AA107" s="22">
        <v>9584.2000000000007</v>
      </c>
      <c r="AB107">
        <v>-999</v>
      </c>
      <c r="AC107">
        <v>9584.2000000000007</v>
      </c>
      <c r="AD107">
        <v>14468</v>
      </c>
      <c r="AE107">
        <v>-999</v>
      </c>
      <c r="AF107">
        <v>14468</v>
      </c>
      <c r="AG107">
        <v>30600.6</v>
      </c>
      <c r="AH107">
        <v>-999</v>
      </c>
      <c r="AI107">
        <v>30600.6</v>
      </c>
      <c r="AJ107">
        <v>557.29999999999995</v>
      </c>
      <c r="AK107">
        <v>-999</v>
      </c>
      <c r="AL107">
        <v>557.29999999999995</v>
      </c>
      <c r="AM107">
        <v>841.3</v>
      </c>
      <c r="AN107">
        <v>-999</v>
      </c>
      <c r="AO107">
        <v>841.3</v>
      </c>
      <c r="AP107">
        <v>1779.4</v>
      </c>
      <c r="AQ107">
        <v>-999</v>
      </c>
      <c r="AR107">
        <v>1779.4</v>
      </c>
      <c r="AS107">
        <v>57830.86</v>
      </c>
      <c r="AT107" s="22">
        <f t="shared" si="74"/>
        <v>15954.668945295001</v>
      </c>
      <c r="AU107">
        <f t="shared" si="74"/>
        <v>-999</v>
      </c>
      <c r="AV107">
        <f t="shared" si="74"/>
        <v>15954.668945295001</v>
      </c>
      <c r="AW107">
        <f t="shared" si="74"/>
        <v>24084.654984299999</v>
      </c>
      <c r="AX107">
        <f t="shared" si="74"/>
        <v>-999</v>
      </c>
      <c r="AY107">
        <f t="shared" si="74"/>
        <v>24084.654984299999</v>
      </c>
      <c r="AZ107">
        <f t="shared" si="74"/>
        <v>50940.343745684993</v>
      </c>
      <c r="BA107">
        <f t="shared" si="74"/>
        <v>-999</v>
      </c>
      <c r="BB107">
        <f t="shared" si="73"/>
        <v>50940.343745684993</v>
      </c>
      <c r="BC107">
        <f t="shared" si="73"/>
        <v>927.72865791749985</v>
      </c>
      <c r="BD107">
        <f t="shared" si="73"/>
        <v>-999</v>
      </c>
      <c r="BE107">
        <f t="shared" si="73"/>
        <v>927.72865791749985</v>
      </c>
      <c r="BF107">
        <f t="shared" si="73"/>
        <v>1400.4990488174999</v>
      </c>
      <c r="BG107">
        <f t="shared" si="73"/>
        <v>-999</v>
      </c>
      <c r="BH107">
        <f t="shared" si="73"/>
        <v>1400.4990488174999</v>
      </c>
      <c r="BI107">
        <f t="shared" si="73"/>
        <v>2962.1395548150003</v>
      </c>
      <c r="BJ107">
        <f t="shared" si="73"/>
        <v>-999</v>
      </c>
      <c r="BK107">
        <f t="shared" si="73"/>
        <v>2962.1395548150003</v>
      </c>
      <c r="BL107">
        <f t="shared" si="73"/>
        <v>96270.134817898506</v>
      </c>
      <c r="BM107" s="22">
        <f>-17.17-(0.1023*E107)+F107*(100-8.576-13.681)</f>
        <v>39.751891433839319</v>
      </c>
      <c r="BN107">
        <f>IF(AT107&lt;&gt;-999,AT107*$BM107, -999)</f>
        <v>634228.26777621452</v>
      </c>
      <c r="BO107">
        <f>IF(AU107&lt;&gt;-999,AU107*$BM107, -999)</f>
        <v>-999</v>
      </c>
      <c r="BP107" s="25">
        <f>IF(AV107&lt;&gt;-999,AV107*$BM107, -999)</f>
        <v>634228.26777621452</v>
      </c>
      <c r="BQ107">
        <f>-19.943-(0.1023*E107)+F107*(100-8.576-13.681)</f>
        <v>36.978891433839316</v>
      </c>
      <c r="BR107">
        <f>IF(AW107&lt;&gt;-999,AW107*$BQ107, -999)</f>
        <v>890623.84188590664</v>
      </c>
      <c r="BS107">
        <f>IF(AX107&lt;&gt;-999,AX107*$BQ107, -999)</f>
        <v>-999</v>
      </c>
      <c r="BT107" s="25">
        <f>IF(AY107&lt;&gt;-999,AY107*$BQ107, -999)</f>
        <v>890623.84188590664</v>
      </c>
      <c r="BU107">
        <f>-25.871-(0.1023*E107)+F107*(100-8.576-13.681)</f>
        <v>31.050891433839318</v>
      </c>
      <c r="BV107">
        <f>IF(AZ107&lt;&gt;-999,AZ107*$BU107, -999)</f>
        <v>1581743.0832497205</v>
      </c>
      <c r="BW107">
        <f>IF(BA107&lt;&gt;-999,BA107*$BU107, -999)</f>
        <v>-999</v>
      </c>
      <c r="BX107" s="25">
        <f>IF(BB107&lt;&gt;-999,BB107*$BU107, -999)</f>
        <v>1581743.0832497205</v>
      </c>
      <c r="BY107">
        <f>-25.245-(0.1023*E107)+F107*(100-8.576-13.681)</f>
        <v>31.676891433839316</v>
      </c>
      <c r="BZ107">
        <f>IF(BC107&lt;&gt;-999,BC107*$BY107, -999)</f>
        <v>29387.559976914097</v>
      </c>
      <c r="CA107">
        <f>IF(BD107&lt;&gt;-999,BD107*$BY107, -999)</f>
        <v>-999</v>
      </c>
      <c r="CB107" s="25">
        <f>IF(BE107&lt;&gt;-999,BE107*$BY107, -999)</f>
        <v>29387.559976914097</v>
      </c>
      <c r="CC107">
        <f>-29.317-(0.1023*E107)+F107*(100-8.576-13.681)</f>
        <v>27.60489143383932</v>
      </c>
      <c r="CD107">
        <f>IF(BF107&lt;&gt;-999,BF107*$CC107, -999)</f>
        <v>38660.624195802317</v>
      </c>
      <c r="CE107">
        <f>IF(BG107&lt;&gt;-999,BG107*$CC107, -999)</f>
        <v>-999</v>
      </c>
      <c r="CF107" s="25">
        <f>IF(BH107&lt;&gt;-999,BH107*$CC107, -999)</f>
        <v>38660.624195802317</v>
      </c>
      <c r="CG107">
        <f>-38.03-(0.1023*E107)+F107*(100-8.576-13.681)</f>
        <v>18.891891433839319</v>
      </c>
      <c r="CH107">
        <f>IF(BI107&lt;&gt;-999,BI107*$CG107, -999)</f>
        <v>55960.418881446123</v>
      </c>
      <c r="CI107">
        <f>IF(BJ107&lt;&gt;-999,BJ107*$CG107, -999)</f>
        <v>-999</v>
      </c>
      <c r="CJ107" s="25">
        <f>IF(BK107&lt;&gt;-999,BK107*$CG107, -999)</f>
        <v>55960.418881446123</v>
      </c>
      <c r="CK107" s="26">
        <f t="shared" si="45"/>
        <v>3230603.7959660045</v>
      </c>
      <c r="CL107">
        <f t="shared" si="46"/>
        <v>-41.750898298476194</v>
      </c>
      <c r="CM107">
        <f t="shared" si="47"/>
        <v>15.38477516667106</v>
      </c>
      <c r="CN107">
        <f t="shared" si="48"/>
        <v>-97.899631425409311</v>
      </c>
      <c r="CO107" s="22">
        <f t="shared" si="49"/>
        <v>-40.08</v>
      </c>
      <c r="CP107">
        <f>IF(AT107&lt;&gt;-999,AT107*$CO107, -999)</f>
        <v>-639463.13132742362</v>
      </c>
      <c r="CQ107">
        <f>IF(AU107&lt;&gt;-999,AU107*$CO107, -999)</f>
        <v>-999</v>
      </c>
      <c r="CR107" s="27">
        <f>IF(AV107&lt;&gt;-999,AV107*$CO107, -999)</f>
        <v>-639463.13132742362</v>
      </c>
      <c r="CS107">
        <f t="shared" si="50"/>
        <v>-42.853000000000002</v>
      </c>
      <c r="CT107">
        <f>IF(AW107&lt;&gt;-999,AW107*$CS107, -999)</f>
        <v>-1032099.7200422079</v>
      </c>
      <c r="CU107">
        <f>IF(AX107&lt;&gt;-999,AX107*$CS107, -999)</f>
        <v>-999</v>
      </c>
      <c r="CV107" s="27">
        <f>IF(AY107&lt;&gt;-999,AY107*$CS107, -999)</f>
        <v>-1032099.7200422079</v>
      </c>
      <c r="CW107">
        <f t="shared" si="51"/>
        <v>-48.780999999999999</v>
      </c>
      <c r="CX107">
        <f>IF(AZ107&lt;&gt;-999,AZ107*$CO107, -999)</f>
        <v>-2041688.9773270544</v>
      </c>
      <c r="CY107">
        <f>IF(BA107&lt;&gt;-999,BA107*$CO107, -999)</f>
        <v>-999</v>
      </c>
      <c r="CZ107" s="27">
        <f>IF(BB107&lt;&gt;-999,BB107*$CO107, -999)</f>
        <v>-2041688.9773270544</v>
      </c>
      <c r="DA107">
        <f t="shared" si="52"/>
        <v>-48.155000000000001</v>
      </c>
      <c r="DB107">
        <f>IF(BC107&lt;&gt;-999,BC107*$DA107, -999)</f>
        <v>-44674.773522017204</v>
      </c>
      <c r="DC107">
        <f>IF(BD107&lt;&gt;-999,BD107*$DA107, -999)</f>
        <v>-999</v>
      </c>
      <c r="DD107" s="27">
        <f>IF(BE107&lt;&gt;-999,BE107*$DA107, -999)</f>
        <v>-44674.773522017204</v>
      </c>
      <c r="DE107">
        <f t="shared" si="53"/>
        <v>-52.227000000000004</v>
      </c>
      <c r="DF107">
        <f>IF(BF107&lt;&gt;-999,BF107*$DE107, -999)</f>
        <v>-73143.863822591578</v>
      </c>
      <c r="DG107">
        <f>IF(BG107&lt;&gt;-999,BG107*$DE107, -999)</f>
        <v>-999</v>
      </c>
      <c r="DH107" s="27">
        <f>IF(BH107&lt;&gt;-999,BH107*$DE107, -999)</f>
        <v>-73143.863822591578</v>
      </c>
      <c r="DI107">
        <f t="shared" si="54"/>
        <v>-60.94</v>
      </c>
      <c r="DJ107">
        <f>IF(BI107&lt;&gt;-999,BI107*$DI107, -999)</f>
        <v>-180512.78447042612</v>
      </c>
      <c r="DK107">
        <f>IF(BJ107&lt;&gt;-999,BJ107*$DI107, -999)</f>
        <v>-999</v>
      </c>
      <c r="DL107" s="27">
        <f>IF(BK107&lt;&gt;-999,BK107*$DI107, -999)</f>
        <v>-180512.78447042612</v>
      </c>
      <c r="DM107" s="28">
        <f t="shared" si="55"/>
        <v>-4011583.2505117203</v>
      </c>
      <c r="DN107" s="22">
        <f t="shared" si="56"/>
        <v>-17.170000000000002</v>
      </c>
      <c r="DO107">
        <f>IF(AT107&lt;&gt;-999,AT107*$DN107, -999)</f>
        <v>-273941.6657907152</v>
      </c>
      <c r="DP107">
        <f>IF(AU107&lt;&gt;-999,AU107*$DN107, -999)</f>
        <v>-999</v>
      </c>
      <c r="DQ107" s="24">
        <f>IF(AV107&lt;&gt;-999,AV107*$DN107, -999)</f>
        <v>-273941.6657907152</v>
      </c>
      <c r="DR107">
        <f t="shared" si="57"/>
        <v>-19.943000000000001</v>
      </c>
      <c r="DS107">
        <f>IF(AW107&lt;&gt;-999,AW107*$DR107, -999)</f>
        <v>-480320.27435189491</v>
      </c>
      <c r="DT107">
        <f>IF(AX107&lt;&gt;-999,AX107*$DR107, -999)</f>
        <v>-999</v>
      </c>
      <c r="DU107" s="24">
        <f>IF(AY107&lt;&gt;-999,AY107*$DR107, -999)</f>
        <v>-480320.27435189491</v>
      </c>
      <c r="DV107">
        <f t="shared" si="58"/>
        <v>-25.870999999999999</v>
      </c>
      <c r="DW107">
        <f>IF(AZ107&lt;&gt;-999,AZ107*$DV107, -999)</f>
        <v>-1317877.6330446163</v>
      </c>
      <c r="DX107">
        <f>IF(BA107&lt;&gt;-999,BA107*$DV107, -999)</f>
        <v>-999</v>
      </c>
      <c r="DY107" s="24">
        <f>IF(BB107&lt;&gt;-999,BB107*$DV107, -999)</f>
        <v>-1317877.6330446163</v>
      </c>
      <c r="DZ107">
        <f t="shared" si="59"/>
        <v>-25.245000000000001</v>
      </c>
      <c r="EA107">
        <f>IF(BC107&lt;&gt;-999, BC107*$DZ107, -999)</f>
        <v>-23420.509969127284</v>
      </c>
      <c r="EB107">
        <f>IF(BD107&lt;&gt;-999, BD107*$DZ107, -999)</f>
        <v>-999</v>
      </c>
      <c r="EC107" s="24">
        <f>IF(BE107&lt;&gt;-999, BE107*$DZ107, -999)</f>
        <v>-23420.509969127284</v>
      </c>
      <c r="ED107">
        <f t="shared" si="60"/>
        <v>-29.317</v>
      </c>
      <c r="EE107">
        <f>IF(BF107&lt;&gt;-999,BF107*$ED107, -999)</f>
        <v>-41058.430614182646</v>
      </c>
      <c r="EF107">
        <f>IF(BG107&lt;&gt;-999,BG107*$ED107, -999)</f>
        <v>-999</v>
      </c>
      <c r="EG107" s="24">
        <f>IF(BH107&lt;&gt;-999,BH107*$ED107, -999)</f>
        <v>-41058.430614182646</v>
      </c>
      <c r="EH107">
        <f t="shared" si="61"/>
        <v>-38.03</v>
      </c>
      <c r="EI107">
        <f>IF(BI107&lt;&gt;-999,BI107*$EH107, -999)</f>
        <v>-112650.16726961447</v>
      </c>
      <c r="EJ107">
        <f>IF(BJ107&lt;&gt;-999,BJ107*$EH107, -999)</f>
        <v>-999</v>
      </c>
      <c r="EK107" s="24">
        <f>IF(BK107&lt;&gt;-999,BK107*$EH107, -999)</f>
        <v>-112650.16726961447</v>
      </c>
      <c r="EL107" s="28">
        <f t="shared" si="62"/>
        <v>-2249268.681040151</v>
      </c>
      <c r="EM107" s="22">
        <f>-17.17-(0.1023*G107)+H107*(100+102.093-66.644-64.243)</f>
        <v>11.689279116226459</v>
      </c>
      <c r="EN107">
        <f>IF(AT107&lt;&gt;-999,AT107*$EM107, -999)</f>
        <v>186498.57850854367</v>
      </c>
      <c r="EO107">
        <f>IF(AU107&lt;&gt;-999,AU107*$EM107, -999)</f>
        <v>-999</v>
      </c>
      <c r="EP107" s="23">
        <f>IF(AV107&lt;&gt;-999,AV107*$EM107, -999)</f>
        <v>186498.57850854367</v>
      </c>
      <c r="EQ107">
        <f>-19.943-(0.1023*G107)+H107*(100+102.093-66.644-64.243)</f>
        <v>8.9162791162264625</v>
      </c>
      <c r="ER107">
        <f>IF(AW107&lt;&gt;-999,AW107*$EQ107, -999)</f>
        <v>214745.50625803365</v>
      </c>
      <c r="ES107">
        <f>IF(AX107&lt;&gt;-999,AX107*$EQ107, -999)</f>
        <v>-999</v>
      </c>
      <c r="ET107" s="23">
        <f>IF(AY107&lt;&gt;-999,AY107*$EQ107, -999)</f>
        <v>214745.50625803365</v>
      </c>
      <c r="EU107">
        <f>-25.871-(0.1023*G107)+H107*(100+102.093-66.644-64.243)</f>
        <v>2.9882791162264652</v>
      </c>
      <c r="EV107">
        <f>IF(AZ107&lt;&gt;-999,AZ107*$EU107, -999)</f>
        <v>152223.9653886279</v>
      </c>
      <c r="EW107">
        <f>IF(BA107&lt;&gt;-999,BA107*$EU107, -999)</f>
        <v>-999</v>
      </c>
      <c r="EX107" s="23">
        <f>IF(BB107&lt;&gt;-999,BB107*$EU107, -999)</f>
        <v>152223.9653886279</v>
      </c>
      <c r="EY107">
        <f>-25.245-(0.1023*G107)+H107*(100+102.093-66.644-64.243)</f>
        <v>3.6142791162264558</v>
      </c>
      <c r="EZ107">
        <f>IF(BC107&lt;&gt;-999, BC107*$EY107, -999)</f>
        <v>3353.0703138360172</v>
      </c>
      <c r="FA107">
        <f>IF(BD107&lt;&gt;-999, BD107*$EY107, -999)</f>
        <v>-999</v>
      </c>
      <c r="FB107" s="23">
        <f>IF(BE107&lt;&gt;-999, BE107*$EY107, -999)</f>
        <v>3353.0703138360172</v>
      </c>
      <c r="FC107">
        <f>-29.317-(0.1023*G107)+H107*(100+102.093-66.644-64.243)</f>
        <v>-0.45772088377353981</v>
      </c>
      <c r="FD107">
        <f>IF(BF107&lt;&gt;-999,BF107*$FC107, -999)</f>
        <v>-641.03766234874797</v>
      </c>
      <c r="FE107">
        <f>IF(BG107&lt;&gt;-999,BG107*$FC107, -999)</f>
        <v>-999</v>
      </c>
      <c r="FF107" s="23">
        <f>IF(BH107&lt;&gt;-999,BH107*$FC107, -999)</f>
        <v>-641.03766234874797</v>
      </c>
      <c r="FG107">
        <f>-38.03-(0.1023*G107)+H107*(100+102.093-66.644-64.243)</f>
        <v>-9.1707208837735408</v>
      </c>
      <c r="FH107">
        <f>IF(BI107&lt;&gt;-999,BI107*$FG107, -999)</f>
        <v>-27164.955075993581</v>
      </c>
      <c r="FI107">
        <f>IF(BJ107&lt;&gt;-999,BJ107*$FG107, -999)</f>
        <v>-999</v>
      </c>
      <c r="FJ107" s="23">
        <f>IF(BK107&lt;&gt;-999,BK107*$FG107, -999)</f>
        <v>-27164.955075993581</v>
      </c>
      <c r="FK107" s="28">
        <f t="shared" si="63"/>
        <v>529015.12773069891</v>
      </c>
      <c r="FL107" s="22">
        <f t="shared" si="66"/>
        <v>10.012280000000011</v>
      </c>
      <c r="FM107">
        <f>IF(AT107&lt;&gt;-999,AT107*$FL107, -999)</f>
        <v>159742.61278759842</v>
      </c>
      <c r="FN107">
        <f>IF(AU107&lt;&gt;-999,AU107*$FL107, -999)</f>
        <v>-999</v>
      </c>
      <c r="FO107" s="29">
        <f>IF(AV107&lt;&gt;-999,AV107*$FL107, -999)</f>
        <v>159742.61278759842</v>
      </c>
      <c r="FP107">
        <f t="shared" si="67"/>
        <v>7.2392800000000115</v>
      </c>
      <c r="FQ107">
        <f>IF(AW107&lt;&gt;-999,AW107*$FP107, -999)</f>
        <v>174355.56113474356</v>
      </c>
      <c r="FR107">
        <f>IF(AX107&lt;&gt;-999,AX107*$FP107, -999)</f>
        <v>-999</v>
      </c>
      <c r="FS107" s="29">
        <f>IF(AY107&lt;&gt;-999,AY107*$FP107, -999)</f>
        <v>174355.56113474356</v>
      </c>
      <c r="FT107">
        <f t="shared" si="68"/>
        <v>1.3112800000000142</v>
      </c>
      <c r="FU107">
        <f>IF(AZ107&lt;&gt;-999,AZ107*$FT107, -999)</f>
        <v>66797.053946842541</v>
      </c>
      <c r="FV107">
        <f>IF(BA107&lt;&gt;-999,BA107*$FT107, -999)</f>
        <v>-999</v>
      </c>
      <c r="FW107" s="29">
        <f>IF(BB107&lt;&gt;-999,BB107*$FT107, -999)</f>
        <v>66797.053946842541</v>
      </c>
      <c r="FX107">
        <f t="shared" si="69"/>
        <v>1.9372800000000119</v>
      </c>
      <c r="FY107">
        <f>IF(BC107&lt;&gt;-999, BC107*$FX107, -999)</f>
        <v>1797.2701744104252</v>
      </c>
      <c r="FZ107">
        <f>IF(BD107&lt;&gt;-999, BD107*$FX107, -999)</f>
        <v>-999</v>
      </c>
      <c r="GA107" s="29">
        <f>IF(BE107&lt;&gt;-999, BE107*$FX107, -999)</f>
        <v>1797.2701744104252</v>
      </c>
      <c r="GB107">
        <f t="shared" si="70"/>
        <v>-2.1347199999999873</v>
      </c>
      <c r="GC107">
        <f>IF(BF107&lt;&gt;-999,BF107*$GB107, -999)</f>
        <v>-2989.6733294916758</v>
      </c>
      <c r="GD107">
        <f>IF(BG107&lt;&gt;-999,BG107*$GB107, -999)</f>
        <v>-999</v>
      </c>
      <c r="GE107" s="29">
        <f>IF(BH107&lt;&gt;-999,BH107*$GB107, -999)</f>
        <v>-2989.6733294916758</v>
      </c>
      <c r="GF107">
        <f t="shared" si="71"/>
        <v>-10.847719999999988</v>
      </c>
      <c r="GG107">
        <f>IF(BI107&lt;&gt;-999,BI107*$GF107, -999)</f>
        <v>-32132.46049155774</v>
      </c>
      <c r="GH107">
        <f>IF(BJ107&lt;&gt;-999,BJ107*$GF107, -999)</f>
        <v>-999</v>
      </c>
      <c r="GI107" s="29">
        <f>IF(BK107&lt;&gt;-999,BK107*$GF107, -999)</f>
        <v>-32132.46049155774</v>
      </c>
      <c r="GJ107" s="30">
        <f t="shared" si="64"/>
        <v>367570.36422254558</v>
      </c>
    </row>
    <row r="108" spans="1:192">
      <c r="A108" s="48" t="s">
        <v>194</v>
      </c>
      <c r="B108" s="48" t="s">
        <v>243</v>
      </c>
      <c r="C108" s="49">
        <v>148</v>
      </c>
      <c r="D108" s="50">
        <v>0.67500000000000004</v>
      </c>
      <c r="E108" s="49">
        <v>221.24237061650399</v>
      </c>
      <c r="F108" s="49">
        <v>0.77947657247482605</v>
      </c>
      <c r="G108" s="49">
        <v>376.37644516560999</v>
      </c>
      <c r="H108" s="49">
        <v>0.79672296750856197</v>
      </c>
      <c r="I108" s="42">
        <v>6313.1</v>
      </c>
      <c r="J108" s="43">
        <v>2629.8</v>
      </c>
      <c r="K108" s="43">
        <f t="shared" si="39"/>
        <v>8942.9000000000015</v>
      </c>
      <c r="L108" s="43">
        <v>11253.1</v>
      </c>
      <c r="M108" s="43">
        <v>4687.6000000000004</v>
      </c>
      <c r="N108" s="43">
        <f t="shared" si="40"/>
        <v>15940.7</v>
      </c>
      <c r="O108" s="43">
        <v>7271.4</v>
      </c>
      <c r="P108" s="43">
        <v>3028.9</v>
      </c>
      <c r="Q108" s="43">
        <f t="shared" si="41"/>
        <v>10300.299999999999</v>
      </c>
      <c r="R108" s="43">
        <v>22713.8</v>
      </c>
      <c r="S108" s="43">
        <v>9461.6</v>
      </c>
      <c r="T108" s="43">
        <f t="shared" si="42"/>
        <v>32175.4</v>
      </c>
      <c r="U108" s="43">
        <v>40487.5</v>
      </c>
      <c r="V108" s="43">
        <v>16865.400000000001</v>
      </c>
      <c r="W108" s="43">
        <f t="shared" si="43"/>
        <v>57352.9</v>
      </c>
      <c r="X108" s="43">
        <v>26161.599999999999</v>
      </c>
      <c r="Y108" s="43">
        <v>10897.8</v>
      </c>
      <c r="Z108" s="43">
        <f t="shared" si="44"/>
        <v>37059.399999999994</v>
      </c>
      <c r="AA108" s="22">
        <v>61751.6</v>
      </c>
      <c r="AB108">
        <v>14827.5</v>
      </c>
      <c r="AC108">
        <v>76579.100000000006</v>
      </c>
      <c r="AD108">
        <v>110072.6</v>
      </c>
      <c r="AE108">
        <v>26430.1</v>
      </c>
      <c r="AF108">
        <v>136502.70000000001</v>
      </c>
      <c r="AG108">
        <v>71125.100000000006</v>
      </c>
      <c r="AH108">
        <v>17078.3</v>
      </c>
      <c r="AI108">
        <v>88203.4</v>
      </c>
      <c r="AJ108">
        <v>222176</v>
      </c>
      <c r="AK108">
        <v>53347.9</v>
      </c>
      <c r="AL108">
        <v>275524</v>
      </c>
      <c r="AM108">
        <v>396030.1</v>
      </c>
      <c r="AN108">
        <v>95093</v>
      </c>
      <c r="AO108">
        <v>491123.20000000001</v>
      </c>
      <c r="AP108">
        <v>255901.2</v>
      </c>
      <c r="AQ108">
        <v>61445.9</v>
      </c>
      <c r="AR108">
        <v>317347.09999999998</v>
      </c>
      <c r="AS108">
        <v>1385279.44</v>
      </c>
      <c r="AT108" s="22">
        <f t="shared" si="74"/>
        <v>102796.92982641001</v>
      </c>
      <c r="AU108">
        <f t="shared" si="74"/>
        <v>24683.109053062497</v>
      </c>
      <c r="AV108">
        <f t="shared" si="74"/>
        <v>127480.03887947251</v>
      </c>
      <c r="AW108">
        <f t="shared" si="74"/>
        <v>183236.14834288502</v>
      </c>
      <c r="AX108">
        <f t="shared" si="74"/>
        <v>43997.777142697494</v>
      </c>
      <c r="AY108">
        <f t="shared" si="74"/>
        <v>227233.92548558253</v>
      </c>
      <c r="AZ108">
        <f t="shared" si="74"/>
        <v>118400.84975282251</v>
      </c>
      <c r="BA108">
        <f t="shared" si="74"/>
        <v>28429.980869392501</v>
      </c>
      <c r="BB108">
        <f t="shared" si="73"/>
        <v>146830.83062221497</v>
      </c>
      <c r="BC108">
        <f t="shared" si="73"/>
        <v>369852.93791760004</v>
      </c>
      <c r="BD108">
        <f t="shared" si="73"/>
        <v>88807.4209038525</v>
      </c>
      <c r="BE108">
        <f t="shared" si="73"/>
        <v>458660.52528990002</v>
      </c>
      <c r="BF108">
        <f t="shared" si="73"/>
        <v>659265.15910269751</v>
      </c>
      <c r="BG108">
        <f t="shared" si="73"/>
        <v>158299.84078117501</v>
      </c>
      <c r="BH108">
        <f t="shared" si="73"/>
        <v>817565.16635232011</v>
      </c>
      <c r="BI108">
        <f t="shared" si="73"/>
        <v>425994.75477386999</v>
      </c>
      <c r="BJ108">
        <f t="shared" si="73"/>
        <v>102288.03578240251</v>
      </c>
      <c r="BK108">
        <f t="shared" si="73"/>
        <v>528282.79055627249</v>
      </c>
      <c r="BL108">
        <f t="shared" si="73"/>
        <v>2306053.177304694</v>
      </c>
      <c r="BM108" s="22">
        <f>-17.17-(0.1023*E108)+F108*(100-8.576-13.681)</f>
        <v>20.795752659842044</v>
      </c>
      <c r="BN108">
        <f>IF(AT108&lt;&gt;-999,AT108*$BM108, -999)</f>
        <v>2137739.5268611619</v>
      </c>
      <c r="BO108">
        <f>IF(AU108&lt;&gt;-999,AU108*$BM108, -999)</f>
        <v>513303.83074339567</v>
      </c>
      <c r="BP108" s="25">
        <f>IF(AV108&lt;&gt;-999,AV108*$BM108, -999)</f>
        <v>2651043.3576045576</v>
      </c>
      <c r="BQ108">
        <f>-19.943-(0.1023*E108)+F108*(100-8.576-13.681)</f>
        <v>18.022752659842048</v>
      </c>
      <c r="BR108">
        <f>IF(AW108&lt;&gt;-999,AW108*$BQ108, -999)</f>
        <v>3302419.7799259429</v>
      </c>
      <c r="BS108">
        <f>IF(AX108&lt;&gt;-999,AX108*$BQ108, -999)</f>
        <v>792961.05502568895</v>
      </c>
      <c r="BT108" s="25">
        <f>IF(AY108&lt;&gt;-999,AY108*$BQ108, -999)</f>
        <v>4095380.8349516322</v>
      </c>
      <c r="BU108">
        <f>-25.871-(0.1023*E108)+F108*(100-8.576-13.681)</f>
        <v>12.094752659842051</v>
      </c>
      <c r="BV108">
        <f>IF(AZ108&lt;&gt;-999,AZ108*$BU108, -999)</f>
        <v>1432028.9924755092</v>
      </c>
      <c r="BW108">
        <f>IF(BA108&lt;&gt;-999,BA108*$BU108, -999)</f>
        <v>343853.58673934359</v>
      </c>
      <c r="BX108" s="25">
        <f>IF(BB108&lt;&gt;-999,BB108*$BU108, -999)</f>
        <v>1775882.5792148521</v>
      </c>
      <c r="BY108">
        <f>-25.245-(0.1023*E108)+F108*(100-8.576-13.681)</f>
        <v>12.720752659842049</v>
      </c>
      <c r="BZ108">
        <f>IF(BC108&lt;&gt;-999,BC108*$BY108, -999)</f>
        <v>4704807.7437657071</v>
      </c>
      <c r="CA108">
        <f>IF(BD108&lt;&gt;-999,BD108*$BY108, -999)</f>
        <v>1129697.2356763941</v>
      </c>
      <c r="CB108" s="25">
        <f>IF(BE108&lt;&gt;-999,BE108*$BY108, -999)</f>
        <v>5834507.0970460465</v>
      </c>
      <c r="CC108">
        <f>-29.317-(0.1023*E108)+F108*(100-8.576-13.681)</f>
        <v>8.648752659842053</v>
      </c>
      <c r="CD108">
        <f>IF(BF108&lt;&gt;-999,BF108*$CC108, -999)</f>
        <v>5701821.2983306497</v>
      </c>
      <c r="CE108">
        <f>IF(BG108&lt;&gt;-999,BG108*$CC108, -999)</f>
        <v>1369096.1690087609</v>
      </c>
      <c r="CF108" s="25">
        <f>IF(BH108&lt;&gt;-999,BH108*$CC108, -999)</f>
        <v>7070918.9070838392</v>
      </c>
      <c r="CG108">
        <f>-38.03-(0.1023*E108)+F108*(100-8.576-13.681)</f>
        <v>-6.424734015795508E-2</v>
      </c>
      <c r="CH108">
        <f>IF(BI108&lt;&gt;-999,BI108*$CG108, -999)</f>
        <v>-27369.029915461484</v>
      </c>
      <c r="CI108">
        <f>IF(BJ108&lt;&gt;-999,BJ108*$CG108, -999)</f>
        <v>-6571.7342290010947</v>
      </c>
      <c r="CJ108" s="25">
        <f>IF(BK108&lt;&gt;-999,BK108*$CG108, -999)</f>
        <v>-33940.764144462577</v>
      </c>
      <c r="CK108" s="26">
        <f t="shared" si="45"/>
        <v>21393792.011756465</v>
      </c>
      <c r="CL108">
        <f t="shared" si="46"/>
        <v>-20.325300299992158</v>
      </c>
      <c r="CM108">
        <f t="shared" si="47"/>
        <v>37.976644370022527</v>
      </c>
      <c r="CN108">
        <f t="shared" si="48"/>
        <v>-77.620158897480465</v>
      </c>
      <c r="CO108" s="22">
        <f t="shared" si="49"/>
        <v>-40.08</v>
      </c>
      <c r="CP108">
        <f>IF(AT108&lt;&gt;-999,AT108*$CO108, -999)</f>
        <v>-4120100.947442513</v>
      </c>
      <c r="CQ108">
        <f>IF(AU108&lt;&gt;-999,AU108*$CO108, -999)</f>
        <v>-989299.01084674487</v>
      </c>
      <c r="CR108" s="27">
        <f>IF(AV108&lt;&gt;-999,AV108*$CO108, -999)</f>
        <v>-5109399.9582892582</v>
      </c>
      <c r="CS108">
        <f t="shared" si="50"/>
        <v>-42.853000000000002</v>
      </c>
      <c r="CT108">
        <f>IF(AW108&lt;&gt;-999,AW108*$CS108, -999)</f>
        <v>-7852218.6649376517</v>
      </c>
      <c r="CU108">
        <f>IF(AX108&lt;&gt;-999,AX108*$CS108, -999)</f>
        <v>-1885436.7438960157</v>
      </c>
      <c r="CV108" s="27">
        <f>IF(AY108&lt;&gt;-999,AY108*$CS108, -999)</f>
        <v>-9737655.4088336676</v>
      </c>
      <c r="CW108">
        <f t="shared" si="51"/>
        <v>-48.780999999999999</v>
      </c>
      <c r="CX108">
        <f>IF(AZ108&lt;&gt;-999,AZ108*$CO108, -999)</f>
        <v>-4745506.0580931259</v>
      </c>
      <c r="CY108">
        <f>IF(BA108&lt;&gt;-999,BA108*$CO108, -999)</f>
        <v>-1139473.6332452514</v>
      </c>
      <c r="CZ108" s="27">
        <f>IF(BB108&lt;&gt;-999,BB108*$CO108, -999)</f>
        <v>-5884979.6913383761</v>
      </c>
      <c r="DA108">
        <f t="shared" si="52"/>
        <v>-48.155000000000001</v>
      </c>
      <c r="DB108">
        <f>IF(BC108&lt;&gt;-999,BC108*$DA108, -999)</f>
        <v>-17810268.225422028</v>
      </c>
      <c r="DC108">
        <f>IF(BD108&lt;&gt;-999,BD108*$DA108, -999)</f>
        <v>-4276521.3536250172</v>
      </c>
      <c r="DD108" s="27">
        <f>IF(BE108&lt;&gt;-999,BE108*$DA108, -999)</f>
        <v>-22086797.595335137</v>
      </c>
      <c r="DE108">
        <f t="shared" si="53"/>
        <v>-52.227000000000004</v>
      </c>
      <c r="DF108">
        <f>IF(BF108&lt;&gt;-999,BF108*$DE108, -999)</f>
        <v>-34431441.464456588</v>
      </c>
      <c r="DG108">
        <f>IF(BG108&lt;&gt;-999,BG108*$DE108, -999)</f>
        <v>-8267525.7844784278</v>
      </c>
      <c r="DH108" s="27">
        <f>IF(BH108&lt;&gt;-999,BH108*$DE108, -999)</f>
        <v>-42698975.943082623</v>
      </c>
      <c r="DI108">
        <f t="shared" si="54"/>
        <v>-60.94</v>
      </c>
      <c r="DJ108">
        <f>IF(BI108&lt;&gt;-999,BI108*$DI108, -999)</f>
        <v>-25960120.355919637</v>
      </c>
      <c r="DK108">
        <f>IF(BJ108&lt;&gt;-999,BJ108*$DI108, -999)</f>
        <v>-6233432.900579609</v>
      </c>
      <c r="DL108" s="27">
        <f>IF(BK108&lt;&gt;-999,BK108*$DI108, -999)</f>
        <v>-32193553.256499246</v>
      </c>
      <c r="DM108" s="28">
        <f t="shared" si="55"/>
        <v>-117711361.85337831</v>
      </c>
      <c r="DN108" s="22">
        <f t="shared" si="56"/>
        <v>-17.170000000000002</v>
      </c>
      <c r="DO108">
        <f>IF(AT108&lt;&gt;-999,AT108*$DN108, -999)</f>
        <v>-1765023.28511946</v>
      </c>
      <c r="DP108">
        <f>IF(AU108&lt;&gt;-999,AU108*$DN108, -999)</f>
        <v>-423808.98244108312</v>
      </c>
      <c r="DQ108" s="24">
        <f>IF(AV108&lt;&gt;-999,AV108*$DN108, -999)</f>
        <v>-2188832.2675605435</v>
      </c>
      <c r="DR108">
        <f t="shared" si="57"/>
        <v>-19.943000000000001</v>
      </c>
      <c r="DS108">
        <f>IF(AW108&lt;&gt;-999,AW108*$DR108, -999)</f>
        <v>-3654278.5064021563</v>
      </c>
      <c r="DT108">
        <f>IF(AX108&lt;&gt;-999,AX108*$DR108, -999)</f>
        <v>-877447.66955681622</v>
      </c>
      <c r="DU108" s="24">
        <f>IF(AY108&lt;&gt;-999,AY108*$DR108, -999)</f>
        <v>-4531726.1759589724</v>
      </c>
      <c r="DV108">
        <f t="shared" si="58"/>
        <v>-25.870999999999999</v>
      </c>
      <c r="DW108">
        <f>IF(AZ108&lt;&gt;-999,AZ108*$DV108, -999)</f>
        <v>-3063148.383955271</v>
      </c>
      <c r="DX108">
        <f>IF(BA108&lt;&gt;-999,BA108*$DV108, -999)</f>
        <v>-735512.03507205332</v>
      </c>
      <c r="DY108" s="24">
        <f>IF(BB108&lt;&gt;-999,BB108*$DV108, -999)</f>
        <v>-3798660.4190273234</v>
      </c>
      <c r="DZ108">
        <f t="shared" si="59"/>
        <v>-25.245000000000001</v>
      </c>
      <c r="EA108">
        <f>IF(BC108&lt;&gt;-999, BC108*$DZ108, -999)</f>
        <v>-9336937.4177298136</v>
      </c>
      <c r="EB108">
        <f>IF(BD108&lt;&gt;-999, BD108*$DZ108, -999)</f>
        <v>-2241943.3407177567</v>
      </c>
      <c r="EC108" s="24">
        <f>IF(BE108&lt;&gt;-999, BE108*$DZ108, -999)</f>
        <v>-11578884.960943526</v>
      </c>
      <c r="ED108">
        <f t="shared" si="60"/>
        <v>-29.317</v>
      </c>
      <c r="EE108">
        <f>IF(BF108&lt;&gt;-999,BF108*$ED108, -999)</f>
        <v>-19327676.669413783</v>
      </c>
      <c r="EF108">
        <f>IF(BG108&lt;&gt;-999,BG108*$ED108, -999)</f>
        <v>-4640876.4321817076</v>
      </c>
      <c r="EG108" s="24">
        <f>IF(BH108&lt;&gt;-999,BH108*$ED108, -999)</f>
        <v>-23968557.981950969</v>
      </c>
      <c r="EH108">
        <f t="shared" si="61"/>
        <v>-38.03</v>
      </c>
      <c r="EI108">
        <f>IF(BI108&lt;&gt;-999,BI108*$EH108, -999)</f>
        <v>-16200580.524050277</v>
      </c>
      <c r="EJ108">
        <f>IF(BJ108&lt;&gt;-999,BJ108*$EH108, -999)</f>
        <v>-3890014.0008047675</v>
      </c>
      <c r="EK108" s="24">
        <f>IF(BK108&lt;&gt;-999,BK108*$EH108, -999)</f>
        <v>-20090594.524855044</v>
      </c>
      <c r="EL108" s="28">
        <f t="shared" si="62"/>
        <v>-66157256.330296382</v>
      </c>
      <c r="EM108" s="22">
        <f>-17.17-(0.1023*G108)+H108*(100+102.093-66.644-64.243)</f>
        <v>1.0581452839727703</v>
      </c>
      <c r="EN108">
        <f>IF(AT108&lt;&gt;-999,AT108*$EM108, -999)</f>
        <v>108774.08650269556</v>
      </c>
      <c r="EO108">
        <f>IF(AU108&lt;&gt;-999,AU108*$EM108, -999)</f>
        <v>26118.315438283673</v>
      </c>
      <c r="EP108" s="23">
        <f>IF(AV108&lt;&gt;-999,AV108*$EM108, -999)</f>
        <v>134892.40194097924</v>
      </c>
      <c r="EQ108">
        <f>-19.943-(0.1023*G108)+H108*(100+102.093-66.644-64.243)</f>
        <v>-1.7148547160272329</v>
      </c>
      <c r="ER108">
        <f>IF(AW108&lt;&gt;-999,AW108*$EQ108, -999)</f>
        <v>-314223.37313246203</v>
      </c>
      <c r="ES108">
        <f>IF(AX108&lt;&gt;-999,AX108*$EQ108, -999)</f>
        <v>-75449.795627869986</v>
      </c>
      <c r="ET108" s="23">
        <f>IF(AY108&lt;&gt;-999,AY108*$EQ108, -999)</f>
        <v>-389673.16876033205</v>
      </c>
      <c r="EU108">
        <f>-25.871-(0.1023*G108)+H108*(100+102.093-66.644-64.243)</f>
        <v>-7.6428547160272302</v>
      </c>
      <c r="EV108">
        <f>IF(AZ108&lt;&gt;-999,AZ108*$EU108, -999)</f>
        <v>-904920.4929149911</v>
      </c>
      <c r="EW108">
        <f>IF(BA108&lt;&gt;-999,BA108*$EU108, -999)</f>
        <v>-217286.2133642004</v>
      </c>
      <c r="EX108" s="23">
        <f>IF(BB108&lt;&gt;-999,BB108*$EU108, -999)</f>
        <v>-1122206.7062791912</v>
      </c>
      <c r="EY108">
        <f>-25.245-(0.1023*G108)+H108*(100+102.093-66.644-64.243)</f>
        <v>-7.0168547160272254</v>
      </c>
      <c r="EZ108">
        <f>IF(BC108&lt;&gt;-999, BC108*$EY108, -999)</f>
        <v>-2595204.3316636365</v>
      </c>
      <c r="FA108">
        <f>IF(BD108&lt;&gt;-999, BD108*$EY108, -999)</f>
        <v>-623148.77018741227</v>
      </c>
      <c r="FB108" s="23">
        <f>IF(BE108&lt;&gt;-999, BE108*$EY108, -999)</f>
        <v>-3218354.2699359595</v>
      </c>
      <c r="FC108">
        <f>-29.317-(0.1023*G108)+H108*(100+102.093-66.644-64.243)</f>
        <v>-11.088854716027228</v>
      </c>
      <c r="FD108">
        <f>IF(BF108&lt;&gt;-999,BF108*$FC108, -999)</f>
        <v>-7310495.5686283885</v>
      </c>
      <c r="FE108">
        <f>IF(BG108&lt;&gt;-999,BG108*$FC108, -999)</f>
        <v>-1755363.9359926919</v>
      </c>
      <c r="FF108" s="23">
        <f>IF(BH108&lt;&gt;-999,BH108*$FC108, -999)</f>
        <v>-9065861.3505655099</v>
      </c>
      <c r="FG108">
        <f>-38.03-(0.1023*G108)+H108*(100+102.093-66.644-64.243)</f>
        <v>-19.801854716027236</v>
      </c>
      <c r="FH108">
        <f>IF(BI108&lt;&gt;-999,BI108*$FG108, -999)</f>
        <v>-8435486.243821824</v>
      </c>
      <c r="FI108">
        <f>IF(BJ108&lt;&gt;-999,BJ108*$FG108, -999)</f>
        <v>-2025492.8237509299</v>
      </c>
      <c r="FJ108" s="23">
        <f>IF(BK108&lt;&gt;-999,BK108*$FG108, -999)</f>
        <v>-10460979.067572754</v>
      </c>
      <c r="FK108" s="28">
        <f t="shared" si="63"/>
        <v>-24122182.161172766</v>
      </c>
      <c r="FL108" s="22">
        <f t="shared" si="66"/>
        <v>10.012280000000011</v>
      </c>
      <c r="FM108">
        <f>IF(AT108&lt;&gt;-999,AT108*$FL108, -999)</f>
        <v>1029231.6445623696</v>
      </c>
      <c r="FN108">
        <f>IF(AU108&lt;&gt;-999,AU108*$FL108, -999)</f>
        <v>247134.19910979684</v>
      </c>
      <c r="FO108" s="29">
        <f>IF(AV108&lt;&gt;-999,AV108*$FL108, -999)</f>
        <v>1276365.8436721666</v>
      </c>
      <c r="FP108">
        <f t="shared" si="67"/>
        <v>7.2392800000000115</v>
      </c>
      <c r="FQ108">
        <f>IF(AW108&lt;&gt;-999,AW108*$FP108, -999)</f>
        <v>1326497.7839756827</v>
      </c>
      <c r="FR108">
        <f>IF(AX108&lt;&gt;-999,AX108*$FP108, -999)</f>
        <v>318512.2281135876</v>
      </c>
      <c r="FS108" s="29">
        <f>IF(AY108&lt;&gt;-999,AY108*$FP108, -999)</f>
        <v>1645010.0120892704</v>
      </c>
      <c r="FT108">
        <f t="shared" si="68"/>
        <v>1.3112800000000142</v>
      </c>
      <c r="FU108">
        <f>IF(AZ108&lt;&gt;-999,AZ108*$FT108, -999)</f>
        <v>155256.6662638828</v>
      </c>
      <c r="FV108">
        <f>IF(BA108&lt;&gt;-999,BA108*$FT108, -999)</f>
        <v>37279.665314417405</v>
      </c>
      <c r="FW108" s="29">
        <f>IF(BB108&lt;&gt;-999,BB108*$FT108, -999)</f>
        <v>192536.33157830013</v>
      </c>
      <c r="FX108">
        <f t="shared" si="69"/>
        <v>1.9372800000000119</v>
      </c>
      <c r="FY108">
        <f>IF(BC108&lt;&gt;-999, BC108*$FX108, -999)</f>
        <v>716508.69956901262</v>
      </c>
      <c r="FZ108">
        <f>IF(BD108&lt;&gt;-999, BD108*$FX108, -999)</f>
        <v>172044.84036861642</v>
      </c>
      <c r="GA108" s="29">
        <f>IF(BE108&lt;&gt;-999, BE108*$FX108, -999)</f>
        <v>888553.86243362294</v>
      </c>
      <c r="GB108">
        <f t="shared" si="70"/>
        <v>-2.1347199999999873</v>
      </c>
      <c r="GC108">
        <f>IF(BF108&lt;&gt;-999,BF108*$GB108, -999)</f>
        <v>-1407346.5204397021</v>
      </c>
      <c r="GD108">
        <f>IF(BG108&lt;&gt;-999,BG108*$GB108, -999)</f>
        <v>-337925.83611238789</v>
      </c>
      <c r="GE108" s="29">
        <f>IF(BH108&lt;&gt;-999,BH108*$GB108, -999)</f>
        <v>-1745272.7119156143</v>
      </c>
      <c r="GF108">
        <f t="shared" si="71"/>
        <v>-10.847719999999988</v>
      </c>
      <c r="GG108">
        <f>IF(BI108&lt;&gt;-999,BI108*$GF108, -999)</f>
        <v>-4621071.8212556001</v>
      </c>
      <c r="GH108">
        <f>IF(BJ108&lt;&gt;-999,BJ108*$GF108, -999)</f>
        <v>-1109591.9715174821</v>
      </c>
      <c r="GI108" s="29">
        <f>IF(BK108&lt;&gt;-999,BK108*$GF108, -999)</f>
        <v>-5730663.7927730819</v>
      </c>
      <c r="GJ108" s="30">
        <f t="shared" si="64"/>
        <v>-3473470.4549153363</v>
      </c>
    </row>
    <row r="109" spans="1:192">
      <c r="A109" s="48" t="s">
        <v>178</v>
      </c>
      <c r="B109" s="48" t="s">
        <v>244</v>
      </c>
      <c r="C109" s="49">
        <v>118</v>
      </c>
      <c r="D109" s="50">
        <v>0.66700000000000004</v>
      </c>
      <c r="E109" s="49">
        <v>246.42121993474001</v>
      </c>
      <c r="F109" s="49">
        <v>0.77796503558806296</v>
      </c>
      <c r="G109" s="49">
        <v>259.82218691861499</v>
      </c>
      <c r="H109" s="49">
        <v>0.80363287411856699</v>
      </c>
      <c r="I109" s="42">
        <v>45310.9</v>
      </c>
      <c r="J109" s="43">
        <v>-999</v>
      </c>
      <c r="K109" s="43">
        <f t="shared" si="39"/>
        <v>45310.9</v>
      </c>
      <c r="L109" s="43">
        <v>25260.1</v>
      </c>
      <c r="M109" s="43">
        <v>-999</v>
      </c>
      <c r="N109" s="43">
        <f t="shared" si="40"/>
        <v>25260.1</v>
      </c>
      <c r="O109" s="43">
        <v>46104.5</v>
      </c>
      <c r="P109" s="43">
        <v>-999</v>
      </c>
      <c r="Q109" s="43">
        <f t="shared" si="41"/>
        <v>46104.5</v>
      </c>
      <c r="R109" s="43">
        <v>96980.2</v>
      </c>
      <c r="S109" s="43">
        <v>-999</v>
      </c>
      <c r="T109" s="43">
        <f t="shared" si="42"/>
        <v>96980.2</v>
      </c>
      <c r="U109" s="43">
        <v>54064.9</v>
      </c>
      <c r="V109" s="43">
        <v>-999</v>
      </c>
      <c r="W109" s="43">
        <f t="shared" si="43"/>
        <v>54064.9</v>
      </c>
      <c r="X109" s="43">
        <v>98678.6</v>
      </c>
      <c r="Y109" s="43">
        <v>-999</v>
      </c>
      <c r="Z109" s="43">
        <f t="shared" si="44"/>
        <v>98678.6</v>
      </c>
      <c r="AA109" s="22">
        <v>1948115.7</v>
      </c>
      <c r="AB109">
        <v>-999</v>
      </c>
      <c r="AC109">
        <v>1948115.7</v>
      </c>
      <c r="AD109">
        <v>1086042.7</v>
      </c>
      <c r="AE109">
        <v>-999</v>
      </c>
      <c r="AF109">
        <v>1086042.7</v>
      </c>
      <c r="AG109">
        <v>1982233.9</v>
      </c>
      <c r="AH109">
        <v>-999</v>
      </c>
      <c r="AI109">
        <v>1982233.9</v>
      </c>
      <c r="AJ109">
        <v>4169602</v>
      </c>
      <c r="AK109">
        <v>-999</v>
      </c>
      <c r="AL109">
        <v>4169602</v>
      </c>
      <c r="AM109">
        <v>2324485.1</v>
      </c>
      <c r="AN109">
        <v>-999</v>
      </c>
      <c r="AO109">
        <v>2324485.1</v>
      </c>
      <c r="AP109">
        <v>4242626.0999999996</v>
      </c>
      <c r="AQ109">
        <v>-999</v>
      </c>
      <c r="AR109">
        <v>4242626.0999999996</v>
      </c>
      <c r="AS109">
        <v>15753105.59</v>
      </c>
      <c r="AT109" s="22">
        <f t="shared" si="74"/>
        <v>3242997.9612937574</v>
      </c>
      <c r="AU109">
        <f t="shared" si="74"/>
        <v>-999</v>
      </c>
      <c r="AV109">
        <f t="shared" si="74"/>
        <v>3242997.9612937574</v>
      </c>
      <c r="AW109">
        <f t="shared" si="74"/>
        <v>1807918.4218770824</v>
      </c>
      <c r="AX109">
        <f t="shared" si="74"/>
        <v>-999</v>
      </c>
      <c r="AY109">
        <f t="shared" si="74"/>
        <v>1807918.4218770824</v>
      </c>
      <c r="AZ109">
        <f t="shared" si="74"/>
        <v>3299793.9991487022</v>
      </c>
      <c r="BA109">
        <f t="shared" si="74"/>
        <v>-999</v>
      </c>
      <c r="BB109">
        <f t="shared" si="73"/>
        <v>3299793.9991487022</v>
      </c>
      <c r="BC109">
        <f t="shared" si="73"/>
        <v>6941071.7163289497</v>
      </c>
      <c r="BD109">
        <f t="shared" si="73"/>
        <v>-999</v>
      </c>
      <c r="BE109">
        <f t="shared" si="73"/>
        <v>6941071.7163289497</v>
      </c>
      <c r="BF109">
        <f t="shared" si="73"/>
        <v>3869534.2583388225</v>
      </c>
      <c r="BG109">
        <f t="shared" si="73"/>
        <v>-999</v>
      </c>
      <c r="BH109">
        <f t="shared" si="73"/>
        <v>3869534.2583388225</v>
      </c>
      <c r="BI109">
        <f t="shared" si="73"/>
        <v>7062633.8018997973</v>
      </c>
      <c r="BJ109">
        <f t="shared" si="73"/>
        <v>-999</v>
      </c>
      <c r="BK109">
        <f t="shared" si="73"/>
        <v>7062633.8018997973</v>
      </c>
      <c r="BL109">
        <f t="shared" si="73"/>
        <v>26223950.308708716</v>
      </c>
      <c r="BM109" s="22">
        <f>-17.17-(0.1023*E109)+F109*(100-8.576-13.681)</f>
        <v>18.102444962398877</v>
      </c>
      <c r="BN109">
        <f>IF(AT109&lt;&gt;-999,AT109*$BM109, -999)</f>
        <v>58706192.107492007</v>
      </c>
      <c r="BO109">
        <f>IF(AU109&lt;&gt;-999,AU109*$BM109, -999)</f>
        <v>-999</v>
      </c>
      <c r="BP109" s="25">
        <f>IF(AV109&lt;&gt;-999,AV109*$BM109, -999)</f>
        <v>58706192.107492007</v>
      </c>
      <c r="BQ109">
        <f>-19.943-(0.1023*E109)+F109*(100-8.576-13.681)</f>
        <v>15.329444962398874</v>
      </c>
      <c r="BR109">
        <f>IF(AW109&lt;&gt;-999,AW109*$BQ109, -999)</f>
        <v>27714385.944671765</v>
      </c>
      <c r="BS109">
        <f>IF(AX109&lt;&gt;-999,AX109*$BQ109, -999)</f>
        <v>-999</v>
      </c>
      <c r="BT109" s="25">
        <f>IF(AY109&lt;&gt;-999,AY109*$BQ109, -999)</f>
        <v>27714385.944671765</v>
      </c>
      <c r="BU109">
        <f>-25.871-(0.1023*E109)+F109*(100-8.576-13.681)</f>
        <v>9.4014449623988767</v>
      </c>
      <c r="BV109">
        <f>IF(AZ109&lt;&gt;-999,AZ109*$BU109, -999)</f>
        <v>31022831.67025061</v>
      </c>
      <c r="BW109">
        <f>IF(BA109&lt;&gt;-999,BA109*$BU109, -999)</f>
        <v>-999</v>
      </c>
      <c r="BX109" s="25">
        <f>IF(BB109&lt;&gt;-999,BB109*$BU109, -999)</f>
        <v>31022831.67025061</v>
      </c>
      <c r="BY109">
        <f>-25.245-(0.1023*E109)+F109*(100-8.576-13.681)</f>
        <v>10.027444962398882</v>
      </c>
      <c r="BZ109">
        <f>IF(BC109&lt;&gt;-999,BC109*$BY109, -999)</f>
        <v>69601214.615552083</v>
      </c>
      <c r="CA109">
        <f>IF(BD109&lt;&gt;-999,BD109*$BY109, -999)</f>
        <v>-999</v>
      </c>
      <c r="CB109" s="25">
        <f>IF(BE109&lt;&gt;-999,BE109*$BY109, -999)</f>
        <v>69601214.615552083</v>
      </c>
      <c r="CC109">
        <f>-29.317-(0.1023*E109)+F109*(100-8.576-13.681)</f>
        <v>5.9554449623988788</v>
      </c>
      <c r="CD109">
        <f>IF(BF109&lt;&gt;-999,BF109*$CC109, -999)</f>
        <v>23044798.305653822</v>
      </c>
      <c r="CE109">
        <f>IF(BG109&lt;&gt;-999,BG109*$CC109, -999)</f>
        <v>-999</v>
      </c>
      <c r="CF109" s="25">
        <f>IF(BH109&lt;&gt;-999,BH109*$CC109, -999)</f>
        <v>23044798.305653822</v>
      </c>
      <c r="CG109">
        <f>-38.03-(0.1023*E109)+F109*(100-8.576-13.681)</f>
        <v>-2.7575550376011222</v>
      </c>
      <c r="CH109">
        <f>IF(BI109&lt;&gt;-999,BI109*$CG109, -999)</f>
        <v>-19475601.419160753</v>
      </c>
      <c r="CI109">
        <f>IF(BJ109&lt;&gt;-999,BJ109*$CG109, -999)</f>
        <v>-999</v>
      </c>
      <c r="CJ109" s="25">
        <f>IF(BK109&lt;&gt;-999,BK109*$CG109, -999)</f>
        <v>-19475601.419160753</v>
      </c>
      <c r="CK109" s="26">
        <f t="shared" si="45"/>
        <v>190613821.22445953</v>
      </c>
      <c r="CL109">
        <f t="shared" si="46"/>
        <v>-17.097094078962577</v>
      </c>
      <c r="CM109">
        <f t="shared" si="47"/>
        <v>41.318127584114059</v>
      </c>
      <c r="CN109">
        <f t="shared" si="48"/>
        <v>-74.503272964934681</v>
      </c>
      <c r="CO109" s="22">
        <f t="shared" si="49"/>
        <v>-40.08</v>
      </c>
      <c r="CP109">
        <f>IF(AT109&lt;&gt;-999,AT109*$CO109, -999)</f>
        <v>-129979358.28865379</v>
      </c>
      <c r="CQ109">
        <f>IF(AU109&lt;&gt;-999,AU109*$CO109, -999)</f>
        <v>-999</v>
      </c>
      <c r="CR109" s="27">
        <f>IF(AV109&lt;&gt;-999,AV109*$CO109, -999)</f>
        <v>-129979358.28865379</v>
      </c>
      <c r="CS109">
        <f t="shared" si="50"/>
        <v>-42.853000000000002</v>
      </c>
      <c r="CT109">
        <f>IF(AW109&lt;&gt;-999,AW109*$CS109, -999)</f>
        <v>-77474728.13269861</v>
      </c>
      <c r="CU109">
        <f>IF(AX109&lt;&gt;-999,AX109*$CS109, -999)</f>
        <v>-999</v>
      </c>
      <c r="CV109" s="27">
        <f>IF(AY109&lt;&gt;-999,AY109*$CS109, -999)</f>
        <v>-77474728.13269861</v>
      </c>
      <c r="CW109">
        <f t="shared" si="51"/>
        <v>-48.780999999999999</v>
      </c>
      <c r="CX109">
        <f>IF(AZ109&lt;&gt;-999,AZ109*$CO109, -999)</f>
        <v>-132255743.48587999</v>
      </c>
      <c r="CY109">
        <f>IF(BA109&lt;&gt;-999,BA109*$CO109, -999)</f>
        <v>-999</v>
      </c>
      <c r="CZ109" s="27">
        <f>IF(BB109&lt;&gt;-999,BB109*$CO109, -999)</f>
        <v>-132255743.48587999</v>
      </c>
      <c r="DA109">
        <f t="shared" si="52"/>
        <v>-48.155000000000001</v>
      </c>
      <c r="DB109">
        <f>IF(BC109&lt;&gt;-999,BC109*$DA109, -999)</f>
        <v>-334247308.49982059</v>
      </c>
      <c r="DC109">
        <f>IF(BD109&lt;&gt;-999,BD109*$DA109, -999)</f>
        <v>-999</v>
      </c>
      <c r="DD109" s="27">
        <f>IF(BE109&lt;&gt;-999,BE109*$DA109, -999)</f>
        <v>-334247308.49982059</v>
      </c>
      <c r="DE109">
        <f t="shared" si="53"/>
        <v>-52.227000000000004</v>
      </c>
      <c r="DF109">
        <f>IF(BF109&lt;&gt;-999,BF109*$DE109, -999)</f>
        <v>-202094165.7102617</v>
      </c>
      <c r="DG109">
        <f>IF(BG109&lt;&gt;-999,BG109*$DE109, -999)</f>
        <v>-999</v>
      </c>
      <c r="DH109" s="27">
        <f>IF(BH109&lt;&gt;-999,BH109*$DE109, -999)</f>
        <v>-202094165.7102617</v>
      </c>
      <c r="DI109">
        <f t="shared" si="54"/>
        <v>-60.94</v>
      </c>
      <c r="DJ109">
        <f>IF(BI109&lt;&gt;-999,BI109*$DI109, -999)</f>
        <v>-430396903.88777363</v>
      </c>
      <c r="DK109">
        <f>IF(BJ109&lt;&gt;-999,BJ109*$DI109, -999)</f>
        <v>-999</v>
      </c>
      <c r="DL109" s="27">
        <f>IF(BK109&lt;&gt;-999,BK109*$DI109, -999)</f>
        <v>-430396903.88777363</v>
      </c>
      <c r="DM109" s="28">
        <f t="shared" si="55"/>
        <v>-1306448208.0050883</v>
      </c>
      <c r="DN109" s="22">
        <f t="shared" si="56"/>
        <v>-17.170000000000002</v>
      </c>
      <c r="DO109">
        <f>IF(AT109&lt;&gt;-999,AT109*$DN109, -999)</f>
        <v>-55682274.995413817</v>
      </c>
      <c r="DP109">
        <f>IF(AU109&lt;&gt;-999,AU109*$DN109, -999)</f>
        <v>-999</v>
      </c>
      <c r="DQ109" s="24">
        <f>IF(AV109&lt;&gt;-999,AV109*$DN109, -999)</f>
        <v>-55682274.995413817</v>
      </c>
      <c r="DR109">
        <f t="shared" si="57"/>
        <v>-19.943000000000001</v>
      </c>
      <c r="DS109">
        <f>IF(AW109&lt;&gt;-999,AW109*$DR109, -999)</f>
        <v>-36055317.087494656</v>
      </c>
      <c r="DT109">
        <f>IF(AX109&lt;&gt;-999,AX109*$DR109, -999)</f>
        <v>-999</v>
      </c>
      <c r="DU109" s="24">
        <f>IF(AY109&lt;&gt;-999,AY109*$DR109, -999)</f>
        <v>-36055317.087494656</v>
      </c>
      <c r="DV109">
        <f t="shared" si="58"/>
        <v>-25.870999999999999</v>
      </c>
      <c r="DW109">
        <f>IF(AZ109&lt;&gt;-999,AZ109*$DV109, -999)</f>
        <v>-85368970.55197607</v>
      </c>
      <c r="DX109">
        <f>IF(BA109&lt;&gt;-999,BA109*$DV109, -999)</f>
        <v>-999</v>
      </c>
      <c r="DY109" s="24">
        <f>IF(BB109&lt;&gt;-999,BB109*$DV109, -999)</f>
        <v>-85368970.55197607</v>
      </c>
      <c r="DZ109">
        <f t="shared" si="59"/>
        <v>-25.245000000000001</v>
      </c>
      <c r="EA109">
        <f>IF(BC109&lt;&gt;-999, BC109*$DZ109, -999)</f>
        <v>-175227355.47872433</v>
      </c>
      <c r="EB109">
        <f>IF(BD109&lt;&gt;-999, BD109*$DZ109, -999)</f>
        <v>-999</v>
      </c>
      <c r="EC109" s="24">
        <f>IF(BE109&lt;&gt;-999, BE109*$DZ109, -999)</f>
        <v>-175227355.47872433</v>
      </c>
      <c r="ED109">
        <f t="shared" si="60"/>
        <v>-29.317</v>
      </c>
      <c r="EE109">
        <f>IF(BF109&lt;&gt;-999,BF109*$ED109, -999)</f>
        <v>-113443135.85171926</v>
      </c>
      <c r="EF109">
        <f>IF(BG109&lt;&gt;-999,BG109*$ED109, -999)</f>
        <v>-999</v>
      </c>
      <c r="EG109" s="24">
        <f>IF(BH109&lt;&gt;-999,BH109*$ED109, -999)</f>
        <v>-113443135.85171926</v>
      </c>
      <c r="EH109">
        <f t="shared" si="61"/>
        <v>-38.03</v>
      </c>
      <c r="EI109">
        <f>IF(BI109&lt;&gt;-999,BI109*$EH109, -999)</f>
        <v>-268591963.48624933</v>
      </c>
      <c r="EJ109">
        <f>IF(BJ109&lt;&gt;-999,BJ109*$EH109, -999)</f>
        <v>-999</v>
      </c>
      <c r="EK109" s="24">
        <f>IF(BK109&lt;&gt;-999,BK109*$EH109, -999)</f>
        <v>-268591963.48624933</v>
      </c>
      <c r="EL109" s="28">
        <f t="shared" si="62"/>
        <v>-734369017.45157743</v>
      </c>
      <c r="EM109" s="22">
        <f>-17.17-(0.1023*G109)+H109*(100+102.093-66.644-64.243)</f>
        <v>13.473672712712386</v>
      </c>
      <c r="EN109">
        <f>IF(AT109&lt;&gt;-999,AT109*$EM109, -999)</f>
        <v>43695093.138465598</v>
      </c>
      <c r="EO109">
        <f>IF(AU109&lt;&gt;-999,AU109*$EM109, -999)</f>
        <v>-999</v>
      </c>
      <c r="EP109" s="23">
        <f>IF(AV109&lt;&gt;-999,AV109*$EM109, -999)</f>
        <v>43695093.138465598</v>
      </c>
      <c r="EQ109">
        <f>-19.943-(0.1023*G109)+H109*(100+102.093-66.644-64.243)</f>
        <v>10.700672712712382</v>
      </c>
      <c r="ER109">
        <f>IF(AW109&lt;&gt;-999,AW109*$EQ109, -999)</f>
        <v>19345943.323790129</v>
      </c>
      <c r="ES109">
        <f>IF(AX109&lt;&gt;-999,AX109*$EQ109, -999)</f>
        <v>-999</v>
      </c>
      <c r="ET109" s="23">
        <f>IF(AY109&lt;&gt;-999,AY109*$EQ109, -999)</f>
        <v>19345943.323790129</v>
      </c>
      <c r="EU109">
        <f>-25.871-(0.1023*G109)+H109*(100+102.093-66.644-64.243)</f>
        <v>4.7726727127123851</v>
      </c>
      <c r="EV109">
        <f>IF(AZ109&lt;&gt;-999,AZ109*$EU109, -999)</f>
        <v>15748836.777309086</v>
      </c>
      <c r="EW109">
        <f>IF(BA109&lt;&gt;-999,BA109*$EU109, -999)</f>
        <v>-999</v>
      </c>
      <c r="EX109" s="23">
        <f>IF(BB109&lt;&gt;-999,BB109*$EU109, -999)</f>
        <v>15748836.777309086</v>
      </c>
      <c r="EY109">
        <f>-25.245-(0.1023*G109)+H109*(100+102.093-66.644-64.243)</f>
        <v>5.3986727127123828</v>
      </c>
      <c r="EZ109">
        <f>IF(BC109&lt;&gt;-999, BC109*$EY109, -999)</f>
        <v>37472574.471924804</v>
      </c>
      <c r="FA109">
        <f>IF(BD109&lt;&gt;-999, BD109*$EY109, -999)</f>
        <v>-999</v>
      </c>
      <c r="FB109" s="23">
        <f>IF(BE109&lt;&gt;-999, BE109*$EY109, -999)</f>
        <v>37472574.471924804</v>
      </c>
      <c r="FC109">
        <f>-29.317-(0.1023*G109)+H109*(100+102.093-66.644-64.243)</f>
        <v>1.3266727127123801</v>
      </c>
      <c r="FD109">
        <f>IF(BF109&lt;&gt;-999,BF109*$FC109, -999)</f>
        <v>5133605.5114438534</v>
      </c>
      <c r="FE109">
        <f>IF(BG109&lt;&gt;-999,BG109*$FC109, -999)</f>
        <v>-999</v>
      </c>
      <c r="FF109" s="23">
        <f>IF(BH109&lt;&gt;-999,BH109*$FC109, -999)</f>
        <v>5133605.5114438534</v>
      </c>
      <c r="FG109">
        <f>-38.03-(0.1023*G109)+H109*(100+102.093-66.644-64.243)</f>
        <v>-7.3863272872876138</v>
      </c>
      <c r="FH109">
        <f>IF(BI109&lt;&gt;-999,BI109*$FG109, -999)</f>
        <v>-52166924.771092333</v>
      </c>
      <c r="FI109">
        <f>IF(BJ109&lt;&gt;-999,BJ109*$FG109, -999)</f>
        <v>-999</v>
      </c>
      <c r="FJ109" s="23">
        <f>IF(BK109&lt;&gt;-999,BK109*$FG109, -999)</f>
        <v>-52166924.771092333</v>
      </c>
      <c r="FK109" s="28">
        <f t="shared" si="63"/>
        <v>69229128.451841146</v>
      </c>
      <c r="FL109" s="22">
        <f t="shared" si="66"/>
        <v>10.012280000000011</v>
      </c>
      <c r="FM109">
        <f>IF(AT109&lt;&gt;-999,AT109*$FL109, -999)</f>
        <v>32469803.627902299</v>
      </c>
      <c r="FN109">
        <f>IF(AU109&lt;&gt;-999,AU109*$FL109, -999)</f>
        <v>-999</v>
      </c>
      <c r="FO109" s="29">
        <f>IF(AV109&lt;&gt;-999,AV109*$FL109, -999)</f>
        <v>32469803.627902299</v>
      </c>
      <c r="FP109">
        <f t="shared" si="67"/>
        <v>7.2392800000000115</v>
      </c>
      <c r="FQ109">
        <f>IF(AW109&lt;&gt;-999,AW109*$FP109, -999)</f>
        <v>13088027.673126346</v>
      </c>
      <c r="FR109">
        <f>IF(AX109&lt;&gt;-999,AX109*$FP109, -999)</f>
        <v>-999</v>
      </c>
      <c r="FS109" s="29">
        <f>IF(AY109&lt;&gt;-999,AY109*$FP109, -999)</f>
        <v>13088027.673126346</v>
      </c>
      <c r="FT109">
        <f t="shared" si="68"/>
        <v>1.3112800000000142</v>
      </c>
      <c r="FU109">
        <f>IF(AZ109&lt;&gt;-999,AZ109*$FT109, -999)</f>
        <v>4326953.8752037575</v>
      </c>
      <c r="FV109">
        <f>IF(BA109&lt;&gt;-999,BA109*$FT109, -999)</f>
        <v>-999</v>
      </c>
      <c r="FW109" s="29">
        <f>IF(BB109&lt;&gt;-999,BB109*$FT109, -999)</f>
        <v>4326953.8752037575</v>
      </c>
      <c r="FX109">
        <f t="shared" si="69"/>
        <v>1.9372800000000119</v>
      </c>
      <c r="FY109">
        <f>IF(BC109&lt;&gt;-999, BC109*$FX109, -999)</f>
        <v>13446799.414609831</v>
      </c>
      <c r="FZ109">
        <f>IF(BD109&lt;&gt;-999, BD109*$FX109, -999)</f>
        <v>-999</v>
      </c>
      <c r="GA109" s="29">
        <f>IF(BE109&lt;&gt;-999, BE109*$FX109, -999)</f>
        <v>13446799.414609831</v>
      </c>
      <c r="GB109">
        <f t="shared" si="70"/>
        <v>-2.1347199999999873</v>
      </c>
      <c r="GC109">
        <f>IF(BF109&lt;&gt;-999,BF109*$GB109, -999)</f>
        <v>-8260372.1719610021</v>
      </c>
      <c r="GD109">
        <f>IF(BG109&lt;&gt;-999,BG109*$GB109, -999)</f>
        <v>-999</v>
      </c>
      <c r="GE109" s="29">
        <f>IF(BH109&lt;&gt;-999,BH109*$GB109, -999)</f>
        <v>-8260372.1719610021</v>
      </c>
      <c r="GF109">
        <f t="shared" si="71"/>
        <v>-10.847719999999988</v>
      </c>
      <c r="GG109">
        <f>IF(BI109&lt;&gt;-999,BI109*$GF109, -999)</f>
        <v>-76613473.945544392</v>
      </c>
      <c r="GH109">
        <f>IF(BJ109&lt;&gt;-999,BJ109*$GF109, -999)</f>
        <v>-999</v>
      </c>
      <c r="GI109" s="29">
        <f>IF(BK109&lt;&gt;-999,BK109*$GF109, -999)</f>
        <v>-76613473.945544392</v>
      </c>
      <c r="GJ109" s="30">
        <f t="shared" si="64"/>
        <v>-21542261.526663162</v>
      </c>
    </row>
    <row r="110" spans="1:192">
      <c r="A110" s="48" t="s">
        <v>153</v>
      </c>
      <c r="B110" s="48" t="s">
        <v>245</v>
      </c>
      <c r="C110" s="49">
        <v>119</v>
      </c>
      <c r="D110" s="50">
        <v>0.66700000000000004</v>
      </c>
      <c r="E110" s="49">
        <v>242.421233061072</v>
      </c>
      <c r="F110" s="49">
        <v>0.76882445139162903</v>
      </c>
      <c r="G110" s="49">
        <v>193.23111286842101</v>
      </c>
      <c r="H110" s="49">
        <v>0.80978291116919798</v>
      </c>
      <c r="I110" s="42">
        <v>16532.8</v>
      </c>
      <c r="J110" s="43">
        <v>-999</v>
      </c>
      <c r="K110" s="43">
        <f t="shared" si="39"/>
        <v>16532.8</v>
      </c>
      <c r="L110" s="43">
        <v>11159.8</v>
      </c>
      <c r="M110" s="43">
        <v>-999</v>
      </c>
      <c r="N110" s="43">
        <f t="shared" si="40"/>
        <v>11159.8</v>
      </c>
      <c r="O110" s="43">
        <v>15661.8</v>
      </c>
      <c r="P110" s="43">
        <v>-999</v>
      </c>
      <c r="Q110" s="43">
        <f t="shared" si="41"/>
        <v>15661.8</v>
      </c>
      <c r="R110" s="43">
        <v>22282.5</v>
      </c>
      <c r="S110" s="43">
        <v>-999</v>
      </c>
      <c r="T110" s="43">
        <f t="shared" si="42"/>
        <v>22282.5</v>
      </c>
      <c r="U110" s="43">
        <v>15040.9</v>
      </c>
      <c r="V110" s="43">
        <v>-999</v>
      </c>
      <c r="W110" s="43">
        <f t="shared" si="43"/>
        <v>15040.9</v>
      </c>
      <c r="X110" s="43">
        <v>21108.5</v>
      </c>
      <c r="Y110" s="43">
        <v>-999</v>
      </c>
      <c r="Z110" s="43">
        <f t="shared" si="44"/>
        <v>21108.5</v>
      </c>
      <c r="AA110" s="22">
        <v>305413.5</v>
      </c>
      <c r="AB110">
        <v>-999</v>
      </c>
      <c r="AC110">
        <v>305413.5</v>
      </c>
      <c r="AD110">
        <v>206156.6</v>
      </c>
      <c r="AE110">
        <v>-999</v>
      </c>
      <c r="AF110">
        <v>206156.6</v>
      </c>
      <c r="AG110">
        <v>289322.40000000002</v>
      </c>
      <c r="AH110">
        <v>-999</v>
      </c>
      <c r="AI110">
        <v>289322.40000000002</v>
      </c>
      <c r="AJ110">
        <v>411628.9</v>
      </c>
      <c r="AK110">
        <v>-999</v>
      </c>
      <c r="AL110">
        <v>411628.9</v>
      </c>
      <c r="AM110">
        <v>277852.79999999999</v>
      </c>
      <c r="AN110">
        <v>-999</v>
      </c>
      <c r="AO110">
        <v>277852.79999999999</v>
      </c>
      <c r="AP110">
        <v>389941.7</v>
      </c>
      <c r="AQ110">
        <v>-999</v>
      </c>
      <c r="AR110">
        <v>389941.7</v>
      </c>
      <c r="AS110">
        <v>1880315.85</v>
      </c>
      <c r="AT110" s="22">
        <f t="shared" si="74"/>
        <v>508417.11190541246</v>
      </c>
      <c r="AU110">
        <f t="shared" si="74"/>
        <v>-999</v>
      </c>
      <c r="AV110">
        <f t="shared" si="74"/>
        <v>508417.11190541246</v>
      </c>
      <c r="AW110">
        <f t="shared" si="74"/>
        <v>343185.691438785</v>
      </c>
      <c r="AX110">
        <f t="shared" si="74"/>
        <v>-999</v>
      </c>
      <c r="AY110">
        <f t="shared" si="74"/>
        <v>343185.691438785</v>
      </c>
      <c r="AZ110">
        <f t="shared" si="74"/>
        <v>481630.50754974008</v>
      </c>
      <c r="BA110">
        <f t="shared" si="74"/>
        <v>-999</v>
      </c>
      <c r="BB110">
        <f t="shared" si="73"/>
        <v>481630.50754974008</v>
      </c>
      <c r="BC110">
        <f t="shared" si="73"/>
        <v>685232.23929132754</v>
      </c>
      <c r="BD110">
        <f t="shared" si="73"/>
        <v>-999</v>
      </c>
      <c r="BE110">
        <f t="shared" si="73"/>
        <v>685232.23929132754</v>
      </c>
      <c r="BF110">
        <f t="shared" si="73"/>
        <v>462537.24249527999</v>
      </c>
      <c r="BG110">
        <f t="shared" si="73"/>
        <v>-999</v>
      </c>
      <c r="BH110">
        <f t="shared" si="73"/>
        <v>462537.24249527999</v>
      </c>
      <c r="BI110">
        <f t="shared" si="73"/>
        <v>649129.8941451076</v>
      </c>
      <c r="BJ110">
        <f t="shared" si="73"/>
        <v>-999</v>
      </c>
      <c r="BK110">
        <f t="shared" si="73"/>
        <v>649129.8941451076</v>
      </c>
      <c r="BL110">
        <f t="shared" si="73"/>
        <v>3130132.6035914286</v>
      </c>
      <c r="BM110" s="22">
        <f>-17.17-(0.1023*E110)+F110*(100-8.576-13.681)</f>
        <v>17.801027182391756</v>
      </c>
      <c r="BN110">
        <f>IF(AT110&lt;&gt;-999,AT110*$BM110, -999)</f>
        <v>9050346.8290213589</v>
      </c>
      <c r="BO110">
        <f>IF(AU110&lt;&gt;-999,AU110*$BM110, -999)</f>
        <v>-999</v>
      </c>
      <c r="BP110" s="25">
        <f>IF(AV110&lt;&gt;-999,AV110*$BM110, -999)</f>
        <v>9050346.8290213589</v>
      </c>
      <c r="BQ110">
        <f>-19.943-(0.1023*E110)+F110*(100-8.576-13.681)</f>
        <v>15.028027182391753</v>
      </c>
      <c r="BR110">
        <f>IF(AW110&lt;&gt;-999,AW110*$BQ110, -999)</f>
        <v>5157403.8995499695</v>
      </c>
      <c r="BS110">
        <f>IF(AX110&lt;&gt;-999,AX110*$BQ110, -999)</f>
        <v>-999</v>
      </c>
      <c r="BT110" s="25">
        <f>IF(AY110&lt;&gt;-999,AY110*$BQ110, -999)</f>
        <v>5157403.8995499695</v>
      </c>
      <c r="BU110">
        <f>-25.871-(0.1023*E110)+F110*(100-8.576-13.681)</f>
        <v>9.1000271823917558</v>
      </c>
      <c r="BV110">
        <f>IF(AZ110&lt;&gt;-999,AZ110*$BU110, -999)</f>
        <v>4382850.7105717724</v>
      </c>
      <c r="BW110">
        <f>IF(BA110&lt;&gt;-999,BA110*$BU110, -999)</f>
        <v>-999</v>
      </c>
      <c r="BX110" s="25">
        <f>IF(BB110&lt;&gt;-999,BB110*$BU110, -999)</f>
        <v>4382850.7105717724</v>
      </c>
      <c r="BY110">
        <f>-25.245-(0.1023*E110)+F110*(100-8.576-13.681)</f>
        <v>9.7260271823917535</v>
      </c>
      <c r="BZ110">
        <f>IF(BC110&lt;&gt;-999,BC110*$BY110, -999)</f>
        <v>6664587.3855986223</v>
      </c>
      <c r="CA110">
        <f>IF(BD110&lt;&gt;-999,BD110*$BY110, -999)</f>
        <v>-999</v>
      </c>
      <c r="CB110" s="25">
        <f>IF(BE110&lt;&gt;-999,BE110*$BY110, -999)</f>
        <v>6664587.3855986223</v>
      </c>
      <c r="CC110">
        <f>-29.317-(0.1023*E110)+F110*(100-8.576-13.681)</f>
        <v>5.6540271823917507</v>
      </c>
      <c r="CD110">
        <f>IF(BF110&lt;&gt;-999,BF110*$CC110, -999)</f>
        <v>2615198.1419368377</v>
      </c>
      <c r="CE110">
        <f>IF(BG110&lt;&gt;-999,BG110*$CC110, -999)</f>
        <v>-999</v>
      </c>
      <c r="CF110" s="25">
        <f>IF(BH110&lt;&gt;-999,BH110*$CC110, -999)</f>
        <v>2615198.1419368377</v>
      </c>
      <c r="CG110">
        <f>-38.03-(0.1023*E110)+F110*(100-8.576-13.681)</f>
        <v>-3.0589728176082431</v>
      </c>
      <c r="CH110">
        <f>IF(BI110&lt;&gt;-999,BI110*$CG110, -999)</f>
        <v>-1985670.7012868004</v>
      </c>
      <c r="CI110">
        <f>IF(BJ110&lt;&gt;-999,BJ110*$CG110, -999)</f>
        <v>-999</v>
      </c>
      <c r="CJ110" s="25">
        <f>IF(BK110&lt;&gt;-999,BK110*$CG110, -999)</f>
        <v>-1985670.7012868004</v>
      </c>
      <c r="CK110" s="26">
        <f t="shared" si="45"/>
        <v>25884716.265391763</v>
      </c>
      <c r="CL110">
        <f t="shared" si="46"/>
        <v>-18.097215844324722</v>
      </c>
      <c r="CM110">
        <f t="shared" si="47"/>
        <v>41.012506690827742</v>
      </c>
      <c r="CN110">
        <f t="shared" si="48"/>
        <v>-76.18589905303655</v>
      </c>
      <c r="CO110" s="22">
        <f t="shared" si="49"/>
        <v>-40.08</v>
      </c>
      <c r="CP110">
        <f>IF(AT110&lt;&gt;-999,AT110*$CO110, -999)</f>
        <v>-20377357.84516893</v>
      </c>
      <c r="CQ110">
        <f>IF(AU110&lt;&gt;-999,AU110*$CO110, -999)</f>
        <v>-999</v>
      </c>
      <c r="CR110" s="27">
        <f>IF(AV110&lt;&gt;-999,AV110*$CO110, -999)</f>
        <v>-20377357.84516893</v>
      </c>
      <c r="CS110">
        <f t="shared" si="50"/>
        <v>-42.853000000000002</v>
      </c>
      <c r="CT110">
        <f>IF(AW110&lt;&gt;-999,AW110*$CS110, -999)</f>
        <v>-14706536.435226254</v>
      </c>
      <c r="CU110">
        <f>IF(AX110&lt;&gt;-999,AX110*$CS110, -999)</f>
        <v>-999</v>
      </c>
      <c r="CV110" s="27">
        <f>IF(AY110&lt;&gt;-999,AY110*$CS110, -999)</f>
        <v>-14706536.435226254</v>
      </c>
      <c r="CW110">
        <f t="shared" si="51"/>
        <v>-48.780999999999999</v>
      </c>
      <c r="CX110">
        <f>IF(AZ110&lt;&gt;-999,AZ110*$CO110, -999)</f>
        <v>-19303750.742593583</v>
      </c>
      <c r="CY110">
        <f>IF(BA110&lt;&gt;-999,BA110*$CO110, -999)</f>
        <v>-999</v>
      </c>
      <c r="CZ110" s="27">
        <f>IF(BB110&lt;&gt;-999,BB110*$CO110, -999)</f>
        <v>-19303750.742593583</v>
      </c>
      <c r="DA110">
        <f t="shared" si="52"/>
        <v>-48.155000000000001</v>
      </c>
      <c r="DB110">
        <f>IF(BC110&lt;&gt;-999,BC110*$DA110, -999)</f>
        <v>-32997358.483073879</v>
      </c>
      <c r="DC110">
        <f>IF(BD110&lt;&gt;-999,BD110*$DA110, -999)</f>
        <v>-999</v>
      </c>
      <c r="DD110" s="27">
        <f>IF(BE110&lt;&gt;-999,BE110*$DA110, -999)</f>
        <v>-32997358.483073879</v>
      </c>
      <c r="DE110">
        <f t="shared" si="53"/>
        <v>-52.227000000000004</v>
      </c>
      <c r="DF110">
        <f>IF(BF110&lt;&gt;-999,BF110*$DE110, -999)</f>
        <v>-24156932.563800991</v>
      </c>
      <c r="DG110">
        <f>IF(BG110&lt;&gt;-999,BG110*$DE110, -999)</f>
        <v>-999</v>
      </c>
      <c r="DH110" s="27">
        <f>IF(BH110&lt;&gt;-999,BH110*$DE110, -999)</f>
        <v>-24156932.563800991</v>
      </c>
      <c r="DI110">
        <f t="shared" si="54"/>
        <v>-60.94</v>
      </c>
      <c r="DJ110">
        <f>IF(BI110&lt;&gt;-999,BI110*$DI110, -999)</f>
        <v>-39557975.749202855</v>
      </c>
      <c r="DK110">
        <f>IF(BJ110&lt;&gt;-999,BJ110*$DI110, -999)</f>
        <v>-999</v>
      </c>
      <c r="DL110" s="27">
        <f>IF(BK110&lt;&gt;-999,BK110*$DI110, -999)</f>
        <v>-39557975.749202855</v>
      </c>
      <c r="DM110" s="28">
        <f t="shared" si="55"/>
        <v>-151099911.81906649</v>
      </c>
      <c r="DN110" s="22">
        <f t="shared" si="56"/>
        <v>-17.170000000000002</v>
      </c>
      <c r="DO110">
        <f>IF(AT110&lt;&gt;-999,AT110*$DN110, -999)</f>
        <v>-8729521.8114159331</v>
      </c>
      <c r="DP110">
        <f>IF(AU110&lt;&gt;-999,AU110*$DN110, -999)</f>
        <v>-999</v>
      </c>
      <c r="DQ110" s="24">
        <f>IF(AV110&lt;&gt;-999,AV110*$DN110, -999)</f>
        <v>-8729521.8114159331</v>
      </c>
      <c r="DR110">
        <f t="shared" si="57"/>
        <v>-19.943000000000001</v>
      </c>
      <c r="DS110">
        <f>IF(AW110&lt;&gt;-999,AW110*$DR110, -999)</f>
        <v>-6844152.2443636898</v>
      </c>
      <c r="DT110">
        <f>IF(AX110&lt;&gt;-999,AX110*$DR110, -999)</f>
        <v>-999</v>
      </c>
      <c r="DU110" s="24">
        <f>IF(AY110&lt;&gt;-999,AY110*$DR110, -999)</f>
        <v>-6844152.2443636898</v>
      </c>
      <c r="DV110">
        <f t="shared" si="58"/>
        <v>-25.870999999999999</v>
      </c>
      <c r="DW110">
        <f>IF(AZ110&lt;&gt;-999,AZ110*$DV110, -999)</f>
        <v>-12460262.860819325</v>
      </c>
      <c r="DX110">
        <f>IF(BA110&lt;&gt;-999,BA110*$DV110, -999)</f>
        <v>-999</v>
      </c>
      <c r="DY110" s="24">
        <f>IF(BB110&lt;&gt;-999,BB110*$DV110, -999)</f>
        <v>-12460262.860819325</v>
      </c>
      <c r="DZ110">
        <f t="shared" si="59"/>
        <v>-25.245000000000001</v>
      </c>
      <c r="EA110">
        <f>IF(BC110&lt;&gt;-999, BC110*$DZ110, -999)</f>
        <v>-17298687.880909566</v>
      </c>
      <c r="EB110">
        <f>IF(BD110&lt;&gt;-999, BD110*$DZ110, -999)</f>
        <v>-999</v>
      </c>
      <c r="EC110" s="24">
        <f>IF(BE110&lt;&gt;-999, BE110*$DZ110, -999)</f>
        <v>-17298687.880909566</v>
      </c>
      <c r="ED110">
        <f t="shared" si="60"/>
        <v>-29.317</v>
      </c>
      <c r="EE110">
        <f>IF(BF110&lt;&gt;-999,BF110*$ED110, -999)</f>
        <v>-13560204.338234123</v>
      </c>
      <c r="EF110">
        <f>IF(BG110&lt;&gt;-999,BG110*$ED110, -999)</f>
        <v>-999</v>
      </c>
      <c r="EG110" s="24">
        <f>IF(BH110&lt;&gt;-999,BH110*$ED110, -999)</f>
        <v>-13560204.338234123</v>
      </c>
      <c r="EH110">
        <f t="shared" si="61"/>
        <v>-38.03</v>
      </c>
      <c r="EI110">
        <f>IF(BI110&lt;&gt;-999,BI110*$EH110, -999)</f>
        <v>-24686409.874338444</v>
      </c>
      <c r="EJ110">
        <f>IF(BJ110&lt;&gt;-999,BJ110*$EH110, -999)</f>
        <v>-999</v>
      </c>
      <c r="EK110" s="24">
        <f>IF(BK110&lt;&gt;-999,BK110*$EH110, -999)</f>
        <v>-24686409.874338444</v>
      </c>
      <c r="EL110" s="28">
        <f t="shared" si="62"/>
        <v>-83579239.010081083</v>
      </c>
      <c r="EM110" s="22">
        <f>-17.17-(0.1023*G110)+H110*(100+102.093-66.644-64.243)</f>
        <v>20.723859126274455</v>
      </c>
      <c r="EN110">
        <f>IF(AT110&lt;&gt;-999,AT110*$EM110, -999)</f>
        <v>10536364.604515083</v>
      </c>
      <c r="EO110">
        <f>IF(AU110&lt;&gt;-999,AU110*$EM110, -999)</f>
        <v>-999</v>
      </c>
      <c r="EP110" s="23">
        <f>IF(AV110&lt;&gt;-999,AV110*$EM110, -999)</f>
        <v>10536364.604515083</v>
      </c>
      <c r="EQ110">
        <f>-19.943-(0.1023*G110)+H110*(100+102.093-66.644-64.243)</f>
        <v>17.950859126274459</v>
      </c>
      <c r="ER110">
        <f>IF(AW110&lt;&gt;-999,AW110*$EQ110, -999)</f>
        <v>6160478.0011707237</v>
      </c>
      <c r="ES110">
        <f>IF(AX110&lt;&gt;-999,AX110*$EQ110, -999)</f>
        <v>-999</v>
      </c>
      <c r="ET110" s="23">
        <f>IF(AY110&lt;&gt;-999,AY110*$EQ110, -999)</f>
        <v>6160478.0011707237</v>
      </c>
      <c r="EU110">
        <f>-25.871-(0.1023*G110)+H110*(100+102.093-66.644-64.243)</f>
        <v>12.022859126274462</v>
      </c>
      <c r="EV110">
        <f>IF(AZ110&lt;&gt;-999,AZ110*$EU110, -999)</f>
        <v>5790575.7431865931</v>
      </c>
      <c r="EW110">
        <f>IF(BA110&lt;&gt;-999,BA110*$EU110, -999)</f>
        <v>-999</v>
      </c>
      <c r="EX110" s="23">
        <f>IF(BB110&lt;&gt;-999,BB110*$EU110, -999)</f>
        <v>5790575.7431865931</v>
      </c>
      <c r="EY110">
        <f>-25.245-(0.1023*G110)+H110*(100+102.093-66.644-64.243)</f>
        <v>12.648859126274452</v>
      </c>
      <c r="EZ110">
        <f>IF(BC110&lt;&gt;-999, BC110*$EY110, -999)</f>
        <v>8667406.0635775868</v>
      </c>
      <c r="FA110">
        <f>IF(BD110&lt;&gt;-999, BD110*$EY110, -999)</f>
        <v>-999</v>
      </c>
      <c r="FB110" s="23">
        <f>IF(BE110&lt;&gt;-999, BE110*$EY110, -999)</f>
        <v>8667406.0635775868</v>
      </c>
      <c r="FC110">
        <f>-29.317-(0.1023*G110)+H110*(100+102.093-66.644-64.243)</f>
        <v>8.5768591262744565</v>
      </c>
      <c r="FD110">
        <f>IF(BF110&lt;&gt;-999,BF110*$FC110, -999)</f>
        <v>3967116.7695374633</v>
      </c>
      <c r="FE110">
        <f>IF(BG110&lt;&gt;-999,BG110*$FC110, -999)</f>
        <v>-999</v>
      </c>
      <c r="FF110" s="23">
        <f>IF(BH110&lt;&gt;-999,BH110*$FC110, -999)</f>
        <v>3967116.7695374633</v>
      </c>
      <c r="FG110">
        <f>-38.03-(0.1023*G110)+H110*(100+102.093-66.644-64.243)</f>
        <v>-0.13614087372554451</v>
      </c>
      <c r="FH110">
        <f>IF(BI110&lt;&gt;-999,BI110*$FG110, -999)</f>
        <v>-88373.110950285161</v>
      </c>
      <c r="FI110">
        <f>IF(BJ110&lt;&gt;-999,BJ110*$FG110, -999)</f>
        <v>-999</v>
      </c>
      <c r="FJ110" s="23">
        <f>IF(BK110&lt;&gt;-999,BK110*$FG110, -999)</f>
        <v>-88373.110950285161</v>
      </c>
      <c r="FK110" s="28">
        <f t="shared" si="63"/>
        <v>35033568.071037166</v>
      </c>
      <c r="FL110" s="22">
        <f t="shared" si="66"/>
        <v>10.012280000000011</v>
      </c>
      <c r="FM110">
        <f>IF(AT110&lt;&gt;-999,AT110*$FL110, -999)</f>
        <v>5090414.4811883289</v>
      </c>
      <c r="FN110">
        <f>IF(AU110&lt;&gt;-999,AU110*$FL110, -999)</f>
        <v>-999</v>
      </c>
      <c r="FO110" s="29">
        <f>IF(AV110&lt;&gt;-999,AV110*$FL110, -999)</f>
        <v>5090414.4811883289</v>
      </c>
      <c r="FP110">
        <f t="shared" si="67"/>
        <v>7.2392800000000115</v>
      </c>
      <c r="FQ110">
        <f>IF(AW110&lt;&gt;-999,AW110*$FP110, -999)</f>
        <v>2484417.3123189714</v>
      </c>
      <c r="FR110">
        <f>IF(AX110&lt;&gt;-999,AX110*$FP110, -999)</f>
        <v>-999</v>
      </c>
      <c r="FS110" s="29">
        <f>IF(AY110&lt;&gt;-999,AY110*$FP110, -999)</f>
        <v>2484417.3123189714</v>
      </c>
      <c r="FT110">
        <f t="shared" si="68"/>
        <v>1.3112800000000142</v>
      </c>
      <c r="FU110">
        <f>IF(AZ110&lt;&gt;-999,AZ110*$FT110, -999)</f>
        <v>631552.45193982997</v>
      </c>
      <c r="FV110">
        <f>IF(BA110&lt;&gt;-999,BA110*$FT110, -999)</f>
        <v>-999</v>
      </c>
      <c r="FW110" s="29">
        <f>IF(BB110&lt;&gt;-999,BB110*$FT110, -999)</f>
        <v>631552.45193982997</v>
      </c>
      <c r="FX110">
        <f t="shared" si="69"/>
        <v>1.9372800000000119</v>
      </c>
      <c r="FY110">
        <f>IF(BC110&lt;&gt;-999, BC110*$FX110, -999)</f>
        <v>1327486.7125343112</v>
      </c>
      <c r="FZ110">
        <f>IF(BD110&lt;&gt;-999, BD110*$FX110, -999)</f>
        <v>-999</v>
      </c>
      <c r="GA110" s="29">
        <f>IF(BE110&lt;&gt;-999, BE110*$FX110, -999)</f>
        <v>1327486.7125343112</v>
      </c>
      <c r="GB110">
        <f t="shared" si="70"/>
        <v>-2.1347199999999873</v>
      </c>
      <c r="GC110">
        <f>IF(BF110&lt;&gt;-999,BF110*$GB110, -999)</f>
        <v>-987387.50229951821</v>
      </c>
      <c r="GD110">
        <f>IF(BG110&lt;&gt;-999,BG110*$GB110, -999)</f>
        <v>-999</v>
      </c>
      <c r="GE110" s="29">
        <f>IF(BH110&lt;&gt;-999,BH110*$GB110, -999)</f>
        <v>-987387.50229951821</v>
      </c>
      <c r="GF110">
        <f t="shared" si="71"/>
        <v>-10.847719999999988</v>
      </c>
      <c r="GG110">
        <f>IF(BI110&lt;&gt;-999,BI110*$GF110, -999)</f>
        <v>-7041579.3353157593</v>
      </c>
      <c r="GH110">
        <f>IF(BJ110&lt;&gt;-999,BJ110*$GF110, -999)</f>
        <v>-999</v>
      </c>
      <c r="GI110" s="29">
        <f>IF(BK110&lt;&gt;-999,BK110*$GF110, -999)</f>
        <v>-7041579.3353157593</v>
      </c>
      <c r="GJ110" s="30">
        <f t="shared" si="64"/>
        <v>1504904.1203661645</v>
      </c>
    </row>
    <row r="111" spans="1:192">
      <c r="A111" s="48" t="s">
        <v>161</v>
      </c>
      <c r="B111" s="48" t="s">
        <v>246</v>
      </c>
      <c r="C111" s="49">
        <v>69</v>
      </c>
      <c r="D111" s="50">
        <v>0.66600000000000004</v>
      </c>
      <c r="E111" s="49">
        <v>9.7526137815122809</v>
      </c>
      <c r="F111" s="49">
        <v>0.79750356343678797</v>
      </c>
      <c r="G111" s="49">
        <v>181.73167285512099</v>
      </c>
      <c r="H111" s="49">
        <v>0.81060372117684398</v>
      </c>
      <c r="I111" s="42">
        <v>12642.5</v>
      </c>
      <c r="J111" s="43">
        <v>37463.199999999997</v>
      </c>
      <c r="K111" s="43">
        <f t="shared" si="39"/>
        <v>50105.7</v>
      </c>
      <c r="L111" s="43">
        <v>12345.2</v>
      </c>
      <c r="M111" s="43">
        <v>36582.199999999997</v>
      </c>
      <c r="N111" s="43">
        <f t="shared" si="40"/>
        <v>48927.399999999994</v>
      </c>
      <c r="O111" s="43">
        <v>12330.7</v>
      </c>
      <c r="P111" s="43">
        <v>36539.300000000003</v>
      </c>
      <c r="Q111" s="43">
        <f t="shared" si="41"/>
        <v>48870</v>
      </c>
      <c r="R111" s="43">
        <v>14785.3</v>
      </c>
      <c r="S111" s="43">
        <v>43813</v>
      </c>
      <c r="T111" s="43">
        <f t="shared" si="42"/>
        <v>58598.3</v>
      </c>
      <c r="U111" s="43">
        <v>14437.6</v>
      </c>
      <c r="V111" s="43">
        <v>42782.7</v>
      </c>
      <c r="W111" s="43">
        <f t="shared" si="43"/>
        <v>57220.299999999996</v>
      </c>
      <c r="X111" s="43">
        <v>14420.7</v>
      </c>
      <c r="Y111" s="43">
        <v>42732.4</v>
      </c>
      <c r="Z111" s="43">
        <f t="shared" si="44"/>
        <v>57153.100000000006</v>
      </c>
      <c r="AA111" s="22">
        <v>204204.3</v>
      </c>
      <c r="AB111">
        <v>181008.1</v>
      </c>
      <c r="AC111">
        <v>385212.5</v>
      </c>
      <c r="AD111">
        <v>199402.3</v>
      </c>
      <c r="AE111">
        <v>176751.6</v>
      </c>
      <c r="AF111">
        <v>376153.9</v>
      </c>
      <c r="AG111">
        <v>199168.2</v>
      </c>
      <c r="AH111">
        <v>176544.1</v>
      </c>
      <c r="AI111">
        <v>375712.3</v>
      </c>
      <c r="AJ111">
        <v>238815.5</v>
      </c>
      <c r="AK111">
        <v>211687.7</v>
      </c>
      <c r="AL111">
        <v>450503.2</v>
      </c>
      <c r="AM111">
        <v>233199.6</v>
      </c>
      <c r="AN111">
        <v>206709.7</v>
      </c>
      <c r="AO111">
        <v>439909.3</v>
      </c>
      <c r="AP111">
        <v>232925.8</v>
      </c>
      <c r="AQ111">
        <v>206467.1</v>
      </c>
      <c r="AR111">
        <v>439392.9</v>
      </c>
      <c r="AS111">
        <v>2466884.13</v>
      </c>
      <c r="AT111" s="22">
        <f t="shared" si="74"/>
        <v>339935.72793824249</v>
      </c>
      <c r="AU111">
        <f t="shared" si="74"/>
        <v>301321.37391924747</v>
      </c>
      <c r="AV111">
        <f t="shared" si="74"/>
        <v>641257.26832593756</v>
      </c>
      <c r="AW111">
        <f t="shared" si="74"/>
        <v>331941.91308929253</v>
      </c>
      <c r="AX111">
        <f t="shared" si="74"/>
        <v>294235.64445140999</v>
      </c>
      <c r="AY111">
        <f t="shared" si="74"/>
        <v>626177.55754070252</v>
      </c>
      <c r="AZ111">
        <f t="shared" si="74"/>
        <v>331552.21045369498</v>
      </c>
      <c r="BA111">
        <f t="shared" si="74"/>
        <v>293890.22242284747</v>
      </c>
      <c r="BB111">
        <f t="shared" si="73"/>
        <v>625442.43287654244</v>
      </c>
      <c r="BC111">
        <f t="shared" si="73"/>
        <v>397552.45523936249</v>
      </c>
      <c r="BD111">
        <f t="shared" si="73"/>
        <v>352393.22773845756</v>
      </c>
      <c r="BE111">
        <f t="shared" si="73"/>
        <v>749945.68297782005</v>
      </c>
      <c r="BF111">
        <f t="shared" si="73"/>
        <v>388203.75369620998</v>
      </c>
      <c r="BG111">
        <f t="shared" si="73"/>
        <v>344106.42842190753</v>
      </c>
      <c r="BH111">
        <f t="shared" si="73"/>
        <v>732310.18211811746</v>
      </c>
      <c r="BI111">
        <f t="shared" si="73"/>
        <v>387747.96308695502</v>
      </c>
      <c r="BJ111">
        <f t="shared" si="73"/>
        <v>343702.57596827252</v>
      </c>
      <c r="BK111">
        <f t="shared" si="73"/>
        <v>731450.53905522753</v>
      </c>
      <c r="BL111">
        <f t="shared" si="73"/>
        <v>4106583.7128348816</v>
      </c>
      <c r="BM111" s="22">
        <f>-17.17-(0.1023*E111)+F111*(100-8.576-13.681)</f>
        <v>43.832627142417508</v>
      </c>
      <c r="BN111">
        <f>IF(AT111&lt;&gt;-999,AT111*$BM111, -999)</f>
        <v>14900276.015103262</v>
      </c>
      <c r="BO111">
        <f>IF(AU111&lt;&gt;-999,AU111*$BM111, -999)</f>
        <v>13207707.433043342</v>
      </c>
      <c r="BP111" s="25">
        <f>IF(AV111&lt;&gt;-999,AV111*$BM111, -999)</f>
        <v>28107990.744895998</v>
      </c>
      <c r="BQ111">
        <f>-19.943-(0.1023*E111)+F111*(100-8.576-13.681)</f>
        <v>41.059627142417504</v>
      </c>
      <c r="BR111">
        <f>IF(AW111&lt;&gt;-999,AW111*$BQ111, -999)</f>
        <v>13629411.184387108</v>
      </c>
      <c r="BS111">
        <f>IF(AX111&lt;&gt;-999,AX111*$BQ111, -999)</f>
        <v>12081205.853183819</v>
      </c>
      <c r="BT111" s="25">
        <f>IF(AY111&lt;&gt;-999,AY111*$BQ111, -999)</f>
        <v>25710617.037570927</v>
      </c>
      <c r="BU111">
        <f>-25.871-(0.1023*E111)+F111*(100-8.576-13.681)</f>
        <v>35.131627142417507</v>
      </c>
      <c r="BV111">
        <f>IF(AZ111&lt;&gt;-999,AZ111*$BU111, -999)</f>
        <v>11647968.635903552</v>
      </c>
      <c r="BW111">
        <f>IF(BA111&lt;&gt;-999,BA111*$BU111, -999)</f>
        <v>10324841.714961626</v>
      </c>
      <c r="BX111" s="25">
        <f>IF(BB111&lt;&gt;-999,BB111*$BU111, -999)</f>
        <v>21972810.350865178</v>
      </c>
      <c r="BY111">
        <f>-25.245-(0.1023*E111)+F111*(100-8.576-13.681)</f>
        <v>35.757627142417505</v>
      </c>
      <c r="BZ111">
        <f>IF(BC111&lt;&gt;-999,BC111*$BY111, -999)</f>
        <v>14215532.464001749</v>
      </c>
      <c r="CA111">
        <f>IF(BD111&lt;&gt;-999,BD111*$BY111, -999)</f>
        <v>12600745.644984784</v>
      </c>
      <c r="CB111" s="25">
        <f>IF(BE111&lt;&gt;-999,BE111*$BY111, -999)</f>
        <v>26816278.10898653</v>
      </c>
      <c r="CC111">
        <f>-29.317-(0.1023*E111)+F111*(100-8.576-13.681)</f>
        <v>31.685627142417506</v>
      </c>
      <c r="CD111">
        <f>IF(BF111&lt;&gt;-999,BF111*$CC111, -999)</f>
        <v>12300479.394904992</v>
      </c>
      <c r="CE111">
        <f>IF(BG111&lt;&gt;-999,BG111*$CC111, -999)</f>
        <v>10903227.98828554</v>
      </c>
      <c r="CF111" s="25">
        <f>IF(BH111&lt;&gt;-999,BH111*$CC111, -999)</f>
        <v>23203707.383190528</v>
      </c>
      <c r="CG111">
        <f>-38.03-(0.1023*E111)+F111*(100-8.576-13.681)</f>
        <v>22.972627142417501</v>
      </c>
      <c r="CH111">
        <f>IF(BI111&lt;&gt;-999,BI111*$CG111, -999)</f>
        <v>8907589.3812284824</v>
      </c>
      <c r="CI111">
        <f>IF(BJ111&lt;&gt;-999,BJ111*$CG111, -999)</f>
        <v>7895751.1256075501</v>
      </c>
      <c r="CJ111" s="25">
        <f>IF(BK111&lt;&gt;-999,BK111*$CG111, -999)</f>
        <v>16803340.506836031</v>
      </c>
      <c r="CK111" s="26">
        <f t="shared" si="45"/>
        <v>142614744.1323452</v>
      </c>
      <c r="CL111">
        <f t="shared" si="46"/>
        <v>-46.491667872876583</v>
      </c>
      <c r="CM111">
        <f t="shared" si="47"/>
        <v>10.492403526325488</v>
      </c>
      <c r="CN111">
        <f t="shared" si="48"/>
        <v>-102.49141765147409</v>
      </c>
      <c r="CO111" s="22">
        <f t="shared" si="49"/>
        <v>-40.08</v>
      </c>
      <c r="CP111">
        <f>IF(AT111&lt;&gt;-999,AT111*$CO111, -999)</f>
        <v>-13624623.975764759</v>
      </c>
      <c r="CQ111">
        <f>IF(AU111&lt;&gt;-999,AU111*$CO111, -999)</f>
        <v>-12076960.666683439</v>
      </c>
      <c r="CR111" s="27">
        <f>IF(AV111&lt;&gt;-999,AV111*$CO111, -999)</f>
        <v>-25701591.314503577</v>
      </c>
      <c r="CS111">
        <f t="shared" si="50"/>
        <v>-42.853000000000002</v>
      </c>
      <c r="CT111">
        <f>IF(AW111&lt;&gt;-999,AW111*$CS111, -999)</f>
        <v>-14224706.801615454</v>
      </c>
      <c r="CU111">
        <f>IF(AX111&lt;&gt;-999,AX111*$CS111, -999)</f>
        <v>-12608880.071676273</v>
      </c>
      <c r="CV111" s="27">
        <f>IF(AY111&lt;&gt;-999,AY111*$CS111, -999)</f>
        <v>-26833586.873291727</v>
      </c>
      <c r="CW111">
        <f t="shared" si="51"/>
        <v>-48.780999999999999</v>
      </c>
      <c r="CX111">
        <f>IF(AZ111&lt;&gt;-999,AZ111*$CO111, -999)</f>
        <v>-13288612.594984094</v>
      </c>
      <c r="CY111">
        <f>IF(BA111&lt;&gt;-999,BA111*$CO111, -999)</f>
        <v>-11779120.114707725</v>
      </c>
      <c r="CZ111" s="27">
        <f>IF(BB111&lt;&gt;-999,BB111*$CO111, -999)</f>
        <v>-25067732.709691819</v>
      </c>
      <c r="DA111">
        <f t="shared" si="52"/>
        <v>-48.155000000000001</v>
      </c>
      <c r="DB111">
        <f>IF(BC111&lt;&gt;-999,BC111*$DA111, -999)</f>
        <v>-19144138.482051503</v>
      </c>
      <c r="DC111">
        <f>IF(BD111&lt;&gt;-999,BD111*$DA111, -999)</f>
        <v>-16969495.881745424</v>
      </c>
      <c r="DD111" s="27">
        <f>IF(BE111&lt;&gt;-999,BE111*$DA111, -999)</f>
        <v>-36113634.363796927</v>
      </c>
      <c r="DE111">
        <f t="shared" si="53"/>
        <v>-52.227000000000004</v>
      </c>
      <c r="DF111">
        <f>IF(BF111&lt;&gt;-999,BF111*$DE111, -999)</f>
        <v>-20274717.44429196</v>
      </c>
      <c r="DG111">
        <f>IF(BG111&lt;&gt;-999,BG111*$DE111, -999)</f>
        <v>-17971646.437190965</v>
      </c>
      <c r="DH111" s="27">
        <f>IF(BH111&lt;&gt;-999,BH111*$DE111, -999)</f>
        <v>-38246363.881482922</v>
      </c>
      <c r="DI111">
        <f t="shared" si="54"/>
        <v>-60.94</v>
      </c>
      <c r="DJ111">
        <f>IF(BI111&lt;&gt;-999,BI111*$DI111, -999)</f>
        <v>-23629360.870519038</v>
      </c>
      <c r="DK111">
        <f>IF(BJ111&lt;&gt;-999,BJ111*$DI111, -999)</f>
        <v>-20945234.979506526</v>
      </c>
      <c r="DL111" s="27">
        <f>IF(BK111&lt;&gt;-999,BK111*$DI111, -999)</f>
        <v>-44574595.850025564</v>
      </c>
      <c r="DM111" s="28">
        <f t="shared" si="55"/>
        <v>-196537504.99279255</v>
      </c>
      <c r="DN111" s="22">
        <f t="shared" si="56"/>
        <v>-17.170000000000002</v>
      </c>
      <c r="DO111">
        <f>IF(AT111&lt;&gt;-999,AT111*$DN111, -999)</f>
        <v>-5836696.4486996243</v>
      </c>
      <c r="DP111">
        <f>IF(AU111&lt;&gt;-999,AU111*$DN111, -999)</f>
        <v>-5173687.9901934797</v>
      </c>
      <c r="DQ111" s="24">
        <f>IF(AV111&lt;&gt;-999,AV111*$DN111, -999)</f>
        <v>-11010387.297156349</v>
      </c>
      <c r="DR111">
        <f t="shared" si="57"/>
        <v>-19.943000000000001</v>
      </c>
      <c r="DS111">
        <f>IF(AW111&lt;&gt;-999,AW111*$DR111, -999)</f>
        <v>-6619917.5727397613</v>
      </c>
      <c r="DT111">
        <f>IF(AX111&lt;&gt;-999,AX111*$DR111, -999)</f>
        <v>-5867941.4572944697</v>
      </c>
      <c r="DU111" s="24">
        <f>IF(AY111&lt;&gt;-999,AY111*$DR111, -999)</f>
        <v>-12487859.030034231</v>
      </c>
      <c r="DV111">
        <f t="shared" si="58"/>
        <v>-25.870999999999999</v>
      </c>
      <c r="DW111">
        <f>IF(AZ111&lt;&gt;-999,AZ111*$DV111, -999)</f>
        <v>-8577587.2366475426</v>
      </c>
      <c r="DX111">
        <f>IF(BA111&lt;&gt;-999,BA111*$DV111, -999)</f>
        <v>-7603233.944301486</v>
      </c>
      <c r="DY111" s="24">
        <f>IF(BB111&lt;&gt;-999,BB111*$DV111, -999)</f>
        <v>-16180821.180949029</v>
      </c>
      <c r="DZ111">
        <f t="shared" si="59"/>
        <v>-25.245000000000001</v>
      </c>
      <c r="EA111">
        <f>IF(BC111&lt;&gt;-999, BC111*$DZ111, -999)</f>
        <v>-10036211.732517706</v>
      </c>
      <c r="EB111">
        <f>IF(BD111&lt;&gt;-999, BD111*$DZ111, -999)</f>
        <v>-8896167.0342573617</v>
      </c>
      <c r="EC111" s="24">
        <f>IF(BE111&lt;&gt;-999, BE111*$DZ111, -999)</f>
        <v>-18932378.766775068</v>
      </c>
      <c r="ED111">
        <f t="shared" si="60"/>
        <v>-29.317</v>
      </c>
      <c r="EE111">
        <f>IF(BF111&lt;&gt;-999,BF111*$ED111, -999)</f>
        <v>-11380969.447111787</v>
      </c>
      <c r="EF111">
        <f>IF(BG111&lt;&gt;-999,BG111*$ED111, -999)</f>
        <v>-10088168.162045063</v>
      </c>
      <c r="EG111" s="24">
        <f>IF(BH111&lt;&gt;-999,BH111*$ED111, -999)</f>
        <v>-21469137.609156851</v>
      </c>
      <c r="EH111">
        <f t="shared" si="61"/>
        <v>-38.03</v>
      </c>
      <c r="EI111">
        <f>IF(BI111&lt;&gt;-999,BI111*$EH111, -999)</f>
        <v>-14746055.036196901</v>
      </c>
      <c r="EJ111">
        <f>IF(BJ111&lt;&gt;-999,BJ111*$EH111, -999)</f>
        <v>-13071008.964073405</v>
      </c>
      <c r="EK111" s="24">
        <f>IF(BK111&lt;&gt;-999,BK111*$EH111, -999)</f>
        <v>-27817064.000270303</v>
      </c>
      <c r="EL111" s="28">
        <f t="shared" si="62"/>
        <v>-107897647.88434184</v>
      </c>
      <c r="EM111" s="22">
        <f>-17.17-(0.1023*G111)+H111*(100+102.093-66.644-64.243)</f>
        <v>21.958698437039487</v>
      </c>
      <c r="EN111">
        <f>IF(AT111&lt;&gt;-999,AT111*$EM111, -999)</f>
        <v>7464546.1377713662</v>
      </c>
      <c r="EO111">
        <f>IF(AU111&lt;&gt;-999,AU111*$EM111, -999)</f>
        <v>6616625.1825271705</v>
      </c>
      <c r="EP111" s="23">
        <f>IF(AV111&lt;&gt;-999,AV111*$EM111, -999)</f>
        <v>14081174.975728976</v>
      </c>
      <c r="EQ111">
        <f>-19.943-(0.1023*G111)+H111*(100+102.093-66.644-64.243)</f>
        <v>19.185698437039484</v>
      </c>
      <c r="ER111">
        <f>IF(AW111&lt;&gt;-999,AW111*$EQ111, -999)</f>
        <v>6368537.4431451363</v>
      </c>
      <c r="ES111">
        <f>IF(AX111&lt;&gt;-999,AX111*$EQ111, -999)</f>
        <v>5645116.3438727222</v>
      </c>
      <c r="ET111" s="23">
        <f>IF(AY111&lt;&gt;-999,AY111*$EQ111, -999)</f>
        <v>12013653.787017858</v>
      </c>
      <c r="EU111">
        <f>-25.871-(0.1023*G111)+H111*(100+102.093-66.644-64.243)</f>
        <v>13.257698437039487</v>
      </c>
      <c r="EV111">
        <f>IF(AZ111&lt;&gt;-999,AZ111*$EU111, -999)</f>
        <v>4395619.2223289385</v>
      </c>
      <c r="EW111">
        <f>IF(BA111&lt;&gt;-999,BA111*$EU111, -999)</f>
        <v>3896307.942476572</v>
      </c>
      <c r="EX111" s="23">
        <f>IF(BB111&lt;&gt;-999,BB111*$EU111, -999)</f>
        <v>8291927.164805511</v>
      </c>
      <c r="EY111">
        <f>-25.245-(0.1023*G111)+H111*(100+102.093-66.644-64.243)</f>
        <v>13.883698437039492</v>
      </c>
      <c r="EZ111">
        <f>IF(BC111&lt;&gt;-999, BC111*$EY111, -999)</f>
        <v>5519498.401447949</v>
      </c>
      <c r="FA111">
        <f>IF(BD111&lt;&gt;-999, BD111*$EY111, -999)</f>
        <v>4892521.3051757244</v>
      </c>
      <c r="FB111" s="23">
        <f>IF(BE111&lt;&gt;-999, BE111*$EY111, -999)</f>
        <v>10412019.706623673</v>
      </c>
      <c r="FC111">
        <f>-29.317-(0.1023*G111)+H111*(100+102.093-66.644-64.243)</f>
        <v>9.8116984370394889</v>
      </c>
      <c r="FD111">
        <f>IF(BF111&lt;&gt;-999,BF111*$FC111, -999)</f>
        <v>3808938.1633939664</v>
      </c>
      <c r="FE111">
        <f>IF(BG111&lt;&gt;-999,BG111*$FC111, -999)</f>
        <v>3376268.5059224707</v>
      </c>
      <c r="FF111" s="23">
        <f>IF(BH111&lt;&gt;-999,BH111*$FC111, -999)</f>
        <v>7185206.6693164362</v>
      </c>
      <c r="FG111">
        <f>-38.03-(0.1023*G111)+H111*(100+102.093-66.644-64.243)</f>
        <v>1.0986984370394879</v>
      </c>
      <c r="FH111">
        <f>IF(BI111&lt;&gt;-999,BI111*$FG111, -999)</f>
        <v>426018.08100888249</v>
      </c>
      <c r="FI111">
        <f>IF(BJ111&lt;&gt;-999,BJ111*$FG111, -999)</f>
        <v>377625.48302278685</v>
      </c>
      <c r="FJ111" s="23">
        <f>IF(BK111&lt;&gt;-999,BK111*$FG111, -999)</f>
        <v>803643.5640316694</v>
      </c>
      <c r="FK111" s="28">
        <f t="shared" si="63"/>
        <v>52787625.867524117</v>
      </c>
      <c r="FL111" s="22">
        <f t="shared" si="66"/>
        <v>10.012280000000011</v>
      </c>
      <c r="FM111">
        <f>IF(AT111&lt;&gt;-999,AT111*$FL111, -999)</f>
        <v>3403531.6901215105</v>
      </c>
      <c r="FN111">
        <f>IF(AU111&lt;&gt;-999,AU111*$FL111, -999)</f>
        <v>3016913.9656642065</v>
      </c>
      <c r="FO111" s="29">
        <f>IF(AV111&lt;&gt;-999,AV111*$FL111, -999)</f>
        <v>6420447.322514425</v>
      </c>
      <c r="FP111">
        <f t="shared" si="67"/>
        <v>7.2392800000000115</v>
      </c>
      <c r="FQ111">
        <f>IF(AW111&lt;&gt;-999,AW111*$FP111, -999)</f>
        <v>2403020.4525890574</v>
      </c>
      <c r="FR111">
        <f>IF(AX111&lt;&gt;-999,AX111*$FP111, -999)</f>
        <v>2130054.2161642066</v>
      </c>
      <c r="FS111" s="29">
        <f>IF(AY111&lt;&gt;-999,AY111*$FP111, -999)</f>
        <v>4533074.6687532645</v>
      </c>
      <c r="FT111">
        <f t="shared" si="68"/>
        <v>1.3112800000000142</v>
      </c>
      <c r="FU111">
        <f>IF(AZ111&lt;&gt;-999,AZ111*$FT111, -999)</f>
        <v>434757.78252372588</v>
      </c>
      <c r="FV111">
        <f>IF(BA111&lt;&gt;-999,BA111*$FT111, -999)</f>
        <v>385372.37085863558</v>
      </c>
      <c r="FW111" s="29">
        <f>IF(BB111&lt;&gt;-999,BB111*$FT111, -999)</f>
        <v>820130.15338236152</v>
      </c>
      <c r="FX111">
        <f t="shared" si="69"/>
        <v>1.9372800000000119</v>
      </c>
      <c r="FY111">
        <f>IF(BC111&lt;&gt;-999, BC111*$FX111, -999)</f>
        <v>770170.4204861169</v>
      </c>
      <c r="FZ111">
        <f>IF(BD111&lt;&gt;-999, BD111*$FX111, -999)</f>
        <v>682684.3522331632</v>
      </c>
      <c r="GA111" s="29">
        <f>IF(BE111&lt;&gt;-999, BE111*$FX111, -999)</f>
        <v>1452854.7727192801</v>
      </c>
      <c r="GB111">
        <f t="shared" si="70"/>
        <v>-2.1347199999999873</v>
      </c>
      <c r="GC111">
        <f>IF(BF111&lt;&gt;-999,BF111*$GB111, -999)</f>
        <v>-828706.31709036848</v>
      </c>
      <c r="GD111">
        <f>IF(BG111&lt;&gt;-999,BG111*$GB111, -999)</f>
        <v>-734570.87488081004</v>
      </c>
      <c r="GE111" s="29">
        <f>IF(BH111&lt;&gt;-999,BH111*$GB111, -999)</f>
        <v>-1563277.1919711784</v>
      </c>
      <c r="GF111">
        <f t="shared" si="71"/>
        <v>-10.847719999999988</v>
      </c>
      <c r="GG111">
        <f>IF(BI111&lt;&gt;-999,BI111*$GF111, -999)</f>
        <v>-4206181.3341376195</v>
      </c>
      <c r="GH111">
        <f>IF(BJ111&lt;&gt;-999,BJ111*$GF111, -999)</f>
        <v>-3728389.307382545</v>
      </c>
      <c r="GI111" s="29">
        <f>IF(BK111&lt;&gt;-999,BK111*$GF111, -999)</f>
        <v>-7934570.641520164</v>
      </c>
      <c r="GJ111" s="30">
        <f t="shared" si="64"/>
        <v>3728659.0838779872</v>
      </c>
    </row>
    <row r="112" spans="1:192">
      <c r="A112" s="49" t="s">
        <v>151</v>
      </c>
      <c r="B112" s="49" t="s">
        <v>247</v>
      </c>
      <c r="C112" s="49">
        <v>20</v>
      </c>
      <c r="D112" s="50">
        <v>0.66200000000000003</v>
      </c>
      <c r="E112" s="49">
        <v>29.247669680793202</v>
      </c>
      <c r="F112" s="49">
        <v>0.79743519447782196</v>
      </c>
      <c r="G112" s="49">
        <v>155.92451093757001</v>
      </c>
      <c r="H112" s="49">
        <v>0.81104019950042505</v>
      </c>
      <c r="I112" s="42">
        <v>780.6</v>
      </c>
      <c r="J112" s="43">
        <v>-999</v>
      </c>
      <c r="K112" s="43">
        <f t="shared" si="39"/>
        <v>780.6</v>
      </c>
      <c r="L112" s="43">
        <v>754.8</v>
      </c>
      <c r="M112" s="43">
        <v>-999</v>
      </c>
      <c r="N112" s="43">
        <f t="shared" si="40"/>
        <v>754.8</v>
      </c>
      <c r="O112" s="43">
        <v>2932.6</v>
      </c>
      <c r="P112" s="43">
        <v>-999</v>
      </c>
      <c r="Q112" s="43">
        <f t="shared" si="41"/>
        <v>2932.6</v>
      </c>
      <c r="R112" s="43">
        <v>224.2</v>
      </c>
      <c r="S112" s="43">
        <v>-999</v>
      </c>
      <c r="T112" s="43">
        <f t="shared" si="42"/>
        <v>224.2</v>
      </c>
      <c r="U112" s="43">
        <v>216.8</v>
      </c>
      <c r="V112" s="43">
        <v>-999</v>
      </c>
      <c r="W112" s="43">
        <f t="shared" si="43"/>
        <v>216.8</v>
      </c>
      <c r="X112" s="43">
        <v>842.3</v>
      </c>
      <c r="Y112" s="43">
        <v>-999</v>
      </c>
      <c r="Z112" s="43">
        <f t="shared" si="44"/>
        <v>842.3</v>
      </c>
      <c r="AA112" s="22">
        <v>679.1</v>
      </c>
      <c r="AB112">
        <v>-999</v>
      </c>
      <c r="AC112">
        <v>679.1</v>
      </c>
      <c r="AD112">
        <v>656.6</v>
      </c>
      <c r="AE112">
        <v>-999</v>
      </c>
      <c r="AF112">
        <v>656.6</v>
      </c>
      <c r="AG112">
        <v>2551.1999999999998</v>
      </c>
      <c r="AH112">
        <v>-999</v>
      </c>
      <c r="AI112">
        <v>2551.1999999999998</v>
      </c>
      <c r="AJ112">
        <v>195</v>
      </c>
      <c r="AK112">
        <v>-999</v>
      </c>
      <c r="AL112">
        <v>195</v>
      </c>
      <c r="AM112">
        <v>188.6</v>
      </c>
      <c r="AN112">
        <v>-999</v>
      </c>
      <c r="AO112">
        <v>188.6</v>
      </c>
      <c r="AP112">
        <v>732.7</v>
      </c>
      <c r="AQ112">
        <v>-999</v>
      </c>
      <c r="AR112">
        <v>732.7</v>
      </c>
      <c r="AS112">
        <v>5003.3599999999997</v>
      </c>
      <c r="AT112" s="22">
        <f t="shared" si="74"/>
        <v>1130.4872269725001</v>
      </c>
      <c r="AU112">
        <f t="shared" si="74"/>
        <v>-999</v>
      </c>
      <c r="AV112">
        <f t="shared" si="74"/>
        <v>1130.4872269725001</v>
      </c>
      <c r="AW112">
        <f t="shared" si="74"/>
        <v>1093.0318262850001</v>
      </c>
      <c r="AX112">
        <f t="shared" si="74"/>
        <v>-999</v>
      </c>
      <c r="AY112">
        <f t="shared" si="74"/>
        <v>1093.0318262850001</v>
      </c>
      <c r="AZ112">
        <f t="shared" si="74"/>
        <v>4246.943032619999</v>
      </c>
      <c r="BA112">
        <f t="shared" si="74"/>
        <v>-999</v>
      </c>
      <c r="BB112">
        <f t="shared" si="73"/>
        <v>4246.943032619999</v>
      </c>
      <c r="BC112">
        <f t="shared" si="73"/>
        <v>324.61347262499999</v>
      </c>
      <c r="BD112">
        <f t="shared" si="73"/>
        <v>-999</v>
      </c>
      <c r="BE112">
        <f t="shared" si="73"/>
        <v>324.61347262499999</v>
      </c>
      <c r="BF112">
        <f t="shared" si="73"/>
        <v>313.95949198499994</v>
      </c>
      <c r="BG112">
        <f t="shared" si="73"/>
        <v>-999</v>
      </c>
      <c r="BH112">
        <f t="shared" si="73"/>
        <v>313.95949198499994</v>
      </c>
      <c r="BI112">
        <f t="shared" si="73"/>
        <v>1219.7143148325001</v>
      </c>
      <c r="BJ112">
        <f t="shared" si="73"/>
        <v>-999</v>
      </c>
      <c r="BK112">
        <f t="shared" si="73"/>
        <v>1219.7143148325001</v>
      </c>
      <c r="BL112">
        <f t="shared" si="73"/>
        <v>8329.0157148359995</v>
      </c>
      <c r="BM112" s="22">
        <f>-17.17-(0.1023*E112)+F112*(100-8.576-13.681)</f>
        <v>41.832967715944172</v>
      </c>
      <c r="BN112">
        <f>IF(AT112&lt;&gt;-999,AT112*$BM112, -999)</f>
        <v>47291.63566922785</v>
      </c>
      <c r="BO112">
        <f>IF(AU112&lt;&gt;-999,AU112*$BM112, -999)</f>
        <v>-999</v>
      </c>
      <c r="BP112" s="25">
        <f>IF(AV112&lt;&gt;-999,AV112*$BM112, -999)</f>
        <v>47291.63566922785</v>
      </c>
      <c r="BQ112">
        <f>-19.943-(0.1023*E112)+F112*(100-8.576-13.681)</f>
        <v>39.059967715944168</v>
      </c>
      <c r="BR112">
        <f>IF(AW112&lt;&gt;-999,AW112*$BQ112, -999)</f>
        <v>42693.787847191597</v>
      </c>
      <c r="BS112">
        <f>IF(AX112&lt;&gt;-999,AX112*$BQ112, -999)</f>
        <v>-999</v>
      </c>
      <c r="BT112" s="25">
        <f>IF(AY112&lt;&gt;-999,AY112*$BQ112, -999)</f>
        <v>42693.787847191597</v>
      </c>
      <c r="BU112">
        <f>-25.871-(0.1023*E112)+F112*(100-8.576-13.681)</f>
        <v>33.131967715944171</v>
      </c>
      <c r="BV112">
        <f>IF(AZ112&lt;&gt;-999,AZ112*$BU112, -999)</f>
        <v>140709.57944821985</v>
      </c>
      <c r="BW112">
        <f>IF(BA112&lt;&gt;-999,BA112*$BU112, -999)</f>
        <v>-999</v>
      </c>
      <c r="BX112" s="25">
        <f>IF(BB112&lt;&gt;-999,BB112*$BU112, -999)</f>
        <v>140709.57944821985</v>
      </c>
      <c r="BY112">
        <f>-25.245-(0.1023*E112)+F112*(100-8.576-13.681)</f>
        <v>33.757967715944176</v>
      </c>
      <c r="BZ112">
        <f>IF(BC112&lt;&gt;-999,BC112*$BY112, -999)</f>
        <v>10958.291129035279</v>
      </c>
      <c r="CA112">
        <f>IF(BD112&lt;&gt;-999,BD112*$BY112, -999)</f>
        <v>-999</v>
      </c>
      <c r="CB112" s="25">
        <f>IF(BE112&lt;&gt;-999,BE112*$BY112, -999)</f>
        <v>10958.291129035279</v>
      </c>
      <c r="CC112">
        <f>-29.317-(0.1023*E112)+F112*(100-8.576-13.681)</f>
        <v>29.685967715944173</v>
      </c>
      <c r="CD112">
        <f>IF(BF112&lt;&gt;-999,BF112*$CC112, -999)</f>
        <v>9320.1913431809426</v>
      </c>
      <c r="CE112">
        <f>IF(BG112&lt;&gt;-999,BG112*$CC112, -999)</f>
        <v>-999</v>
      </c>
      <c r="CF112" s="25">
        <f>IF(BH112&lt;&gt;-999,BH112*$CC112, -999)</f>
        <v>9320.1913431809426</v>
      </c>
      <c r="CG112">
        <f>-38.03-(0.1023*E112)+F112*(100-8.576-13.681)</f>
        <v>20.972967715944172</v>
      </c>
      <c r="CH112">
        <f>IF(BI112&lt;&gt;-999,BI112*$CG112, -999)</f>
        <v>25581.028947656992</v>
      </c>
      <c r="CI112">
        <f>IF(BJ112&lt;&gt;-999,BJ112*$CG112, -999)</f>
        <v>-999</v>
      </c>
      <c r="CJ112" s="25">
        <f>IF(BK112&lt;&gt;-999,BK112*$CG112, -999)</f>
        <v>25581.028947656992</v>
      </c>
      <c r="CK112" s="26">
        <f t="shared" si="45"/>
        <v>276554.5143845125</v>
      </c>
      <c r="CL112">
        <f t="shared" si="46"/>
        <v>-43.996613782686175</v>
      </c>
      <c r="CM112">
        <f t="shared" si="47"/>
        <v>12.992343206801078</v>
      </c>
      <c r="CN112">
        <f t="shared" si="48"/>
        <v>-100.00116475970238</v>
      </c>
      <c r="CO112" s="22">
        <f t="shared" si="49"/>
        <v>-40.08</v>
      </c>
      <c r="CP112">
        <f>IF(AT112&lt;&gt;-999,AT112*$CO112, -999)</f>
        <v>-45309.928057057805</v>
      </c>
      <c r="CQ112">
        <f>IF(AU112&lt;&gt;-999,AU112*$CO112, -999)</f>
        <v>-999</v>
      </c>
      <c r="CR112" s="27">
        <f>IF(AV112&lt;&gt;-999,AV112*$CO112, -999)</f>
        <v>-45309.928057057805</v>
      </c>
      <c r="CS112">
        <f t="shared" si="50"/>
        <v>-42.853000000000002</v>
      </c>
      <c r="CT112">
        <f>IF(AW112&lt;&gt;-999,AW112*$CS112, -999)</f>
        <v>-46839.692851791107</v>
      </c>
      <c r="CU112">
        <f>IF(AX112&lt;&gt;-999,AX112*$CS112, -999)</f>
        <v>-999</v>
      </c>
      <c r="CV112" s="27">
        <f>IF(AY112&lt;&gt;-999,AY112*$CS112, -999)</f>
        <v>-46839.692851791107</v>
      </c>
      <c r="CW112">
        <f t="shared" si="51"/>
        <v>-48.780999999999999</v>
      </c>
      <c r="CX112">
        <f>IF(AZ112&lt;&gt;-999,AZ112*$CO112, -999)</f>
        <v>-170217.47674740956</v>
      </c>
      <c r="CY112">
        <f>IF(BA112&lt;&gt;-999,BA112*$CO112, -999)</f>
        <v>-999</v>
      </c>
      <c r="CZ112" s="27">
        <f>IF(BB112&lt;&gt;-999,BB112*$CO112, -999)</f>
        <v>-170217.47674740956</v>
      </c>
      <c r="DA112">
        <f t="shared" si="52"/>
        <v>-48.155000000000001</v>
      </c>
      <c r="DB112">
        <f>IF(BC112&lt;&gt;-999,BC112*$DA112, -999)</f>
        <v>-15631.761774256875</v>
      </c>
      <c r="DC112">
        <f>IF(BD112&lt;&gt;-999,BD112*$DA112, -999)</f>
        <v>-999</v>
      </c>
      <c r="DD112" s="27">
        <f>IF(BE112&lt;&gt;-999,BE112*$DA112, -999)</f>
        <v>-15631.761774256875</v>
      </c>
      <c r="DE112">
        <f t="shared" si="53"/>
        <v>-52.227000000000004</v>
      </c>
      <c r="DF112">
        <f>IF(BF112&lt;&gt;-999,BF112*$DE112, -999)</f>
        <v>-16397.162387900593</v>
      </c>
      <c r="DG112">
        <f>IF(BG112&lt;&gt;-999,BG112*$DE112, -999)</f>
        <v>-999</v>
      </c>
      <c r="DH112" s="27">
        <f>IF(BH112&lt;&gt;-999,BH112*$DE112, -999)</f>
        <v>-16397.162387900593</v>
      </c>
      <c r="DI112">
        <f t="shared" si="54"/>
        <v>-60.94</v>
      </c>
      <c r="DJ112">
        <f>IF(BI112&lt;&gt;-999,BI112*$DI112, -999)</f>
        <v>-74329.390345892549</v>
      </c>
      <c r="DK112">
        <f>IF(BJ112&lt;&gt;-999,BJ112*$DI112, -999)</f>
        <v>-999</v>
      </c>
      <c r="DL112" s="27">
        <f>IF(BK112&lt;&gt;-999,BK112*$DI112, -999)</f>
        <v>-74329.390345892549</v>
      </c>
      <c r="DM112" s="28">
        <f t="shared" si="55"/>
        <v>-368725.41216430848</v>
      </c>
      <c r="DN112" s="22">
        <f t="shared" si="56"/>
        <v>-17.170000000000002</v>
      </c>
      <c r="DO112">
        <f>IF(AT112&lt;&gt;-999,AT112*$DN112, -999)</f>
        <v>-19410.46568711783</v>
      </c>
      <c r="DP112">
        <f>IF(AU112&lt;&gt;-999,AU112*$DN112, -999)</f>
        <v>-999</v>
      </c>
      <c r="DQ112" s="24">
        <f>IF(AV112&lt;&gt;-999,AV112*$DN112, -999)</f>
        <v>-19410.46568711783</v>
      </c>
      <c r="DR112">
        <f t="shared" si="57"/>
        <v>-19.943000000000001</v>
      </c>
      <c r="DS112">
        <f>IF(AW112&lt;&gt;-999,AW112*$DR112, -999)</f>
        <v>-21798.333711601757</v>
      </c>
      <c r="DT112">
        <f>IF(AX112&lt;&gt;-999,AX112*$DR112, -999)</f>
        <v>-999</v>
      </c>
      <c r="DU112" s="24">
        <f>IF(AY112&lt;&gt;-999,AY112*$DR112, -999)</f>
        <v>-21798.333711601757</v>
      </c>
      <c r="DV112">
        <f t="shared" si="58"/>
        <v>-25.870999999999999</v>
      </c>
      <c r="DW112">
        <f>IF(AZ112&lt;&gt;-999,AZ112*$DV112, -999)</f>
        <v>-109872.66319691199</v>
      </c>
      <c r="DX112">
        <f>IF(BA112&lt;&gt;-999,BA112*$DV112, -999)</f>
        <v>-999</v>
      </c>
      <c r="DY112" s="24">
        <f>IF(BB112&lt;&gt;-999,BB112*$DV112, -999)</f>
        <v>-109872.66319691199</v>
      </c>
      <c r="DZ112">
        <f t="shared" si="59"/>
        <v>-25.245000000000001</v>
      </c>
      <c r="EA112">
        <f>IF(BC112&lt;&gt;-999, BC112*$DZ112, -999)</f>
        <v>-8194.8671164181251</v>
      </c>
      <c r="EB112">
        <f>IF(BD112&lt;&gt;-999, BD112*$DZ112, -999)</f>
        <v>-999</v>
      </c>
      <c r="EC112" s="24">
        <f>IF(BE112&lt;&gt;-999, BE112*$DZ112, -999)</f>
        <v>-8194.8671164181251</v>
      </c>
      <c r="ED112">
        <f t="shared" si="60"/>
        <v>-29.317</v>
      </c>
      <c r="EE112">
        <f>IF(BF112&lt;&gt;-999,BF112*$ED112, -999)</f>
        <v>-9204.3504265242427</v>
      </c>
      <c r="EF112">
        <f>IF(BG112&lt;&gt;-999,BG112*$ED112, -999)</f>
        <v>-999</v>
      </c>
      <c r="EG112" s="24">
        <f>IF(BH112&lt;&gt;-999,BH112*$ED112, -999)</f>
        <v>-9204.3504265242427</v>
      </c>
      <c r="EH112">
        <f t="shared" si="61"/>
        <v>-38.03</v>
      </c>
      <c r="EI112">
        <f>IF(BI112&lt;&gt;-999,BI112*$EH112, -999)</f>
        <v>-46385.73539307998</v>
      </c>
      <c r="EJ112">
        <f>IF(BJ112&lt;&gt;-999,BJ112*$EH112, -999)</f>
        <v>-999</v>
      </c>
      <c r="EK112" s="24">
        <f>IF(BK112&lt;&gt;-999,BK112*$EH112, -999)</f>
        <v>-46385.73539307998</v>
      </c>
      <c r="EL112" s="28">
        <f t="shared" si="62"/>
        <v>-214866.41553165391</v>
      </c>
      <c r="EM112" s="22">
        <f>-17.17-(0.1023*G112)+H112*(100+102.093-66.644-64.243)</f>
        <v>24.629850976713868</v>
      </c>
      <c r="EN112">
        <f>IF(AT112&lt;&gt;-999,AT112*$EM112, -999)</f>
        <v>27843.731931411185</v>
      </c>
      <c r="EO112">
        <f>IF(AU112&lt;&gt;-999,AU112*$EM112, -999)</f>
        <v>-999</v>
      </c>
      <c r="EP112" s="23">
        <f>IF(AV112&lt;&gt;-999,AV112*$EM112, -999)</f>
        <v>27843.731931411185</v>
      </c>
      <c r="EQ112">
        <f>-19.943-(0.1023*G112)+H112*(100+102.093-66.644-64.243)</f>
        <v>21.856850976713865</v>
      </c>
      <c r="ER112">
        <f>IF(AW112&lt;&gt;-999,AW112*$EQ112, -999)</f>
        <v>23890.233739916643</v>
      </c>
      <c r="ES112">
        <f>IF(AX112&lt;&gt;-999,AX112*$EQ112, -999)</f>
        <v>-999</v>
      </c>
      <c r="ET112" s="23">
        <f>IF(AY112&lt;&gt;-999,AY112*$EQ112, -999)</f>
        <v>23890.233739916643</v>
      </c>
      <c r="EU112">
        <f>-25.871-(0.1023*G112)+H112*(100+102.093-66.644-64.243)</f>
        <v>15.928850976713868</v>
      </c>
      <c r="EV112">
        <f>IF(AZ112&lt;&gt;-999,AZ112*$EU112, -999)</f>
        <v>67648.92267319723</v>
      </c>
      <c r="EW112">
        <f>IF(BA112&lt;&gt;-999,BA112*$EU112, -999)</f>
        <v>-999</v>
      </c>
      <c r="EX112" s="23">
        <f>IF(BB112&lt;&gt;-999,BB112*$EU112, -999)</f>
        <v>67648.92267319723</v>
      </c>
      <c r="EY112">
        <f>-25.245-(0.1023*G112)+H112*(100+102.093-66.644-64.243)</f>
        <v>16.554850976713865</v>
      </c>
      <c r="EZ112">
        <f>IF(BC112&lt;&gt;-999, BC112*$EY112, -999)</f>
        <v>5373.927664340461</v>
      </c>
      <c r="FA112">
        <f>IF(BD112&lt;&gt;-999, BD112*$EY112, -999)</f>
        <v>-999</v>
      </c>
      <c r="FB112" s="23">
        <f>IF(BE112&lt;&gt;-999, BE112*$EY112, -999)</f>
        <v>5373.927664340461</v>
      </c>
      <c r="FC112">
        <f>-29.317-(0.1023*G112)+H112*(100+102.093-66.644-64.243)</f>
        <v>12.48285097671387</v>
      </c>
      <c r="FD112">
        <f>IF(BF112&lt;&gt;-999,BF112*$FC112, -999)</f>
        <v>3919.1095511735471</v>
      </c>
      <c r="FE112">
        <f>IF(BG112&lt;&gt;-999,BG112*$FC112, -999)</f>
        <v>-999</v>
      </c>
      <c r="FF112" s="23">
        <f>IF(BH112&lt;&gt;-999,BH112*$FC112, -999)</f>
        <v>3919.1095511735471</v>
      </c>
      <c r="FG112">
        <f>-38.03-(0.1023*G112)+H112*(100+102.093-66.644-64.243)</f>
        <v>3.7698509767138688</v>
      </c>
      <c r="FH112">
        <f>IF(BI112&lt;&gt;-999,BI112*$FG112, -999)</f>
        <v>4598.1412010831882</v>
      </c>
      <c r="FI112">
        <f>IF(BJ112&lt;&gt;-999,BJ112*$FG112, -999)</f>
        <v>-999</v>
      </c>
      <c r="FJ112" s="23">
        <f>IF(BK112&lt;&gt;-999,BK112*$FG112, -999)</f>
        <v>4598.1412010831882</v>
      </c>
      <c r="FK112" s="28">
        <f t="shared" si="63"/>
        <v>133274.06676112226</v>
      </c>
      <c r="FL112" s="22">
        <f t="shared" si="66"/>
        <v>10.012280000000011</v>
      </c>
      <c r="FM112">
        <f>IF(AT112&lt;&gt;-999,AT112*$FL112, -999)</f>
        <v>11318.754652872236</v>
      </c>
      <c r="FN112">
        <f>IF(AU112&lt;&gt;-999,AU112*$FL112, -999)</f>
        <v>-999</v>
      </c>
      <c r="FO112" s="29">
        <f>IF(AV112&lt;&gt;-999,AV112*$FL112, -999)</f>
        <v>11318.754652872236</v>
      </c>
      <c r="FP112">
        <f t="shared" si="67"/>
        <v>7.2392800000000115</v>
      </c>
      <c r="FQ112">
        <f>IF(AW112&lt;&gt;-999,AW112*$FP112, -999)</f>
        <v>7912.7634393884882</v>
      </c>
      <c r="FR112">
        <f>IF(AX112&lt;&gt;-999,AX112*$FP112, -999)</f>
        <v>-999</v>
      </c>
      <c r="FS112" s="29">
        <f>IF(AY112&lt;&gt;-999,AY112*$FP112, -999)</f>
        <v>7912.7634393884882</v>
      </c>
      <c r="FT112">
        <f t="shared" si="68"/>
        <v>1.3112800000000142</v>
      </c>
      <c r="FU112">
        <f>IF(AZ112&lt;&gt;-999,AZ112*$FT112, -999)</f>
        <v>5568.9314598140127</v>
      </c>
      <c r="FV112">
        <f>IF(BA112&lt;&gt;-999,BA112*$FT112, -999)</f>
        <v>-999</v>
      </c>
      <c r="FW112" s="29">
        <f>IF(BB112&lt;&gt;-999,BB112*$FT112, -999)</f>
        <v>5568.9314598140127</v>
      </c>
      <c r="FX112">
        <f t="shared" si="69"/>
        <v>1.9372800000000119</v>
      </c>
      <c r="FY112">
        <f>IF(BC112&lt;&gt;-999, BC112*$FX112, -999)</f>
        <v>628.86718824696379</v>
      </c>
      <c r="FZ112">
        <f>IF(BD112&lt;&gt;-999, BD112*$FX112, -999)</f>
        <v>-999</v>
      </c>
      <c r="GA112" s="29">
        <f>IF(BE112&lt;&gt;-999, BE112*$FX112, -999)</f>
        <v>628.86718824696379</v>
      </c>
      <c r="GB112">
        <f t="shared" si="70"/>
        <v>-2.1347199999999873</v>
      </c>
      <c r="GC112">
        <f>IF(BF112&lt;&gt;-999,BF112*$GB112, -999)</f>
        <v>-670.21560673021509</v>
      </c>
      <c r="GD112">
        <f>IF(BG112&lt;&gt;-999,BG112*$GB112, -999)</f>
        <v>-999</v>
      </c>
      <c r="GE112" s="29">
        <f>IF(BH112&lt;&gt;-999,BH112*$GB112, -999)</f>
        <v>-670.21560673021509</v>
      </c>
      <c r="GF112">
        <f t="shared" si="71"/>
        <v>-10.847719999999988</v>
      </c>
      <c r="GG112">
        <f>IF(BI112&lt;&gt;-999,BI112*$GF112, -999)</f>
        <v>-13231.119367294794</v>
      </c>
      <c r="GH112">
        <f>IF(BJ112&lt;&gt;-999,BJ112*$GF112, -999)</f>
        <v>-999</v>
      </c>
      <c r="GI112" s="29">
        <f>IF(BK112&lt;&gt;-999,BK112*$GF112, -999)</f>
        <v>-13231.119367294794</v>
      </c>
      <c r="GJ112" s="30">
        <f t="shared" si="64"/>
        <v>11527.981766296691</v>
      </c>
    </row>
    <row r="113" spans="1:192">
      <c r="A113" s="49" t="s">
        <v>146</v>
      </c>
      <c r="B113" s="49" t="s">
        <v>248</v>
      </c>
      <c r="C113" s="49">
        <v>8</v>
      </c>
      <c r="D113" s="50">
        <v>0.65800000000000003</v>
      </c>
      <c r="E113" s="49">
        <v>174.88105283924301</v>
      </c>
      <c r="F113" s="49">
        <v>0.77804827632635098</v>
      </c>
      <c r="G113" s="49">
        <v>40.904430759476099</v>
      </c>
      <c r="H113" s="49">
        <v>0.820435965847926</v>
      </c>
      <c r="I113" s="42">
        <v>39948.300000000003</v>
      </c>
      <c r="J113" s="43">
        <v>198043.4</v>
      </c>
      <c r="K113" s="43">
        <f t="shared" si="39"/>
        <v>237991.7</v>
      </c>
      <c r="L113" s="43">
        <v>11967.9</v>
      </c>
      <c r="M113" s="43">
        <v>59330.8</v>
      </c>
      <c r="N113" s="43">
        <f t="shared" si="40"/>
        <v>71298.7</v>
      </c>
      <c r="O113" s="43">
        <v>36086.199999999997</v>
      </c>
      <c r="P113" s="43">
        <v>178896.7</v>
      </c>
      <c r="Q113" s="43">
        <f t="shared" si="41"/>
        <v>214982.90000000002</v>
      </c>
      <c r="R113" s="43">
        <v>34455.599999999999</v>
      </c>
      <c r="S113" s="43">
        <v>170813.2</v>
      </c>
      <c r="T113" s="43">
        <f t="shared" si="42"/>
        <v>205268.80000000002</v>
      </c>
      <c r="U113" s="43">
        <v>10322.4</v>
      </c>
      <c r="V113" s="43">
        <v>51173</v>
      </c>
      <c r="W113" s="43">
        <f t="shared" si="43"/>
        <v>61495.4</v>
      </c>
      <c r="X113" s="43">
        <v>31124.400000000001</v>
      </c>
      <c r="Y113" s="43">
        <v>154299.1</v>
      </c>
      <c r="Z113" s="43">
        <f t="shared" si="44"/>
        <v>185423.5</v>
      </c>
      <c r="AA113" s="22">
        <v>827117.6</v>
      </c>
      <c r="AB113">
        <v>2953463.8</v>
      </c>
      <c r="AC113">
        <v>3780581.4</v>
      </c>
      <c r="AD113">
        <v>247791.9</v>
      </c>
      <c r="AE113">
        <v>884812.9</v>
      </c>
      <c r="AF113">
        <v>1132604.8</v>
      </c>
      <c r="AG113">
        <v>747152.4</v>
      </c>
      <c r="AH113">
        <v>2667924.7000000002</v>
      </c>
      <c r="AI113">
        <v>3415077.1</v>
      </c>
      <c r="AJ113">
        <v>713392.1</v>
      </c>
      <c r="AK113">
        <v>2547373.6</v>
      </c>
      <c r="AL113">
        <v>3260765.6</v>
      </c>
      <c r="AM113">
        <v>213721.4</v>
      </c>
      <c r="AN113">
        <v>763154.5</v>
      </c>
      <c r="AO113">
        <v>976875.9</v>
      </c>
      <c r="AP113">
        <v>644421.69999999995</v>
      </c>
      <c r="AQ113">
        <v>2301095.1</v>
      </c>
      <c r="AR113">
        <v>2945516.8</v>
      </c>
      <c r="AS113">
        <v>15511421.58</v>
      </c>
      <c r="AT113" s="22">
        <f t="shared" si="74"/>
        <v>1376889.82771926</v>
      </c>
      <c r="AU113">
        <f t="shared" si="74"/>
        <v>4916585.335334505</v>
      </c>
      <c r="AV113">
        <f t="shared" si="74"/>
        <v>6293475.163053765</v>
      </c>
      <c r="AW113">
        <f t="shared" si="74"/>
        <v>412495.32896075246</v>
      </c>
      <c r="AX113">
        <f t="shared" si="74"/>
        <v>1472934.2979097276</v>
      </c>
      <c r="AY113">
        <f t="shared" si="74"/>
        <v>1885429.6268704799</v>
      </c>
      <c r="AZ113">
        <f t="shared" si="74"/>
        <v>1243773.00073899</v>
      </c>
      <c r="BA113">
        <f t="shared" si="74"/>
        <v>4441252.8285590326</v>
      </c>
      <c r="BB113">
        <f t="shared" si="73"/>
        <v>5685025.8292980231</v>
      </c>
      <c r="BC113">
        <f t="shared" si="73"/>
        <v>1187572.7534576475</v>
      </c>
      <c r="BD113">
        <f t="shared" si="73"/>
        <v>4240573.2839448601</v>
      </c>
      <c r="BE113">
        <f t="shared" si="73"/>
        <v>5428145.8709340598</v>
      </c>
      <c r="BF113">
        <f t="shared" si="73"/>
        <v>355778.69655526499</v>
      </c>
      <c r="BG113">
        <f t="shared" si="73"/>
        <v>1270411.4481763877</v>
      </c>
      <c r="BH113">
        <f t="shared" si="73"/>
        <v>1626190.1447316525</v>
      </c>
      <c r="BI113">
        <f t="shared" si="73"/>
        <v>1072758.7993431075</v>
      </c>
      <c r="BJ113">
        <f t="shared" si="73"/>
        <v>3830597.2884685728</v>
      </c>
      <c r="BK113">
        <f t="shared" si="73"/>
        <v>4903356.0878116796</v>
      </c>
      <c r="BL113">
        <f t="shared" si="73"/>
        <v>25821622.68940597</v>
      </c>
      <c r="BM113" s="22">
        <f>-17.17-(0.1023*E113)+F113*(100-8.576-13.681)</f>
        <v>25.427475440984956</v>
      </c>
      <c r="BN113">
        <f>IF(AT113&lt;&gt;-999,AT113*$BM113, -999)</f>
        <v>35010832.279273495</v>
      </c>
      <c r="BO113">
        <f>IF(AU113&lt;&gt;-999,AU113*$BM113, -999)</f>
        <v>125016352.86772491</v>
      </c>
      <c r="BP113" s="25">
        <f>IF(AV113&lt;&gt;-999,AV113*$BM113, -999)</f>
        <v>160027185.14699841</v>
      </c>
      <c r="BQ113">
        <f>-19.943-(0.1023*E113)+F113*(100-8.576-13.681)</f>
        <v>22.654475440984953</v>
      </c>
      <c r="BR113">
        <f>IF(AW113&lt;&gt;-999,AW113*$BQ113, -999)</f>
        <v>9344865.2994623762</v>
      </c>
      <c r="BS113">
        <f>IF(AX113&lt;&gt;-999,AX113*$BQ113, -999)</f>
        <v>33368553.878180336</v>
      </c>
      <c r="BT113" s="25">
        <f>IF(AY113&lt;&gt;-999,AY113*$BQ113, -999)</f>
        <v>42713419.177642711</v>
      </c>
      <c r="BU113">
        <f>-25.871-(0.1023*E113)+F113*(100-8.576-13.681)</f>
        <v>16.726475440984956</v>
      </c>
      <c r="BV113">
        <f>IF(AZ113&lt;&gt;-999,AZ113*$BU113, -999)</f>
        <v>20803938.551020879</v>
      </c>
      <c r="BW113">
        <f>IF(BA113&lt;&gt;-999,BA113*$BU113, -999)</f>
        <v>74286506.364097625</v>
      </c>
      <c r="BX113" s="25">
        <f>IF(BB113&lt;&gt;-999,BB113*$BU113, -999)</f>
        <v>95090444.915118515</v>
      </c>
      <c r="BY113">
        <f>-25.245-(0.1023*E113)+F113*(100-8.576-13.681)</f>
        <v>17.352475440984954</v>
      </c>
      <c r="BZ113">
        <f>IF(BC113&lt;&gt;-999,BC113*$BY113, -999)</f>
        <v>20607327.038756706</v>
      </c>
      <c r="CA113">
        <f>IF(BD113&lt;&gt;-999,BD113*$BY113, -999)</f>
        <v>73584443.765350103</v>
      </c>
      <c r="CB113" s="25">
        <f>IF(BE113&lt;&gt;-999,BE113*$BY113, -999)</f>
        <v>94191767.915467158</v>
      </c>
      <c r="CC113">
        <f>-29.317-(0.1023*E113)+F113*(100-8.576-13.681)</f>
        <v>13.280475440984951</v>
      </c>
      <c r="CD113">
        <f>IF(BF113&lt;&gt;-999,BF113*$CC113, -999)</f>
        <v>4724910.2420278341</v>
      </c>
      <c r="CE113">
        <f>IF(BG113&lt;&gt;-999,BG113*$CC113, -999)</f>
        <v>16871668.037452642</v>
      </c>
      <c r="CF113" s="25">
        <f>IF(BH113&lt;&gt;-999,BH113*$CC113, -999)</f>
        <v>21596578.279480472</v>
      </c>
      <c r="CG113">
        <f>-38.03-(0.1023*E113)+F113*(100-8.576-13.681)</f>
        <v>4.5674754409849569</v>
      </c>
      <c r="CH113">
        <f>IF(BI113&lt;&gt;-999,BI113*$CG113, -999)</f>
        <v>4899799.4701001532</v>
      </c>
      <c r="CI113">
        <f>IF(BJ113&lt;&gt;-999,BJ113*$CG113, -999)</f>
        <v>17496159.039383776</v>
      </c>
      <c r="CJ113" s="25">
        <f>IF(BK113&lt;&gt;-999,BK113*$CG113, -999)</f>
        <v>22395958.509483926</v>
      </c>
      <c r="CK113" s="26">
        <f t="shared" si="45"/>
        <v>436015353.94419116</v>
      </c>
      <c r="CL113">
        <f t="shared" si="46"/>
        <v>-26.499188335328718</v>
      </c>
      <c r="CM113">
        <f t="shared" si="47"/>
        <v>31.909783681901459</v>
      </c>
      <c r="CN113">
        <f t="shared" si="48"/>
        <v>-83.899225529508485</v>
      </c>
      <c r="CO113" s="22">
        <f t="shared" si="49"/>
        <v>-40.08</v>
      </c>
      <c r="CP113">
        <f>IF(AT113&lt;&gt;-999,AT113*$CO113, -999)</f>
        <v>-55185744.294987939</v>
      </c>
      <c r="CQ113">
        <f>IF(AU113&lt;&gt;-999,AU113*$CO113, -999)</f>
        <v>-197056740.24020696</v>
      </c>
      <c r="CR113" s="27">
        <f>IF(AV113&lt;&gt;-999,AV113*$CO113, -999)</f>
        <v>-252242484.5351949</v>
      </c>
      <c r="CS113">
        <f t="shared" si="50"/>
        <v>-42.853000000000002</v>
      </c>
      <c r="CT113">
        <f>IF(AW113&lt;&gt;-999,AW113*$CS113, -999)</f>
        <v>-17676662.331955127</v>
      </c>
      <c r="CU113">
        <f>IF(AX113&lt;&gt;-999,AX113*$CS113, -999)</f>
        <v>-63119653.468325555</v>
      </c>
      <c r="CV113" s="27">
        <f>IF(AY113&lt;&gt;-999,AY113*$CS113, -999)</f>
        <v>-80796315.800280675</v>
      </c>
      <c r="CW113">
        <f t="shared" si="51"/>
        <v>-48.780999999999999</v>
      </c>
      <c r="CX113">
        <f>IF(AZ113&lt;&gt;-999,AZ113*$CO113, -999)</f>
        <v>-49850421.869618721</v>
      </c>
      <c r="CY113">
        <f>IF(BA113&lt;&gt;-999,BA113*$CO113, -999)</f>
        <v>-178005413.36864603</v>
      </c>
      <c r="CZ113" s="27">
        <f>IF(BB113&lt;&gt;-999,BB113*$CO113, -999)</f>
        <v>-227855835.23826477</v>
      </c>
      <c r="DA113">
        <f t="shared" si="52"/>
        <v>-48.155000000000001</v>
      </c>
      <c r="DB113">
        <f>IF(BC113&lt;&gt;-999,BC113*$DA113, -999)</f>
        <v>-57187565.942753017</v>
      </c>
      <c r="DC113">
        <f>IF(BD113&lt;&gt;-999,BD113*$DA113, -999)</f>
        <v>-204204806.48836476</v>
      </c>
      <c r="DD113" s="27">
        <f>IF(BE113&lt;&gt;-999,BE113*$DA113, -999)</f>
        <v>-261392364.41482967</v>
      </c>
      <c r="DE113">
        <f t="shared" si="53"/>
        <v>-52.227000000000004</v>
      </c>
      <c r="DF113">
        <f>IF(BF113&lt;&gt;-999,BF113*$DE113, -999)</f>
        <v>-18581253.984991826</v>
      </c>
      <c r="DG113">
        <f>IF(BG113&lt;&gt;-999,BG113*$DE113, -999)</f>
        <v>-66349778.703908205</v>
      </c>
      <c r="DH113" s="27">
        <f>IF(BH113&lt;&gt;-999,BH113*$DE113, -999)</f>
        <v>-84931032.688900024</v>
      </c>
      <c r="DI113">
        <f t="shared" si="54"/>
        <v>-60.94</v>
      </c>
      <c r="DJ113">
        <f>IF(BI113&lt;&gt;-999,BI113*$DI113, -999)</f>
        <v>-65373921.231968969</v>
      </c>
      <c r="DK113">
        <f>IF(BJ113&lt;&gt;-999,BJ113*$DI113, -999)</f>
        <v>-233436598.75927481</v>
      </c>
      <c r="DL113" s="27">
        <f>IF(BK113&lt;&gt;-999,BK113*$DI113, -999)</f>
        <v>-298810519.99124372</v>
      </c>
      <c r="DM113" s="28">
        <f t="shared" si="55"/>
        <v>-1206028552.6687136</v>
      </c>
      <c r="DN113" s="22">
        <f t="shared" si="56"/>
        <v>-17.170000000000002</v>
      </c>
      <c r="DO113">
        <f>IF(AT113&lt;&gt;-999,AT113*$DN113, -999)</f>
        <v>-23641198.341939695</v>
      </c>
      <c r="DP113">
        <f>IF(AU113&lt;&gt;-999,AU113*$DN113, -999)</f>
        <v>-84417770.207693458</v>
      </c>
      <c r="DQ113" s="24">
        <f>IF(AV113&lt;&gt;-999,AV113*$DN113, -999)</f>
        <v>-108058968.54963316</v>
      </c>
      <c r="DR113">
        <f t="shared" si="57"/>
        <v>-19.943000000000001</v>
      </c>
      <c r="DS113">
        <f>IF(AW113&lt;&gt;-999,AW113*$DR113, -999)</f>
        <v>-8226394.3454642873</v>
      </c>
      <c r="DT113">
        <f>IF(AX113&lt;&gt;-999,AX113*$DR113, -999)</f>
        <v>-29374728.703213699</v>
      </c>
      <c r="DU113" s="24">
        <f>IF(AY113&lt;&gt;-999,AY113*$DR113, -999)</f>
        <v>-37601123.048677981</v>
      </c>
      <c r="DV113">
        <f t="shared" si="58"/>
        <v>-25.870999999999999</v>
      </c>
      <c r="DW113">
        <f>IF(AZ113&lt;&gt;-999,AZ113*$DV113, -999)</f>
        <v>-32177651.302118409</v>
      </c>
      <c r="DX113">
        <f>IF(BA113&lt;&gt;-999,BA113*$DV113, -999)</f>
        <v>-114899651.92765073</v>
      </c>
      <c r="DY113" s="24">
        <f>IF(BB113&lt;&gt;-999,BB113*$DV113, -999)</f>
        <v>-147077303.22976914</v>
      </c>
      <c r="DZ113">
        <f t="shared" si="59"/>
        <v>-25.245000000000001</v>
      </c>
      <c r="EA113">
        <f>IF(BC113&lt;&gt;-999, BC113*$DZ113, -999)</f>
        <v>-29980274.161038313</v>
      </c>
      <c r="EB113">
        <f>IF(BD113&lt;&gt;-999, BD113*$DZ113, -999)</f>
        <v>-107053272.553188</v>
      </c>
      <c r="EC113" s="24">
        <f>IF(BE113&lt;&gt;-999, BE113*$DZ113, -999)</f>
        <v>-137033542.51173034</v>
      </c>
      <c r="ED113">
        <f t="shared" si="60"/>
        <v>-29.317</v>
      </c>
      <c r="EE113">
        <f>IF(BF113&lt;&gt;-999,BF113*$ED113, -999)</f>
        <v>-10430364.046910703</v>
      </c>
      <c r="EF113">
        <f>IF(BG113&lt;&gt;-999,BG113*$ED113, -999)</f>
        <v>-37244652.426187158</v>
      </c>
      <c r="EG113" s="24">
        <f>IF(BH113&lt;&gt;-999,BH113*$ED113, -999)</f>
        <v>-47675016.473097853</v>
      </c>
      <c r="EH113">
        <f t="shared" si="61"/>
        <v>-38.03</v>
      </c>
      <c r="EI113">
        <f>IF(BI113&lt;&gt;-999,BI113*$EH113, -999)</f>
        <v>-40797017.139018379</v>
      </c>
      <c r="EJ113">
        <f>IF(BJ113&lt;&gt;-999,BJ113*$EH113, -999)</f>
        <v>-145677614.88045982</v>
      </c>
      <c r="EK113" s="24">
        <f>IF(BK113&lt;&gt;-999,BK113*$EH113, -999)</f>
        <v>-186474632.01947817</v>
      </c>
      <c r="EL113" s="28">
        <f t="shared" si="62"/>
        <v>-663920585.83238661</v>
      </c>
      <c r="EM113" s="22">
        <f>-17.17-(0.1023*G113)+H113*(100+102.093-66.644-64.243)</f>
        <v>37.065440117473024</v>
      </c>
      <c r="EN113">
        <f>IF(AT113&lt;&gt;-999,AT113*$EM113, -999)</f>
        <v>51035027.457685977</v>
      </c>
      <c r="EO113">
        <f>IF(AU113&lt;&gt;-999,AU113*$EM113, -999)</f>
        <v>182235399.32928711</v>
      </c>
      <c r="EP113" s="23">
        <f>IF(AV113&lt;&gt;-999,AV113*$EM113, -999)</f>
        <v>233270426.78697309</v>
      </c>
      <c r="EQ113">
        <f>-19.943-(0.1023*G113)+H113*(100+102.093-66.644-64.243)</f>
        <v>34.292440117473021</v>
      </c>
      <c r="ER113">
        <f>IF(AW113&lt;&gt;-999,AW113*$EQ113, -999)</f>
        <v>14145471.367123939</v>
      </c>
      <c r="ES113">
        <f>IF(AX113&lt;&gt;-999,AX113*$EQ113, -999)</f>
        <v>50510511.208041497</v>
      </c>
      <c r="ET113" s="23">
        <f>IF(AY113&lt;&gt;-999,AY113*$EQ113, -999)</f>
        <v>64655982.575165436</v>
      </c>
      <c r="EU113">
        <f>-25.871-(0.1023*G113)+H113*(100+102.093-66.644-64.243)</f>
        <v>28.364440117473027</v>
      </c>
      <c r="EV113">
        <f>IF(AZ113&lt;&gt;-999,AZ113*$EU113, -999)</f>
        <v>35278924.799190819</v>
      </c>
      <c r="EW113">
        <f>IF(BA113&lt;&gt;-999,BA113*$EU113, -999)</f>
        <v>125973649.90222038</v>
      </c>
      <c r="EX113" s="23">
        <f>IF(BB113&lt;&gt;-999,BB113*$EU113, -999)</f>
        <v>161252574.70141122</v>
      </c>
      <c r="EY113">
        <f>-25.245-(0.1023*G113)+H113*(100+102.093-66.644-64.243)</f>
        <v>28.990440117473025</v>
      </c>
      <c r="EZ113">
        <f>IF(BC113&lt;&gt;-999, BC113*$EY113, -999)</f>
        <v>34428256.794256486</v>
      </c>
      <c r="FA113">
        <f>IF(BD113&lt;&gt;-999, BD113*$EY113, -999)</f>
        <v>122936085.85195941</v>
      </c>
      <c r="FB113" s="23">
        <f>IF(BE113&lt;&gt;-999, BE113*$EY113, -999)</f>
        <v>157364337.82022232</v>
      </c>
      <c r="FC113">
        <f>-29.317-(0.1023*G113)+H113*(100+102.093-66.644-64.243)</f>
        <v>24.918440117473025</v>
      </c>
      <c r="FD113">
        <f>IF(BF113&lt;&gt;-999,BF113*$FC113, -999)</f>
        <v>8865450.145184977</v>
      </c>
      <c r="FE113">
        <f>IF(BG113&lt;&gt;-999,BG113*$FC113, -999)</f>
        <v>31656671.595935501</v>
      </c>
      <c r="FF113" s="23">
        <f>IF(BH113&lt;&gt;-999,BH113*$FC113, -999)</f>
        <v>40522121.741120473</v>
      </c>
      <c r="FG113">
        <f>-38.03-(0.1023*G113)+H113*(100+102.093-66.644-64.243)</f>
        <v>16.205440117473024</v>
      </c>
      <c r="FH113">
        <f>IF(BI113&lt;&gt;-999,BI113*$FG113, -999)</f>
        <v>17384528.48324699</v>
      </c>
      <c r="FI113">
        <f>IF(BJ113&lt;&gt;-999,BJ113*$FG113, -999)</f>
        <v>62076514.972431995</v>
      </c>
      <c r="FJ113" s="23">
        <f>IF(BK113&lt;&gt;-999,BK113*$FG113, -999)</f>
        <v>79461043.45567897</v>
      </c>
      <c r="FK113" s="28">
        <f t="shared" si="63"/>
        <v>736526487.08057153</v>
      </c>
      <c r="FL113" s="22">
        <f t="shared" si="66"/>
        <v>10.012280000000011</v>
      </c>
      <c r="FM113">
        <f>IF(AT113&lt;&gt;-999,AT113*$FL113, -999)</f>
        <v>13785806.484277008</v>
      </c>
      <c r="FN113">
        <f>IF(AU113&lt;&gt;-999,AU113*$FL113, -999)</f>
        <v>49226229.021263011</v>
      </c>
      <c r="FO113" s="29">
        <f>IF(AV113&lt;&gt;-999,AV113*$FL113, -999)</f>
        <v>63012035.505540021</v>
      </c>
      <c r="FP113">
        <f t="shared" si="67"/>
        <v>7.2392800000000115</v>
      </c>
      <c r="FQ113">
        <f>IF(AW113&lt;&gt;-999,AW113*$FP113, -999)</f>
        <v>2986169.1850390011</v>
      </c>
      <c r="FR113">
        <f>IF(AX113&lt;&gt;-999,AX113*$FP113, -999)</f>
        <v>10662983.80417195</v>
      </c>
      <c r="FS113" s="29">
        <f>IF(AY113&lt;&gt;-999,AY113*$FP113, -999)</f>
        <v>13649152.98921095</v>
      </c>
      <c r="FT113">
        <f t="shared" si="68"/>
        <v>1.3112800000000142</v>
      </c>
      <c r="FU113">
        <f>IF(AZ113&lt;&gt;-999,AZ113*$FT113, -999)</f>
        <v>1630934.6604090405</v>
      </c>
      <c r="FV113">
        <f>IF(BA113&lt;&gt;-999,BA113*$FT113, -999)</f>
        <v>5823726.0090329517</v>
      </c>
      <c r="FW113" s="29">
        <f>IF(BB113&lt;&gt;-999,BB113*$FT113, -999)</f>
        <v>7454660.6694419924</v>
      </c>
      <c r="FX113">
        <f t="shared" si="69"/>
        <v>1.9372800000000119</v>
      </c>
      <c r="FY113">
        <f>IF(BC113&lt;&gt;-999, BC113*$FX113, -999)</f>
        <v>2300660.9438184453</v>
      </c>
      <c r="FZ113">
        <f>IF(BD113&lt;&gt;-999, BD113*$FX113, -999)</f>
        <v>8215177.8115207488</v>
      </c>
      <c r="GA113" s="29">
        <f>IF(BE113&lt;&gt;-999, BE113*$FX113, -999)</f>
        <v>10515838.432843201</v>
      </c>
      <c r="GB113">
        <f t="shared" si="70"/>
        <v>-2.1347199999999873</v>
      </c>
      <c r="GC113">
        <f>IF(BF113&lt;&gt;-999,BF113*$GB113, -999)</f>
        <v>-759487.89911045076</v>
      </c>
      <c r="GD113">
        <f>IF(BG113&lt;&gt;-999,BG113*$GB113, -999)</f>
        <v>-2711972.7266510823</v>
      </c>
      <c r="GE113" s="29">
        <f>IF(BH113&lt;&gt;-999,BH113*$GB113, -999)</f>
        <v>-3471460.6257615327</v>
      </c>
      <c r="GF113">
        <f t="shared" si="71"/>
        <v>-10.847719999999988</v>
      </c>
      <c r="GG113">
        <f>IF(BI113&lt;&gt;-999,BI113*$GF113, -999)</f>
        <v>-11636987.082810201</v>
      </c>
      <c r="GH113">
        <f>IF(BJ113&lt;&gt;-999,BJ113*$GF113, -999)</f>
        <v>-41553246.818066262</v>
      </c>
      <c r="GI113" s="29">
        <f>IF(BK113&lt;&gt;-999,BK113*$GF113, -999)</f>
        <v>-53190233.900876455</v>
      </c>
      <c r="GJ113" s="30">
        <f t="shared" si="64"/>
        <v>37969993.070398189</v>
      </c>
    </row>
    <row r="114" spans="1:192">
      <c r="A114" s="48" t="s">
        <v>138</v>
      </c>
      <c r="B114" s="48" t="s">
        <v>249</v>
      </c>
      <c r="C114" s="49">
        <v>59</v>
      </c>
      <c r="D114" s="50">
        <v>0.65700000000000003</v>
      </c>
      <c r="E114" s="49">
        <v>191.188343421947</v>
      </c>
      <c r="F114" s="49">
        <v>0.77959187259648899</v>
      </c>
      <c r="G114" s="49">
        <v>31.522947062128601</v>
      </c>
      <c r="H114" s="49">
        <v>0.82118089706766895</v>
      </c>
      <c r="I114" s="42">
        <v>20196.7</v>
      </c>
      <c r="J114" s="43">
        <v>12038.2</v>
      </c>
      <c r="K114" s="43">
        <f t="shared" si="39"/>
        <v>32234.9</v>
      </c>
      <c r="L114" s="43">
        <v>18293.599999999999</v>
      </c>
      <c r="M114" s="43">
        <v>10903.8</v>
      </c>
      <c r="N114" s="43">
        <f t="shared" si="40"/>
        <v>29197.399999999998</v>
      </c>
      <c r="O114" s="43">
        <v>27157</v>
      </c>
      <c r="P114" s="43">
        <v>16186.8</v>
      </c>
      <c r="Q114" s="43">
        <f t="shared" si="41"/>
        <v>43343.8</v>
      </c>
      <c r="R114" s="43">
        <v>15286.7</v>
      </c>
      <c r="S114" s="43">
        <v>9111.6</v>
      </c>
      <c r="T114" s="43">
        <f t="shared" si="42"/>
        <v>24398.300000000003</v>
      </c>
      <c r="U114" s="43">
        <v>13846.3</v>
      </c>
      <c r="V114" s="43">
        <v>8253</v>
      </c>
      <c r="W114" s="43">
        <f t="shared" si="43"/>
        <v>22099.3</v>
      </c>
      <c r="X114" s="43">
        <v>20554.900000000001</v>
      </c>
      <c r="Y114" s="43">
        <v>12251.6</v>
      </c>
      <c r="Z114" s="43">
        <f t="shared" si="44"/>
        <v>32806.5</v>
      </c>
      <c r="AA114" s="22">
        <v>158583.4</v>
      </c>
      <c r="AB114">
        <v>80761.399999999994</v>
      </c>
      <c r="AC114">
        <v>239344.8</v>
      </c>
      <c r="AD114">
        <v>143640.4</v>
      </c>
      <c r="AE114">
        <v>73151.399999999994</v>
      </c>
      <c r="AF114">
        <v>216791.8</v>
      </c>
      <c r="AG114">
        <v>213235.20000000001</v>
      </c>
      <c r="AH114">
        <v>108593.8</v>
      </c>
      <c r="AI114">
        <v>321829</v>
      </c>
      <c r="AJ114">
        <v>120030.2</v>
      </c>
      <c r="AK114">
        <v>61127.5</v>
      </c>
      <c r="AL114">
        <v>181157.6</v>
      </c>
      <c r="AM114">
        <v>108720</v>
      </c>
      <c r="AN114">
        <v>55367.5</v>
      </c>
      <c r="AO114">
        <v>164087.5</v>
      </c>
      <c r="AP114">
        <v>161395.6</v>
      </c>
      <c r="AQ114">
        <v>82193.5</v>
      </c>
      <c r="AR114">
        <v>243589.1</v>
      </c>
      <c r="AS114">
        <v>1366799.74</v>
      </c>
      <c r="AT114" s="22">
        <f t="shared" si="74"/>
        <v>263991.32397271501</v>
      </c>
      <c r="AU114">
        <f t="shared" si="74"/>
        <v>134442.248759265</v>
      </c>
      <c r="AV114">
        <f t="shared" si="74"/>
        <v>398433.57273198001</v>
      </c>
      <c r="AW114">
        <f t="shared" si="74"/>
        <v>239115.94386278998</v>
      </c>
      <c r="AX114">
        <f t="shared" si="74"/>
        <v>121773.99990451499</v>
      </c>
      <c r="AY114">
        <f t="shared" si="74"/>
        <v>360889.943767305</v>
      </c>
      <c r="AZ114">
        <f t="shared" si="74"/>
        <v>354969.32696352003</v>
      </c>
      <c r="BA114">
        <f t="shared" si="74"/>
        <v>180774.412941255</v>
      </c>
      <c r="BB114">
        <f t="shared" si="73"/>
        <v>535743.73990477493</v>
      </c>
      <c r="BC114">
        <f t="shared" si="73"/>
        <v>199812.41047114501</v>
      </c>
      <c r="BD114">
        <f t="shared" si="73"/>
        <v>101758.00024556249</v>
      </c>
      <c r="BE114">
        <f t="shared" si="73"/>
        <v>301570.24424825999</v>
      </c>
      <c r="BF114">
        <f t="shared" si="73"/>
        <v>180984.49612199998</v>
      </c>
      <c r="BG114">
        <f t="shared" si="73"/>
        <v>92169.417669562506</v>
      </c>
      <c r="BH114">
        <f t="shared" si="73"/>
        <v>273153.91379156249</v>
      </c>
      <c r="BI114">
        <f t="shared" si="73"/>
        <v>268672.74965330999</v>
      </c>
      <c r="BJ114">
        <f t="shared" si="73"/>
        <v>136826.24339591252</v>
      </c>
      <c r="BK114">
        <f t="shared" si="73"/>
        <v>405498.99304922251</v>
      </c>
      <c r="BL114">
        <f t="shared" si="73"/>
        <v>2275290.3076120364</v>
      </c>
      <c r="BM114" s="22">
        <f>-17.17-(0.1023*E114)+F114*(100-8.576-13.681)</f>
        <v>23.879243419203668</v>
      </c>
      <c r="BN114">
        <f>IF(AT114&lt;&gt;-999,AT114*$BM114, -999)</f>
        <v>6303913.0857023187</v>
      </c>
      <c r="BO114">
        <f>IF(AU114&lt;&gt;-999,AU114*$BM114, -999)</f>
        <v>3210379.1839476214</v>
      </c>
      <c r="BP114" s="25">
        <f>IF(AV114&lt;&gt;-999,AV114*$BM114, -999)</f>
        <v>9514292.2696499396</v>
      </c>
      <c r="BQ114">
        <f>-19.943-(0.1023*E114)+F114*(100-8.576-13.681)</f>
        <v>21.106243419203672</v>
      </c>
      <c r="BR114">
        <f>IF(AW114&lt;&gt;-999,AW114*$BQ114, -999)</f>
        <v>5046839.3165806858</v>
      </c>
      <c r="BS114">
        <f>IF(AX114&lt;&gt;-999,AX114*$BQ114, -999)</f>
        <v>2570191.6841147779</v>
      </c>
      <c r="BT114" s="25">
        <f>IF(AY114&lt;&gt;-999,AY114*$BQ114, -999)</f>
        <v>7617031.0006954642</v>
      </c>
      <c r="BU114">
        <f>-25.871-(0.1023*E114)+F114*(100-8.576-13.681)</f>
        <v>15.178243419203675</v>
      </c>
      <c r="BV114">
        <f>IF(AZ114&lt;&gt;-999,AZ114*$BU114, -999)</f>
        <v>5387810.8510032054</v>
      </c>
      <c r="BW114">
        <f>IF(BA114&lt;&gt;-999,BA114*$BU114, -999)</f>
        <v>2743838.043586011</v>
      </c>
      <c r="BX114" s="25">
        <f>IF(BB114&lt;&gt;-999,BB114*$BU114, -999)</f>
        <v>8131648.8945892155</v>
      </c>
      <c r="BY114">
        <f>-25.245-(0.1023*E114)+F114*(100-8.576-13.681)</f>
        <v>15.804243419203672</v>
      </c>
      <c r="BZ114">
        <f>IF(BC114&lt;&gt;-999,BC114*$BY114, -999)</f>
        <v>3157883.9732638164</v>
      </c>
      <c r="CA114">
        <f>IF(BD114&lt;&gt;-999,BD114*$BY114, -999)</f>
        <v>1608208.2057322566</v>
      </c>
      <c r="CB114" s="25">
        <f>IF(BE114&lt;&gt;-999,BE114*$BY114, -999)</f>
        <v>4766089.5480882069</v>
      </c>
      <c r="CC114">
        <f>-29.317-(0.1023*E114)+F114*(100-8.576-13.681)</f>
        <v>11.732243419203677</v>
      </c>
      <c r="CD114">
        <f>IF(BF114&lt;&gt;-999,BF114*$CC114, -999)</f>
        <v>2123354.1636052276</v>
      </c>
      <c r="CE114">
        <f>IF(BG114&lt;&gt;-999,BG114*$CC114, -999)</f>
        <v>1081354.0439055597</v>
      </c>
      <c r="CF114" s="25">
        <f>IF(BH114&lt;&gt;-999,BH114*$CC114, -999)</f>
        <v>3204708.2075107875</v>
      </c>
      <c r="CG114">
        <f>-38.03-(0.1023*E114)+F114*(100-8.576-13.681)</f>
        <v>3.0192434192036686</v>
      </c>
      <c r="CH114">
        <f>IF(BI114&lt;&gt;-999,BI114*$CG114, -999)</f>
        <v>811188.43131011096</v>
      </c>
      <c r="CI114">
        <f>IF(BJ114&lt;&gt;-999,BJ114*$CG114, -999)</f>
        <v>413111.73494746827</v>
      </c>
      <c r="CJ114" s="25">
        <f>IF(BK114&lt;&gt;-999,BK114*$CG114, -999)</f>
        <v>1224300.1662575791</v>
      </c>
      <c r="CK114" s="26">
        <f t="shared" si="45"/>
        <v>34458070.086791195</v>
      </c>
      <c r="CL114">
        <f t="shared" si="46"/>
        <v>-24.262767256098705</v>
      </c>
      <c r="CM114">
        <f t="shared" si="47"/>
        <v>34.030554669695661</v>
      </c>
      <c r="CN114">
        <f t="shared" si="48"/>
        <v>-81.549152055438029</v>
      </c>
      <c r="CO114" s="22">
        <f t="shared" si="49"/>
        <v>-40.08</v>
      </c>
      <c r="CP114">
        <f>IF(AT114&lt;&gt;-999,AT114*$CO114, -999)</f>
        <v>-10580772.264826417</v>
      </c>
      <c r="CQ114">
        <f>IF(AU114&lt;&gt;-999,AU114*$CO114, -999)</f>
        <v>-5388445.3302713409</v>
      </c>
      <c r="CR114" s="27">
        <f>IF(AV114&lt;&gt;-999,AV114*$CO114, -999)</f>
        <v>-15969217.595097758</v>
      </c>
      <c r="CS114">
        <f t="shared" si="50"/>
        <v>-42.853000000000002</v>
      </c>
      <c r="CT114">
        <f>IF(AW114&lt;&gt;-999,AW114*$CS114, -999)</f>
        <v>-10246835.54235214</v>
      </c>
      <c r="CU114">
        <f>IF(AX114&lt;&gt;-999,AX114*$CS114, -999)</f>
        <v>-5218381.2179081813</v>
      </c>
      <c r="CV114" s="27">
        <f>IF(AY114&lt;&gt;-999,AY114*$CS114, -999)</f>
        <v>-15465216.760260321</v>
      </c>
      <c r="CW114">
        <f t="shared" si="51"/>
        <v>-48.780999999999999</v>
      </c>
      <c r="CX114">
        <f>IF(AZ114&lt;&gt;-999,AZ114*$CO114, -999)</f>
        <v>-14227170.624697883</v>
      </c>
      <c r="CY114">
        <f>IF(BA114&lt;&gt;-999,BA114*$CO114, -999)</f>
        <v>-7245438.4706854997</v>
      </c>
      <c r="CZ114" s="27">
        <f>IF(BB114&lt;&gt;-999,BB114*$CO114, -999)</f>
        <v>-21472609.09538338</v>
      </c>
      <c r="DA114">
        <f t="shared" si="52"/>
        <v>-48.155000000000001</v>
      </c>
      <c r="DB114">
        <f>IF(BC114&lt;&gt;-999,BC114*$DA114, -999)</f>
        <v>-9621966.6262379885</v>
      </c>
      <c r="DC114">
        <f>IF(BD114&lt;&gt;-999,BD114*$DA114, -999)</f>
        <v>-4900156.5018250616</v>
      </c>
      <c r="DD114" s="27">
        <f>IF(BE114&lt;&gt;-999,BE114*$DA114, -999)</f>
        <v>-14522115.111774961</v>
      </c>
      <c r="DE114">
        <f t="shared" si="53"/>
        <v>-52.227000000000004</v>
      </c>
      <c r="DF114">
        <f>IF(BF114&lt;&gt;-999,BF114*$DE114, -999)</f>
        <v>-9452277.2789636943</v>
      </c>
      <c r="DG114">
        <f>IF(BG114&lt;&gt;-999,BG114*$DE114, -999)</f>
        <v>-4813732.1766282413</v>
      </c>
      <c r="DH114" s="27">
        <f>IF(BH114&lt;&gt;-999,BH114*$DE114, -999)</f>
        <v>-14266009.455591936</v>
      </c>
      <c r="DI114">
        <f t="shared" si="54"/>
        <v>-60.94</v>
      </c>
      <c r="DJ114">
        <f>IF(BI114&lt;&gt;-999,BI114*$DI114, -999)</f>
        <v>-16372917.363872711</v>
      </c>
      <c r="DK114">
        <f>IF(BJ114&lt;&gt;-999,BJ114*$DI114, -999)</f>
        <v>-8338191.2725469088</v>
      </c>
      <c r="DL114" s="27">
        <f>IF(BK114&lt;&gt;-999,BK114*$DI114, -999)</f>
        <v>-24711108.63641962</v>
      </c>
      <c r="DM114" s="28">
        <f t="shared" si="55"/>
        <v>-106406276.65452798</v>
      </c>
      <c r="DN114" s="22">
        <f t="shared" si="56"/>
        <v>-17.170000000000002</v>
      </c>
      <c r="DO114">
        <f>IF(AT114&lt;&gt;-999,AT114*$DN114, -999)</f>
        <v>-4532731.0326115172</v>
      </c>
      <c r="DP114">
        <f>IF(AU114&lt;&gt;-999,AU114*$DN114, -999)</f>
        <v>-2308373.4111965802</v>
      </c>
      <c r="DQ114" s="24">
        <f>IF(AV114&lt;&gt;-999,AV114*$DN114, -999)</f>
        <v>-6841104.4438080974</v>
      </c>
      <c r="DR114">
        <f t="shared" si="57"/>
        <v>-19.943000000000001</v>
      </c>
      <c r="DS114">
        <f>IF(AW114&lt;&gt;-999,AW114*$DR114, -999)</f>
        <v>-4768689.2684556209</v>
      </c>
      <c r="DT114">
        <f>IF(AX114&lt;&gt;-999,AX114*$DR114, -999)</f>
        <v>-2428538.8800957426</v>
      </c>
      <c r="DU114" s="24">
        <f>IF(AY114&lt;&gt;-999,AY114*$DR114, -999)</f>
        <v>-7197228.1485513644</v>
      </c>
      <c r="DV114">
        <f t="shared" si="58"/>
        <v>-25.870999999999999</v>
      </c>
      <c r="DW114">
        <f>IF(AZ114&lt;&gt;-999,AZ114*$DV114, -999)</f>
        <v>-9183411.4578732252</v>
      </c>
      <c r="DX114">
        <f>IF(BA114&lt;&gt;-999,BA114*$DV114, -999)</f>
        <v>-4676814.8372032074</v>
      </c>
      <c r="DY114" s="24">
        <f>IF(BB114&lt;&gt;-999,BB114*$DV114, -999)</f>
        <v>-13860226.295076432</v>
      </c>
      <c r="DZ114">
        <f t="shared" si="59"/>
        <v>-25.245000000000001</v>
      </c>
      <c r="EA114">
        <f>IF(BC114&lt;&gt;-999, BC114*$DZ114, -999)</f>
        <v>-5044264.3023440558</v>
      </c>
      <c r="EB114">
        <f>IF(BD114&lt;&gt;-999, BD114*$DZ114, -999)</f>
        <v>-2568880.7161992253</v>
      </c>
      <c r="EC114" s="24">
        <f>IF(BE114&lt;&gt;-999, BE114*$DZ114, -999)</f>
        <v>-7613140.8160473239</v>
      </c>
      <c r="ED114">
        <f t="shared" si="60"/>
        <v>-29.317</v>
      </c>
      <c r="EE114">
        <f>IF(BF114&lt;&gt;-999,BF114*$ED114, -999)</f>
        <v>-5305922.472808673</v>
      </c>
      <c r="EF114">
        <f>IF(BG114&lt;&gt;-999,BG114*$ED114, -999)</f>
        <v>-2702130.8178185639</v>
      </c>
      <c r="EG114" s="24">
        <f>IF(BH114&lt;&gt;-999,BH114*$ED114, -999)</f>
        <v>-8008053.2906272374</v>
      </c>
      <c r="EH114">
        <f t="shared" si="61"/>
        <v>-38.03</v>
      </c>
      <c r="EI114">
        <f>IF(BI114&lt;&gt;-999,BI114*$EH114, -999)</f>
        <v>-10217624.669315379</v>
      </c>
      <c r="EJ114">
        <f>IF(BJ114&lt;&gt;-999,BJ114*$EH114, -999)</f>
        <v>-5203502.0363465529</v>
      </c>
      <c r="EK114" s="24">
        <f>IF(BK114&lt;&gt;-999,BK114*$EH114, -999)</f>
        <v>-15421126.705661932</v>
      </c>
      <c r="EL114" s="28">
        <f t="shared" si="62"/>
        <v>-58940879.69977238</v>
      </c>
      <c r="EM114" s="22">
        <f>-17.17-(0.1023*G114)+H114*(100+102.093-66.644-64.243)</f>
        <v>38.078209472144692</v>
      </c>
      <c r="EN114">
        <f>IF(AT114&lt;&gt;-999,AT114*$EM114, -999)</f>
        <v>10052316.933061855</v>
      </c>
      <c r="EO114">
        <f>IF(AU114&lt;&gt;-999,AU114*$EM114, -999)</f>
        <v>5119320.1101614777</v>
      </c>
      <c r="EP114" s="23">
        <f>IF(AV114&lt;&gt;-999,AV114*$EM114, -999)</f>
        <v>15171637.043223333</v>
      </c>
      <c r="EQ114">
        <f>-19.943-(0.1023*G114)+H114*(100+102.093-66.644-64.243)</f>
        <v>35.305209472144696</v>
      </c>
      <c r="ER114">
        <f>IF(AW114&lt;&gt;-999,AW114*$EQ114, -999)</f>
        <v>8442038.4862053916</v>
      </c>
      <c r="ES114">
        <f>IF(AX114&lt;&gt;-999,AX114*$EQ114, -999)</f>
        <v>4299256.5748898303</v>
      </c>
      <c r="ET114" s="23">
        <f>IF(AY114&lt;&gt;-999,AY114*$EQ114, -999)</f>
        <v>12741295.061095223</v>
      </c>
      <c r="EU114">
        <f>-25.871-(0.1023*G114)+H114*(100+102.093-66.644-64.243)</f>
        <v>29.377209472144695</v>
      </c>
      <c r="EV114">
        <f>IF(AZ114&lt;&gt;-999,AZ114*$EU114, -999)</f>
        <v>10428008.274393547</v>
      </c>
      <c r="EW114">
        <f>IF(BA114&lt;&gt;-999,BA114*$EU114, -999)</f>
        <v>5310647.7961792331</v>
      </c>
      <c r="EX114" s="23">
        <f>IF(BB114&lt;&gt;-999,BB114*$EU114, -999)</f>
        <v>15738656.070572779</v>
      </c>
      <c r="EY114">
        <f>-25.245-(0.1023*G114)+H114*(100+102.093-66.644-64.243)</f>
        <v>30.003209472144693</v>
      </c>
      <c r="EZ114">
        <f>IF(BC114&lt;&gt;-999, BC114*$EY114, -999)</f>
        <v>5995013.6064999215</v>
      </c>
      <c r="FA114">
        <f>IF(BD114&lt;&gt;-999, BD114*$EY114, -999)</f>
        <v>3053066.5968341627</v>
      </c>
      <c r="FB114" s="23">
        <f>IF(BE114&lt;&gt;-999, BE114*$EY114, -999)</f>
        <v>9048075.208746383</v>
      </c>
      <c r="FC114">
        <f>-29.317-(0.1023*G114)+H114*(100+102.093-66.644-64.243)</f>
        <v>25.931209472144694</v>
      </c>
      <c r="FD114">
        <f>IF(BF114&lt;&gt;-999,BF114*$FC114, -999)</f>
        <v>4693146.8801501403</v>
      </c>
      <c r="FE114">
        <f>IF(BG114&lt;&gt;-999,BG114*$FC114, -999)</f>
        <v>2390064.4765150198</v>
      </c>
      <c r="FF114" s="23">
        <f>IF(BH114&lt;&gt;-999,BH114*$FC114, -999)</f>
        <v>7083211.3566651605</v>
      </c>
      <c r="FG114">
        <f>-38.03-(0.1023*G114)+H114*(100+102.093-66.644-64.243)</f>
        <v>17.218209472144693</v>
      </c>
      <c r="FH114">
        <f>IF(BI114&lt;&gt;-999,BI114*$FG114, -999)</f>
        <v>4626063.6829877822</v>
      </c>
      <c r="FI114">
        <f>IF(BJ114&lt;&gt;-999,BJ114*$FG114, -999)</f>
        <v>2355902.9200774762</v>
      </c>
      <c r="FJ114" s="23">
        <f>IF(BK114&lt;&gt;-999,BK114*$FG114, -999)</f>
        <v>6981966.6030652579</v>
      </c>
      <c r="FK114" s="28">
        <f t="shared" si="63"/>
        <v>66764841.343368135</v>
      </c>
      <c r="FL114" s="22">
        <f t="shared" si="66"/>
        <v>10.012280000000011</v>
      </c>
      <c r="FM114">
        <f>IF(AT114&lt;&gt;-999,AT114*$FL114, -999)</f>
        <v>2643155.0531855379</v>
      </c>
      <c r="FN114">
        <f>IF(AU114&lt;&gt;-999,AU114*$FL114, -999)</f>
        <v>1346073.4384074153</v>
      </c>
      <c r="FO114" s="29">
        <f>IF(AV114&lt;&gt;-999,AV114*$FL114, -999)</f>
        <v>3989228.4915929534</v>
      </c>
      <c r="FP114">
        <f t="shared" si="67"/>
        <v>7.2392800000000115</v>
      </c>
      <c r="FQ114">
        <f>IF(AW114&lt;&gt;-999,AW114*$FP114, -999)</f>
        <v>1731027.2700870209</v>
      </c>
      <c r="FR114">
        <f>IF(AX114&lt;&gt;-999,AX114*$FP114, -999)</f>
        <v>881556.08202875871</v>
      </c>
      <c r="FS114" s="29">
        <f>IF(AY114&lt;&gt;-999,AY114*$FP114, -999)</f>
        <v>2612583.3521157796</v>
      </c>
      <c r="FT114">
        <f t="shared" si="68"/>
        <v>1.3112800000000142</v>
      </c>
      <c r="FU114">
        <f>IF(AZ114&lt;&gt;-999,AZ114*$FT114, -999)</f>
        <v>465464.17906072957</v>
      </c>
      <c r="FV114">
        <f>IF(BA114&lt;&gt;-999,BA114*$FT114, -999)</f>
        <v>237045.87220161143</v>
      </c>
      <c r="FW114" s="29">
        <f>IF(BB114&lt;&gt;-999,BB114*$FT114, -999)</f>
        <v>702510.05126234086</v>
      </c>
      <c r="FX114">
        <f t="shared" si="69"/>
        <v>1.9372800000000119</v>
      </c>
      <c r="FY114">
        <f>IF(BC114&lt;&gt;-999, BC114*$FX114, -999)</f>
        <v>387092.58655754215</v>
      </c>
      <c r="FZ114">
        <f>IF(BD114&lt;&gt;-999, BD114*$FX114, -999)</f>
        <v>197133.73871572452</v>
      </c>
      <c r="GA114" s="29">
        <f>IF(BE114&lt;&gt;-999, BE114*$FX114, -999)</f>
        <v>584226.00277727272</v>
      </c>
      <c r="GB114">
        <f t="shared" si="70"/>
        <v>-2.1347199999999873</v>
      </c>
      <c r="GC114">
        <f>IF(BF114&lt;&gt;-999,BF114*$GB114, -999)</f>
        <v>-386351.22356155352</v>
      </c>
      <c r="GD114">
        <f>IF(BG114&lt;&gt;-999,BG114*$GB114, -999)</f>
        <v>-196755.8992875673</v>
      </c>
      <c r="GE114" s="29">
        <f>IF(BH114&lt;&gt;-999,BH114*$GB114, -999)</f>
        <v>-583107.12284912076</v>
      </c>
      <c r="GF114">
        <f t="shared" si="71"/>
        <v>-10.847719999999988</v>
      </c>
      <c r="GG114">
        <f>IF(BI114&lt;&gt;-999,BI114*$GF114, -999)</f>
        <v>-2914486.7598692006</v>
      </c>
      <c r="GH114">
        <f>IF(BJ114&lt;&gt;-999,BJ114*$GF114, -999)</f>
        <v>-1484252.7770107065</v>
      </c>
      <c r="GI114" s="29">
        <f>IF(BK114&lt;&gt;-999,BK114*$GF114, -999)</f>
        <v>-4398739.5368799074</v>
      </c>
      <c r="GJ114" s="30">
        <f t="shared" si="64"/>
        <v>2906701.2380193183</v>
      </c>
    </row>
    <row r="115" spans="1:192">
      <c r="A115" s="48" t="s">
        <v>194</v>
      </c>
      <c r="B115" s="48" t="s">
        <v>250</v>
      </c>
      <c r="C115" s="49">
        <v>99</v>
      </c>
      <c r="D115" s="50">
        <v>0.65700000000000003</v>
      </c>
      <c r="E115" s="49">
        <v>164.601800177489</v>
      </c>
      <c r="F115" s="49">
        <v>0.783872660046949</v>
      </c>
      <c r="G115" s="49">
        <v>359.876177818337</v>
      </c>
      <c r="H115" s="49">
        <v>0.79578709460068897</v>
      </c>
      <c r="I115" s="42">
        <v>48792.6</v>
      </c>
      <c r="J115" s="43">
        <v>279497.7</v>
      </c>
      <c r="K115" s="43">
        <f t="shared" si="39"/>
        <v>328290.3</v>
      </c>
      <c r="L115" s="43">
        <v>23705.4</v>
      </c>
      <c r="M115" s="43">
        <v>135791.1</v>
      </c>
      <c r="N115" s="43">
        <f t="shared" si="40"/>
        <v>159496.5</v>
      </c>
      <c r="O115" s="43">
        <v>75840.5</v>
      </c>
      <c r="P115" s="43">
        <v>434435.8</v>
      </c>
      <c r="Q115" s="43">
        <f t="shared" si="41"/>
        <v>510276.3</v>
      </c>
      <c r="R115" s="43">
        <v>15347.2</v>
      </c>
      <c r="S115" s="43">
        <v>87913.3</v>
      </c>
      <c r="T115" s="43">
        <f t="shared" si="42"/>
        <v>103260.5</v>
      </c>
      <c r="U115" s="43">
        <v>7456.3</v>
      </c>
      <c r="V115" s="43">
        <v>42711.8</v>
      </c>
      <c r="W115" s="43">
        <f t="shared" si="43"/>
        <v>50168.100000000006</v>
      </c>
      <c r="X115" s="43">
        <v>23854.9</v>
      </c>
      <c r="Y115" s="43">
        <v>136647.6</v>
      </c>
      <c r="Z115" s="43">
        <f t="shared" si="44"/>
        <v>160502.5</v>
      </c>
      <c r="AA115" s="22">
        <v>458798.3</v>
      </c>
      <c r="AB115">
        <v>2186032.4</v>
      </c>
      <c r="AC115">
        <v>2644830.7999999998</v>
      </c>
      <c r="AD115">
        <v>222902.5</v>
      </c>
      <c r="AE115">
        <v>1062061.5</v>
      </c>
      <c r="AF115">
        <v>1284964</v>
      </c>
      <c r="AG115">
        <v>713130.9</v>
      </c>
      <c r="AH115">
        <v>3397848.5</v>
      </c>
      <c r="AI115">
        <v>4110979.3</v>
      </c>
      <c r="AJ115">
        <v>144310.6</v>
      </c>
      <c r="AK115">
        <v>687595.5</v>
      </c>
      <c r="AL115">
        <v>831906.1</v>
      </c>
      <c r="AM115">
        <v>70111.8</v>
      </c>
      <c r="AN115">
        <v>334061.2</v>
      </c>
      <c r="AO115">
        <v>404173.1</v>
      </c>
      <c r="AP115">
        <v>224308.5</v>
      </c>
      <c r="AQ115">
        <v>1068760.6000000001</v>
      </c>
      <c r="AR115">
        <v>1293069</v>
      </c>
      <c r="AS115">
        <v>10569922.33</v>
      </c>
      <c r="AT115" s="22">
        <f t="shared" si="74"/>
        <v>763754.40716639254</v>
      </c>
      <c r="AU115">
        <f t="shared" si="74"/>
        <v>3639054.1981269899</v>
      </c>
      <c r="AV115">
        <f t="shared" si="74"/>
        <v>4402808.771761829</v>
      </c>
      <c r="AW115">
        <f t="shared" si="74"/>
        <v>371062.33118868747</v>
      </c>
      <c r="AX115">
        <f t="shared" si="74"/>
        <v>1767997.2905452126</v>
      </c>
      <c r="AY115">
        <f t="shared" si="74"/>
        <v>2139059.6217339002</v>
      </c>
      <c r="AZ115">
        <f t="shared" si="74"/>
        <v>1187137.9378727775</v>
      </c>
      <c r="BA115">
        <f t="shared" si="74"/>
        <v>5656345.6463520369</v>
      </c>
      <c r="BB115">
        <f t="shared" si="73"/>
        <v>6843483.4177563675</v>
      </c>
      <c r="BC115">
        <f t="shared" si="73"/>
        <v>240231.61539793501</v>
      </c>
      <c r="BD115">
        <f t="shared" si="73"/>
        <v>1144629.5539298626</v>
      </c>
      <c r="BE115">
        <f t="shared" si="73"/>
        <v>1384861.1693277974</v>
      </c>
      <c r="BF115">
        <f t="shared" si="73"/>
        <v>116714.02497430501</v>
      </c>
      <c r="BG115">
        <f t="shared" si="73"/>
        <v>556106.49333987001</v>
      </c>
      <c r="BH115">
        <f t="shared" si="73"/>
        <v>672820.6847826225</v>
      </c>
      <c r="BI115">
        <f t="shared" si="73"/>
        <v>373402.87756053748</v>
      </c>
      <c r="BJ115">
        <f t="shared" si="73"/>
        <v>1779149.1783116851</v>
      </c>
      <c r="BK115">
        <f t="shared" si="73"/>
        <v>2152551.8894037749</v>
      </c>
      <c r="BL115">
        <f t="shared" si="73"/>
        <v>17595585.604706828</v>
      </c>
      <c r="BM115" s="22">
        <f>-17.17-(0.1023*E115)+F115*(100-8.576-13.681)</f>
        <v>26.931848051872834</v>
      </c>
      <c r="BN115">
        <f>IF(AT115&lt;&gt;-999,AT115*$BM115, -999)</f>
        <v>20569317.6427535</v>
      </c>
      <c r="BO115">
        <f>IF(AU115&lt;&gt;-999,AU115*$BM115, -999)</f>
        <v>98006454.716486022</v>
      </c>
      <c r="BP115" s="25">
        <f>IF(AV115&lt;&gt;-999,AV115*$BM115, -999)</f>
        <v>118575776.84254244</v>
      </c>
      <c r="BQ115">
        <f>-19.943-(0.1023*E115)+F115*(100-8.576-13.681)</f>
        <v>24.15884805187283</v>
      </c>
      <c r="BR115">
        <f>IF(AW115&lt;&gt;-999,AW115*$BQ115, -999)</f>
        <v>8964438.4769612141</v>
      </c>
      <c r="BS115">
        <f>IF(AX115&lt;&gt;-999,AX115*$BQ115, -999)</f>
        <v>42712777.89840465</v>
      </c>
      <c r="BT115" s="25">
        <f>IF(AY115&lt;&gt;-999,AY115*$BQ115, -999)</f>
        <v>51677216.375365868</v>
      </c>
      <c r="BU115">
        <f>-25.871-(0.1023*E115)+F115*(100-8.576-13.681)</f>
        <v>18.230848051872833</v>
      </c>
      <c r="BV115">
        <f>IF(AZ115&lt;&gt;-999,AZ115*$BU115, -999)</f>
        <v>21642531.361972257</v>
      </c>
      <c r="BW115">
        <f>IF(BA115&lt;&gt;-999,BA115*$BU115, -999)</f>
        <v>103119978.00751641</v>
      </c>
      <c r="BX115" s="25">
        <f>IF(BB115&lt;&gt;-999,BB115*$BU115, -999)</f>
        <v>124762506.3346277</v>
      </c>
      <c r="BY115">
        <f>-25.245-(0.1023*E115)+F115*(100-8.576-13.681)</f>
        <v>18.856848051872838</v>
      </c>
      <c r="BZ115">
        <f>IF(BC115&lt;&gt;-999,BC115*$BY115, -999)</f>
        <v>4530011.068814816</v>
      </c>
      <c r="CA115">
        <f>IF(BD115&lt;&gt;-999,BD115*$BY115, -999)</f>
        <v>21584105.574138403</v>
      </c>
      <c r="CB115" s="25">
        <f>IF(BE115&lt;&gt;-999,BE115*$BY115, -999)</f>
        <v>26114116.642953217</v>
      </c>
      <c r="CC115">
        <f>-29.317-(0.1023*E115)+F115*(100-8.576-13.681)</f>
        <v>14.784848051872835</v>
      </c>
      <c r="CD115">
        <f>IF(BF115&lt;&gt;-999,BF115*$CC115, -999)</f>
        <v>1725599.1247675908</v>
      </c>
      <c r="CE115">
        <f>IF(BG115&lt;&gt;-999,BG115*$CC115, -999)</f>
        <v>8221950.0046898108</v>
      </c>
      <c r="CF115" s="25">
        <f>IF(BH115&lt;&gt;-999,BH115*$CC115, -999)</f>
        <v>9947551.5906681027</v>
      </c>
      <c r="CG115">
        <f>-38.03-(0.1023*E115)+F115*(100-8.576-13.681)</f>
        <v>6.0718480518728342</v>
      </c>
      <c r="CH115">
        <f>IF(BI115&lt;&gt;-999,BI115*$CG115, -999)</f>
        <v>2267245.5346796601</v>
      </c>
      <c r="CI115">
        <f>IF(BJ115&lt;&gt;-999,BJ115*$CG115, -999)</f>
        <v>10802723.472322959</v>
      </c>
      <c r="CJ115" s="25">
        <f>IF(BK115&lt;&gt;-999,BK115*$CG115, -999)</f>
        <v>13069967.996231498</v>
      </c>
      <c r="CK115" s="26">
        <f t="shared" si="45"/>
        <v>344147135.78238881</v>
      </c>
      <c r="CL115">
        <f t="shared" si="46"/>
        <v>-27.4784198314658</v>
      </c>
      <c r="CM115">
        <f t="shared" si="47"/>
        <v>30.496557886570869</v>
      </c>
      <c r="CN115">
        <f t="shared" si="48"/>
        <v>-84.451959382296863</v>
      </c>
      <c r="CO115" s="22">
        <f t="shared" si="49"/>
        <v>-40.08</v>
      </c>
      <c r="CP115">
        <f>IF(AT115&lt;&gt;-999,AT115*$CO115, -999)</f>
        <v>-30611276.639229011</v>
      </c>
      <c r="CQ115">
        <f>IF(AU115&lt;&gt;-999,AU115*$CO115, -999)</f>
        <v>-145853292.26092973</v>
      </c>
      <c r="CR115" s="27">
        <f>IF(AV115&lt;&gt;-999,AV115*$CO115, -999)</f>
        <v>-176464575.5722141</v>
      </c>
      <c r="CS115">
        <f t="shared" si="50"/>
        <v>-42.853000000000002</v>
      </c>
      <c r="CT115">
        <f>IF(AW115&lt;&gt;-999,AW115*$CS115, -999)</f>
        <v>-15901134.078428825</v>
      </c>
      <c r="CU115">
        <f>IF(AX115&lt;&gt;-999,AX115*$CS115, -999)</f>
        <v>-75763987.891734004</v>
      </c>
      <c r="CV115" s="27">
        <f>IF(AY115&lt;&gt;-999,AY115*$CS115, -999)</f>
        <v>-91665121.970162824</v>
      </c>
      <c r="CW115">
        <f t="shared" si="51"/>
        <v>-48.780999999999999</v>
      </c>
      <c r="CX115">
        <f>IF(AZ115&lt;&gt;-999,AZ115*$CO115, -999)</f>
        <v>-47580488.549940921</v>
      </c>
      <c r="CY115">
        <f>IF(BA115&lt;&gt;-999,BA115*$CO115, -999)</f>
        <v>-226706333.50578964</v>
      </c>
      <c r="CZ115" s="27">
        <f>IF(BB115&lt;&gt;-999,BB115*$CO115, -999)</f>
        <v>-274286815.38367522</v>
      </c>
      <c r="DA115">
        <f t="shared" si="52"/>
        <v>-48.155000000000001</v>
      </c>
      <c r="DB115">
        <f>IF(BC115&lt;&gt;-999,BC115*$DA115, -999)</f>
        <v>-11568353.43948756</v>
      </c>
      <c r="DC115">
        <f>IF(BD115&lt;&gt;-999,BD115*$DA115, -999)</f>
        <v>-55119636.169492535</v>
      </c>
      <c r="DD115" s="27">
        <f>IF(BE115&lt;&gt;-999,BE115*$DA115, -999)</f>
        <v>-66687989.608980082</v>
      </c>
      <c r="DE115">
        <f t="shared" si="53"/>
        <v>-52.227000000000004</v>
      </c>
      <c r="DF115">
        <f>IF(BF115&lt;&gt;-999,BF115*$DE115, -999)</f>
        <v>-6095623.3823330281</v>
      </c>
      <c r="DG115">
        <f>IF(BG115&lt;&gt;-999,BG115*$DE115, -999)</f>
        <v>-29043773.827661391</v>
      </c>
      <c r="DH115" s="27">
        <f>IF(BH115&lt;&gt;-999,BH115*$DE115, -999)</f>
        <v>-35139405.90414203</v>
      </c>
      <c r="DI115">
        <f t="shared" si="54"/>
        <v>-60.94</v>
      </c>
      <c r="DJ115">
        <f>IF(BI115&lt;&gt;-999,BI115*$DI115, -999)</f>
        <v>-22755171.358539153</v>
      </c>
      <c r="DK115">
        <f>IF(BJ115&lt;&gt;-999,BJ115*$DI115, -999)</f>
        <v>-108421350.92631409</v>
      </c>
      <c r="DL115" s="27">
        <f>IF(BK115&lt;&gt;-999,BK115*$DI115, -999)</f>
        <v>-131176512.14026603</v>
      </c>
      <c r="DM115" s="28">
        <f t="shared" si="55"/>
        <v>-775420420.57944024</v>
      </c>
      <c r="DN115" s="22">
        <f t="shared" si="56"/>
        <v>-17.170000000000002</v>
      </c>
      <c r="DO115">
        <f>IF(AT115&lt;&gt;-999,AT115*$DN115, -999)</f>
        <v>-13113663.171046961</v>
      </c>
      <c r="DP115">
        <f>IF(AU115&lt;&gt;-999,AU115*$DN115, -999)</f>
        <v>-62482560.581840426</v>
      </c>
      <c r="DQ115" s="24">
        <f>IF(AV115&lt;&gt;-999,AV115*$DN115, -999)</f>
        <v>-75596226.611150607</v>
      </c>
      <c r="DR115">
        <f t="shared" si="57"/>
        <v>-19.943000000000001</v>
      </c>
      <c r="DS115">
        <f>IF(AW115&lt;&gt;-999,AW115*$DR115, -999)</f>
        <v>-7400096.070895995</v>
      </c>
      <c r="DT115">
        <f>IF(AX115&lt;&gt;-999,AX115*$DR115, -999)</f>
        <v>-35259169.965343177</v>
      </c>
      <c r="DU115" s="24">
        <f>IF(AY115&lt;&gt;-999,AY115*$DR115, -999)</f>
        <v>-42659266.036239177</v>
      </c>
      <c r="DV115">
        <f t="shared" si="58"/>
        <v>-25.870999999999999</v>
      </c>
      <c r="DW115">
        <f>IF(AZ115&lt;&gt;-999,AZ115*$DV115, -999)</f>
        <v>-30712445.590706624</v>
      </c>
      <c r="DX115">
        <f>IF(BA115&lt;&gt;-999,BA115*$DV115, -999)</f>
        <v>-146335318.21677354</v>
      </c>
      <c r="DY115" s="24">
        <f>IF(BB115&lt;&gt;-999,BB115*$DV115, -999)</f>
        <v>-177047759.50077498</v>
      </c>
      <c r="DZ115">
        <f t="shared" si="59"/>
        <v>-25.245000000000001</v>
      </c>
      <c r="EA115">
        <f>IF(BC115&lt;&gt;-999, BC115*$DZ115, -999)</f>
        <v>-6064647.1307208696</v>
      </c>
      <c r="EB115">
        <f>IF(BD115&lt;&gt;-999, BD115*$DZ115, -999)</f>
        <v>-28896173.088959381</v>
      </c>
      <c r="EC115" s="24">
        <f>IF(BE115&lt;&gt;-999, BE115*$DZ115, -999)</f>
        <v>-34960820.219680242</v>
      </c>
      <c r="ED115">
        <f t="shared" si="60"/>
        <v>-29.317</v>
      </c>
      <c r="EE115">
        <f>IF(BF115&lt;&gt;-999,BF115*$ED115, -999)</f>
        <v>-3421705.0701716999</v>
      </c>
      <c r="EF115">
        <f>IF(BG115&lt;&gt;-999,BG115*$ED115, -999)</f>
        <v>-16303374.065244969</v>
      </c>
      <c r="EG115" s="24">
        <f>IF(BH115&lt;&gt;-999,BH115*$ED115, -999)</f>
        <v>-19725084.015772145</v>
      </c>
      <c r="EH115">
        <f t="shared" si="61"/>
        <v>-38.03</v>
      </c>
      <c r="EI115">
        <f>IF(BI115&lt;&gt;-999,BI115*$EH115, -999)</f>
        <v>-14200511.43362724</v>
      </c>
      <c r="EJ115">
        <f>IF(BJ115&lt;&gt;-999,BJ115*$EH115, -999)</f>
        <v>-67661043.251193389</v>
      </c>
      <c r="EK115" s="24">
        <f>IF(BK115&lt;&gt;-999,BK115*$EH115, -999)</f>
        <v>-81861548.354025558</v>
      </c>
      <c r="EL115" s="28">
        <f t="shared" si="62"/>
        <v>-431850704.73764271</v>
      </c>
      <c r="EM115" s="22">
        <f>-17.17-(0.1023*G115)+H115*(100+102.093-66.644-64.243)</f>
        <v>2.6794828673207931</v>
      </c>
      <c r="EN115">
        <f>IF(AT115&lt;&gt;-999,AT115*$EM115, -999)</f>
        <v>2046466.8488430979</v>
      </c>
      <c r="EO115">
        <f>IF(AU115&lt;&gt;-999,AU115*$EM115, -999)</f>
        <v>9750783.377133077</v>
      </c>
      <c r="EP115" s="23">
        <f>IF(AV115&lt;&gt;-999,AV115*$EM115, -999)</f>
        <v>11797250.672025524</v>
      </c>
      <c r="EQ115">
        <f>-19.943-(0.1023*G115)+H115*(100+102.093-66.644-64.243)</f>
        <v>-9.351713267920303E-2</v>
      </c>
      <c r="ER115">
        <f>IF(AW115&lt;&gt;-999,AW115*$EQ115, -999)</f>
        <v>-34700.685258026861</v>
      </c>
      <c r="ES115">
        <f>IF(AX115&lt;&gt;-999,AX115*$EQ115, -999)</f>
        <v>-165338.03719638812</v>
      </c>
      <c r="ET115" s="23">
        <f>IF(AY115&lt;&gt;-999,AY115*$EQ115, -999)</f>
        <v>-200038.72245441499</v>
      </c>
      <c r="EU115">
        <f>-25.871-(0.1023*G115)+H115*(100+102.093-66.644-64.243)</f>
        <v>-6.0215171326792003</v>
      </c>
      <c r="EV115">
        <f>IF(AZ115&lt;&gt;-999,AZ115*$EU115, -999)</f>
        <v>-7148371.4317543851</v>
      </c>
      <c r="EW115">
        <f>IF(BA115&lt;&gt;-999,BA115*$EU115, -999)</f>
        <v>-34059782.217864193</v>
      </c>
      <c r="EX115" s="23">
        <f>IF(BB115&lt;&gt;-999,BB115*$EU115, -999)</f>
        <v>-41208152.647225976</v>
      </c>
      <c r="EY115">
        <f>-25.245-(0.1023*G115)+H115*(100+102.093-66.644-64.243)</f>
        <v>-5.3955171326792097</v>
      </c>
      <c r="EZ115">
        <f>IF(BC115&lt;&gt;-999, BC115*$EY115, -999)</f>
        <v>-1296173.7966907609</v>
      </c>
      <c r="FA115">
        <f>IF(BD115&lt;&gt;-999, BD115*$EY115, -999)</f>
        <v>-6175868.3687995346</v>
      </c>
      <c r="FB115" s="23">
        <f>IF(BE115&lt;&gt;-999, BE115*$EY115, -999)</f>
        <v>-7472042.1654902948</v>
      </c>
      <c r="FC115">
        <f>-29.317-(0.1023*G115)+H115*(100+102.093-66.644-64.243)</f>
        <v>-9.4675171326792125</v>
      </c>
      <c r="FD115">
        <f>IF(BF115&lt;&gt;-999,BF115*$FC115, -999)</f>
        <v>-1104992.0310681821</v>
      </c>
      <c r="FE115">
        <f>IF(BG115&lt;&gt;-999,BG115*$FC115, -999)</f>
        <v>-5264947.7532893773</v>
      </c>
      <c r="FF115" s="23">
        <f>IF(BH115&lt;&gt;-999,BH115*$FC115, -999)</f>
        <v>-6369941.3604004383</v>
      </c>
      <c r="FG115">
        <f>-38.03-(0.1023*G115)+H115*(100+102.093-66.644-64.243)</f>
        <v>-18.180517132679206</v>
      </c>
      <c r="FH115">
        <f>IF(BI115&lt;&gt;-999,BI115*$FG115, -999)</f>
        <v>-6788657.412881068</v>
      </c>
      <c r="FI115">
        <f>IF(BJ115&lt;&gt;-999,BJ115*$FG115, -999)</f>
        <v>-32345852.117887724</v>
      </c>
      <c r="FJ115" s="23">
        <f>IF(BK115&lt;&gt;-999,BK115*$FG115, -999)</f>
        <v>-39134506.504286326</v>
      </c>
      <c r="FK115" s="28">
        <f t="shared" si="63"/>
        <v>-82587430.72783193</v>
      </c>
      <c r="FL115" s="22">
        <f t="shared" si="66"/>
        <v>10.012280000000011</v>
      </c>
      <c r="FM115">
        <f>IF(AT115&lt;&gt;-999,AT115*$FL115, -999)</f>
        <v>7646922.9757839376</v>
      </c>
      <c r="FN115">
        <f>IF(AU115&lt;&gt;-999,AU115*$FL115, -999)</f>
        <v>36435229.566822939</v>
      </c>
      <c r="FO115" s="29">
        <f>IF(AV115&lt;&gt;-999,AV115*$FL115, -999)</f>
        <v>44082154.209335573</v>
      </c>
      <c r="FP115">
        <f t="shared" si="67"/>
        <v>7.2392800000000115</v>
      </c>
      <c r="FQ115">
        <f>IF(AW115&lt;&gt;-999,AW115*$FP115, -999)</f>
        <v>2686224.1129276459</v>
      </c>
      <c r="FR115">
        <f>IF(AX115&lt;&gt;-999,AX115*$FP115, -999)</f>
        <v>12799027.425498167</v>
      </c>
      <c r="FS115" s="29">
        <f>IF(AY115&lt;&gt;-999,AY115*$FP115, -999)</f>
        <v>15485251.538425812</v>
      </c>
      <c r="FT115">
        <f t="shared" si="68"/>
        <v>1.3112800000000142</v>
      </c>
      <c r="FU115">
        <f>IF(AZ115&lt;&gt;-999,AZ115*$FT115, -999)</f>
        <v>1556670.2351738324</v>
      </c>
      <c r="FV115">
        <f>IF(BA115&lt;&gt;-999,BA115*$FT115, -999)</f>
        <v>7417052.9191485792</v>
      </c>
      <c r="FW115" s="29">
        <f>IF(BB115&lt;&gt;-999,BB115*$FT115, -999)</f>
        <v>8973722.9360356666</v>
      </c>
      <c r="FX115">
        <f t="shared" si="69"/>
        <v>1.9372800000000119</v>
      </c>
      <c r="FY115">
        <f>IF(BC115&lt;&gt;-999, BC115*$FX115, -999)</f>
        <v>465395.90387811436</v>
      </c>
      <c r="FZ115">
        <f>IF(BD115&lt;&gt;-999, BD115*$FX115, -999)</f>
        <v>2217467.942237258</v>
      </c>
      <c r="GA115" s="29">
        <f>IF(BE115&lt;&gt;-999, BE115*$FX115, -999)</f>
        <v>2682863.8461153717</v>
      </c>
      <c r="GB115">
        <f t="shared" si="70"/>
        <v>-2.1347199999999873</v>
      </c>
      <c r="GC115">
        <f>IF(BF115&lt;&gt;-999,BF115*$GB115, -999)</f>
        <v>-249151.76339314692</v>
      </c>
      <c r="GD115">
        <f>IF(BG115&lt;&gt;-999,BG115*$GB115, -999)</f>
        <v>-1187131.6534624803</v>
      </c>
      <c r="GE115" s="29">
        <f>IF(BH115&lt;&gt;-999,BH115*$GB115, -999)</f>
        <v>-1436283.7722191513</v>
      </c>
      <c r="GF115">
        <f t="shared" si="71"/>
        <v>-10.847719999999988</v>
      </c>
      <c r="GG115">
        <f>IF(BI115&lt;&gt;-999,BI115*$GF115, -999)</f>
        <v>-4050569.8629709892</v>
      </c>
      <c r="GH115">
        <f>IF(BJ115&lt;&gt;-999,BJ115*$GF115, -999)</f>
        <v>-19299712.124555212</v>
      </c>
      <c r="GI115" s="29">
        <f>IF(BK115&lt;&gt;-999,BK115*$GF115, -999)</f>
        <v>-23350280.181723092</v>
      </c>
      <c r="GJ115" s="30">
        <f t="shared" si="64"/>
        <v>46437428.575970173</v>
      </c>
    </row>
    <row r="116" spans="1:192">
      <c r="A116" s="49" t="s">
        <v>151</v>
      </c>
      <c r="B116" s="49" t="s">
        <v>251</v>
      </c>
      <c r="C116" s="49">
        <v>11</v>
      </c>
      <c r="D116" s="50">
        <v>0.65500000000000003</v>
      </c>
      <c r="E116" s="49">
        <v>84.526005692822295</v>
      </c>
      <c r="F116" s="49">
        <v>0.79357869660067903</v>
      </c>
      <c r="G116" s="49">
        <v>177.11402650726799</v>
      </c>
      <c r="H116" s="49">
        <v>0.81084805204286503</v>
      </c>
      <c r="I116" s="42">
        <v>45455.7</v>
      </c>
      <c r="J116" s="43">
        <v>-999</v>
      </c>
      <c r="K116" s="43">
        <f t="shared" si="39"/>
        <v>45455.7</v>
      </c>
      <c r="L116" s="43">
        <v>57050.7</v>
      </c>
      <c r="M116" s="43">
        <v>-999</v>
      </c>
      <c r="N116" s="43">
        <f t="shared" si="40"/>
        <v>57050.7</v>
      </c>
      <c r="O116" s="43">
        <v>51715.1</v>
      </c>
      <c r="P116" s="43">
        <v>-999</v>
      </c>
      <c r="Q116" s="43">
        <f t="shared" si="41"/>
        <v>51715.1</v>
      </c>
      <c r="R116" s="43">
        <v>25207.599999999999</v>
      </c>
      <c r="S116" s="43">
        <v>-999</v>
      </c>
      <c r="T116" s="43">
        <f t="shared" si="42"/>
        <v>25207.599999999999</v>
      </c>
      <c r="U116" s="43">
        <v>31637.7</v>
      </c>
      <c r="V116" s="43">
        <v>-999</v>
      </c>
      <c r="W116" s="43">
        <f t="shared" si="43"/>
        <v>31637.7</v>
      </c>
      <c r="X116" s="43">
        <v>28678.799999999999</v>
      </c>
      <c r="Y116" s="43">
        <v>-999</v>
      </c>
      <c r="Z116" s="43">
        <f t="shared" si="44"/>
        <v>28678.799999999999</v>
      </c>
      <c r="AA116" s="22">
        <v>641922.6</v>
      </c>
      <c r="AB116">
        <v>-999</v>
      </c>
      <c r="AC116">
        <v>641922.6</v>
      </c>
      <c r="AD116">
        <v>805666.6</v>
      </c>
      <c r="AE116">
        <v>-999</v>
      </c>
      <c r="AF116">
        <v>805666.6</v>
      </c>
      <c r="AG116">
        <v>730317.7</v>
      </c>
      <c r="AH116">
        <v>-999</v>
      </c>
      <c r="AI116">
        <v>730317.7</v>
      </c>
      <c r="AJ116">
        <v>355980.79999999999</v>
      </c>
      <c r="AK116">
        <v>-999</v>
      </c>
      <c r="AL116">
        <v>355980.79999999999</v>
      </c>
      <c r="AM116">
        <v>446785.7</v>
      </c>
      <c r="AN116">
        <v>-999</v>
      </c>
      <c r="AO116">
        <v>446785.7</v>
      </c>
      <c r="AP116">
        <v>405000.6</v>
      </c>
      <c r="AQ116">
        <v>-999</v>
      </c>
      <c r="AR116">
        <v>405000.6</v>
      </c>
      <c r="AS116">
        <v>3385673.86</v>
      </c>
      <c r="AT116" s="22">
        <f t="shared" si="74"/>
        <v>1068598.5863716349</v>
      </c>
      <c r="AU116">
        <f t="shared" si="74"/>
        <v>-999</v>
      </c>
      <c r="AV116">
        <f t="shared" si="74"/>
        <v>1068598.5863716349</v>
      </c>
      <c r="AW116">
        <f t="shared" si="74"/>
        <v>1341180.6810460349</v>
      </c>
      <c r="AX116">
        <f t="shared" si="74"/>
        <v>-999</v>
      </c>
      <c r="AY116">
        <f t="shared" si="74"/>
        <v>1341180.6810460349</v>
      </c>
      <c r="AZ116">
        <f t="shared" si="74"/>
        <v>1215748.5370077074</v>
      </c>
      <c r="BA116">
        <f t="shared" si="74"/>
        <v>-999</v>
      </c>
      <c r="BB116">
        <f t="shared" si="73"/>
        <v>1215748.5370077074</v>
      </c>
      <c r="BC116">
        <f t="shared" si="73"/>
        <v>592595.71115807991</v>
      </c>
      <c r="BD116">
        <f t="shared" si="73"/>
        <v>-999</v>
      </c>
      <c r="BE116">
        <f t="shared" si="73"/>
        <v>592595.71115807991</v>
      </c>
      <c r="BF116">
        <f t="shared" si="73"/>
        <v>743757.21844200755</v>
      </c>
      <c r="BG116">
        <f t="shared" si="73"/>
        <v>-999</v>
      </c>
      <c r="BH116">
        <f t="shared" si="73"/>
        <v>743757.21844200755</v>
      </c>
      <c r="BI116">
        <f t="shared" si="73"/>
        <v>674198.21118568489</v>
      </c>
      <c r="BJ116">
        <f t="shared" ref="BJ116:BL147" si="75">IF(AQ116&lt;&gt;-999,AQ116*0.5*3.67*0.907185, -999)</f>
        <v>-999</v>
      </c>
      <c r="BK116">
        <f t="shared" si="75"/>
        <v>674198.21118568489</v>
      </c>
      <c r="BL116">
        <f t="shared" si="75"/>
        <v>5636078.7121553235</v>
      </c>
      <c r="BM116" s="22">
        <f>-17.17-(0.1023*E116)+F116*(100-8.576-13.681)</f>
        <v>35.878178227450874</v>
      </c>
      <c r="BN116">
        <f>IF(AT116&lt;&gt;-999,AT116*$BM116, -999)</f>
        <v>38339370.535443574</v>
      </c>
      <c r="BO116">
        <f>IF(AU116&lt;&gt;-999,AU116*$BM116, -999)</f>
        <v>-999</v>
      </c>
      <c r="BP116" s="25">
        <f>IF(AV116&lt;&gt;-999,AV116*$BM116, -999)</f>
        <v>38339370.535443574</v>
      </c>
      <c r="BQ116">
        <f>-19.943-(0.1023*E116)+F116*(100-8.576-13.681)</f>
        <v>33.105178227450871</v>
      </c>
      <c r="BR116">
        <f>IF(AW116&lt;&gt;-999,AW116*$BQ116, -999)</f>
        <v>44400025.481242925</v>
      </c>
      <c r="BS116">
        <f>IF(AX116&lt;&gt;-999,AX116*$BQ116, -999)</f>
        <v>-999</v>
      </c>
      <c r="BT116" s="25">
        <f>IF(AY116&lt;&gt;-999,AY116*$BQ116, -999)</f>
        <v>44400025.481242925</v>
      </c>
      <c r="BU116">
        <f>-25.871-(0.1023*E116)+F116*(100-8.576-13.681)</f>
        <v>27.177178227450874</v>
      </c>
      <c r="BV116">
        <f>IF(AZ116&lt;&gt;-999,AZ116*$BU116, -999)</f>
        <v>33040614.670021117</v>
      </c>
      <c r="BW116">
        <f>IF(BA116&lt;&gt;-999,BA116*$BU116, -999)</f>
        <v>-999</v>
      </c>
      <c r="BX116" s="25">
        <f>IF(BB116&lt;&gt;-999,BB116*$BU116, -999)</f>
        <v>33040614.670021117</v>
      </c>
      <c r="BY116">
        <f>-25.245-(0.1023*E116)+F116*(100-8.576-13.681)</f>
        <v>27.803178227450871</v>
      </c>
      <c r="BZ116">
        <f>IF(BC116&lt;&gt;-999,BC116*$BY116, -999)</f>
        <v>16476044.174151093</v>
      </c>
      <c r="CA116">
        <f>IF(BD116&lt;&gt;-999,BD116*$BY116, -999)</f>
        <v>-999</v>
      </c>
      <c r="CB116" s="25">
        <f>IF(BE116&lt;&gt;-999,BE116*$BY116, -999)</f>
        <v>16476044.174151093</v>
      </c>
      <c r="CC116">
        <f>-29.317-(0.1023*E116)+F116*(100-8.576-13.681)</f>
        <v>23.731178227450876</v>
      </c>
      <c r="CD116">
        <f>IF(BF116&lt;&gt;-999,BF116*$CC116, -999)</f>
        <v>17650235.108800396</v>
      </c>
      <c r="CE116">
        <f>IF(BG116&lt;&gt;-999,BG116*$CC116, -999)</f>
        <v>-999</v>
      </c>
      <c r="CF116" s="25">
        <f>IF(BH116&lt;&gt;-999,BH116*$CC116, -999)</f>
        <v>17650235.108800396</v>
      </c>
      <c r="CG116">
        <f>-38.03-(0.1023*E116)+F116*(100-8.576-13.681)</f>
        <v>15.018178227450875</v>
      </c>
      <c r="CH116">
        <f>IF(BI116&lt;&gt;-999,BI116*$CG116, -999)</f>
        <v>10125228.89621518</v>
      </c>
      <c r="CI116">
        <f>IF(BJ116&lt;&gt;-999,BJ116*$CG116, -999)</f>
        <v>-999</v>
      </c>
      <c r="CJ116" s="25">
        <f>IF(BK116&lt;&gt;-999,BK116*$CG116, -999)</f>
        <v>10125228.89621518</v>
      </c>
      <c r="CK116" s="26">
        <f t="shared" si="45"/>
        <v>160031518.86587426</v>
      </c>
      <c r="CL116">
        <f t="shared" si="46"/>
        <v>-37.192667461730998</v>
      </c>
      <c r="CM116">
        <f t="shared" si="47"/>
        <v>20.073234703568026</v>
      </c>
      <c r="CN116">
        <f t="shared" si="48"/>
        <v>-93.469379766764646</v>
      </c>
      <c r="CO116" s="22">
        <f t="shared" si="49"/>
        <v>-40.08</v>
      </c>
      <c r="CP116">
        <f>IF(AT116&lt;&gt;-999,AT116*$CO116, -999)</f>
        <v>-42829431.341775127</v>
      </c>
      <c r="CQ116">
        <f>IF(AU116&lt;&gt;-999,AU116*$CO116, -999)</f>
        <v>-999</v>
      </c>
      <c r="CR116" s="27">
        <f>IF(AV116&lt;&gt;-999,AV116*$CO116, -999)</f>
        <v>-42829431.341775127</v>
      </c>
      <c r="CS116">
        <f t="shared" si="50"/>
        <v>-42.853000000000002</v>
      </c>
      <c r="CT116">
        <f>IF(AW116&lt;&gt;-999,AW116*$CS116, -999)</f>
        <v>-57473615.724865735</v>
      </c>
      <c r="CU116">
        <f>IF(AX116&lt;&gt;-999,AX116*$CS116, -999)</f>
        <v>-999</v>
      </c>
      <c r="CV116" s="27">
        <f>IF(AY116&lt;&gt;-999,AY116*$CS116, -999)</f>
        <v>-57473615.724865735</v>
      </c>
      <c r="CW116">
        <f t="shared" si="51"/>
        <v>-48.780999999999999</v>
      </c>
      <c r="CX116">
        <f>IF(AZ116&lt;&gt;-999,AZ116*$CO116, -999)</f>
        <v>-48727201.363268912</v>
      </c>
      <c r="CY116">
        <f>IF(BA116&lt;&gt;-999,BA116*$CO116, -999)</f>
        <v>-999</v>
      </c>
      <c r="CZ116" s="27">
        <f>IF(BB116&lt;&gt;-999,BB116*$CO116, -999)</f>
        <v>-48727201.363268912</v>
      </c>
      <c r="DA116">
        <f t="shared" si="52"/>
        <v>-48.155000000000001</v>
      </c>
      <c r="DB116">
        <f>IF(BC116&lt;&gt;-999,BC116*$DA116, -999)</f>
        <v>-28536446.470817339</v>
      </c>
      <c r="DC116">
        <f>IF(BD116&lt;&gt;-999,BD116*$DA116, -999)</f>
        <v>-999</v>
      </c>
      <c r="DD116" s="27">
        <f>IF(BE116&lt;&gt;-999,BE116*$DA116, -999)</f>
        <v>-28536446.470817339</v>
      </c>
      <c r="DE116">
        <f t="shared" si="53"/>
        <v>-52.227000000000004</v>
      </c>
      <c r="DF116">
        <f>IF(BF116&lt;&gt;-999,BF116*$DE116, -999)</f>
        <v>-38844208.247570731</v>
      </c>
      <c r="DG116">
        <f>IF(BG116&lt;&gt;-999,BG116*$DE116, -999)</f>
        <v>-999</v>
      </c>
      <c r="DH116" s="27">
        <f>IF(BH116&lt;&gt;-999,BH116*$DE116, -999)</f>
        <v>-38844208.247570731</v>
      </c>
      <c r="DI116">
        <f t="shared" si="54"/>
        <v>-60.94</v>
      </c>
      <c r="DJ116">
        <f>IF(BI116&lt;&gt;-999,BI116*$DI116, -999)</f>
        <v>-41085638.989655636</v>
      </c>
      <c r="DK116">
        <f>IF(BJ116&lt;&gt;-999,BJ116*$DI116, -999)</f>
        <v>-999</v>
      </c>
      <c r="DL116" s="27">
        <f>IF(BK116&lt;&gt;-999,BK116*$DI116, -999)</f>
        <v>-41085638.989655636</v>
      </c>
      <c r="DM116" s="28">
        <f t="shared" si="55"/>
        <v>-257496542.13795346</v>
      </c>
      <c r="DN116" s="22">
        <f t="shared" si="56"/>
        <v>-17.170000000000002</v>
      </c>
      <c r="DO116">
        <f>IF(AT116&lt;&gt;-999,AT116*$DN116, -999)</f>
        <v>-18347837.728000972</v>
      </c>
      <c r="DP116">
        <f>IF(AU116&lt;&gt;-999,AU116*$DN116, -999)</f>
        <v>-999</v>
      </c>
      <c r="DQ116" s="24">
        <f>IF(AV116&lt;&gt;-999,AV116*$DN116, -999)</f>
        <v>-18347837.728000972</v>
      </c>
      <c r="DR116">
        <f t="shared" si="57"/>
        <v>-19.943000000000001</v>
      </c>
      <c r="DS116">
        <f>IF(AW116&lt;&gt;-999,AW116*$DR116, -999)</f>
        <v>-26747166.322101075</v>
      </c>
      <c r="DT116">
        <f>IF(AX116&lt;&gt;-999,AX116*$DR116, -999)</f>
        <v>-999</v>
      </c>
      <c r="DU116" s="24">
        <f>IF(AY116&lt;&gt;-999,AY116*$DR116, -999)</f>
        <v>-26747166.322101075</v>
      </c>
      <c r="DV116">
        <f t="shared" si="58"/>
        <v>-25.870999999999999</v>
      </c>
      <c r="DW116">
        <f>IF(AZ116&lt;&gt;-999,AZ116*$DV116, -999)</f>
        <v>-31452630.400926396</v>
      </c>
      <c r="DX116">
        <f>IF(BA116&lt;&gt;-999,BA116*$DV116, -999)</f>
        <v>-999</v>
      </c>
      <c r="DY116" s="24">
        <f>IF(BB116&lt;&gt;-999,BB116*$DV116, -999)</f>
        <v>-31452630.400926396</v>
      </c>
      <c r="DZ116">
        <f t="shared" si="59"/>
        <v>-25.245000000000001</v>
      </c>
      <c r="EA116">
        <f>IF(BC116&lt;&gt;-999, BC116*$DZ116, -999)</f>
        <v>-14960078.728185728</v>
      </c>
      <c r="EB116">
        <f>IF(BD116&lt;&gt;-999, BD116*$DZ116, -999)</f>
        <v>-999</v>
      </c>
      <c r="EC116" s="24">
        <f>IF(BE116&lt;&gt;-999, BE116*$DZ116, -999)</f>
        <v>-14960078.728185728</v>
      </c>
      <c r="ED116">
        <f t="shared" si="60"/>
        <v>-29.317</v>
      </c>
      <c r="EE116">
        <f>IF(BF116&lt;&gt;-999,BF116*$ED116, -999)</f>
        <v>-21804730.373064335</v>
      </c>
      <c r="EF116">
        <f>IF(BG116&lt;&gt;-999,BG116*$ED116, -999)</f>
        <v>-999</v>
      </c>
      <c r="EG116" s="24">
        <f>IF(BH116&lt;&gt;-999,BH116*$ED116, -999)</f>
        <v>-21804730.373064335</v>
      </c>
      <c r="EH116">
        <f t="shared" si="61"/>
        <v>-38.03</v>
      </c>
      <c r="EI116">
        <f>IF(BI116&lt;&gt;-999,BI116*$EH116, -999)</f>
        <v>-25639757.971391596</v>
      </c>
      <c r="EJ116">
        <f>IF(BJ116&lt;&gt;-999,BJ116*$EH116, -999)</f>
        <v>-999</v>
      </c>
      <c r="EK116" s="24">
        <f>IF(BK116&lt;&gt;-999,BK116*$EH116, -999)</f>
        <v>-25639757.971391596</v>
      </c>
      <c r="EL116" s="28">
        <f t="shared" si="62"/>
        <v>-138952201.52367011</v>
      </c>
      <c r="EM116" s="22">
        <f>-17.17-(0.1023*G116)+H116*(100+102.093-66.644-64.243)</f>
        <v>22.44848148207074</v>
      </c>
      <c r="EN116">
        <f>IF(AT116&lt;&gt;-999,AT116*$EM116, -999)</f>
        <v>23988415.577930614</v>
      </c>
      <c r="EO116">
        <f>IF(AU116&lt;&gt;-999,AU116*$EM116, -999)</f>
        <v>-999</v>
      </c>
      <c r="EP116" s="23">
        <f>IF(AV116&lt;&gt;-999,AV116*$EM116, -999)</f>
        <v>23988415.577930614</v>
      </c>
      <c r="EQ116">
        <f>-19.943-(0.1023*G116)+H116*(100+102.093-66.644-64.243)</f>
        <v>19.675481482070744</v>
      </c>
      <c r="ER116">
        <f>IF(AW116&lt;&gt;-999,AW116*$EQ116, -999)</f>
        <v>26388375.65403229</v>
      </c>
      <c r="ES116">
        <f>IF(AX116&lt;&gt;-999,AX116*$EQ116, -999)</f>
        <v>-999</v>
      </c>
      <c r="ET116" s="23">
        <f>IF(AY116&lt;&gt;-999,AY116*$EQ116, -999)</f>
        <v>26388375.65403229</v>
      </c>
      <c r="EU116">
        <f>-25.871-(0.1023*G116)+H116*(100+102.093-66.644-64.243)</f>
        <v>13.747481482070746</v>
      </c>
      <c r="EV116">
        <f>IF(AZ116&lt;&gt;-999,AZ116*$EU116, -999)</f>
        <v>16713480.499368059</v>
      </c>
      <c r="EW116">
        <f>IF(BA116&lt;&gt;-999,BA116*$EU116, -999)</f>
        <v>-999</v>
      </c>
      <c r="EX116" s="23">
        <f>IF(BB116&lt;&gt;-999,BB116*$EU116, -999)</f>
        <v>16713480.499368059</v>
      </c>
      <c r="EY116">
        <f>-25.245-(0.1023*G116)+H116*(100+102.093-66.644-64.243)</f>
        <v>14.373481482070737</v>
      </c>
      <c r="EZ116">
        <f>IF(BC116&lt;&gt;-999, BC116*$EY116, -999)</f>
        <v>8517663.4806852005</v>
      </c>
      <c r="FA116">
        <f>IF(BD116&lt;&gt;-999, BD116*$EY116, -999)</f>
        <v>-999</v>
      </c>
      <c r="FB116" s="23">
        <f>IF(BE116&lt;&gt;-999, BE116*$EY116, -999)</f>
        <v>8517663.4806852005</v>
      </c>
      <c r="FC116">
        <f>-29.317-(0.1023*G116)+H116*(100+102.093-66.644-64.243)</f>
        <v>10.301481482070741</v>
      </c>
      <c r="FD116">
        <f>IF(BF116&lt;&gt;-999,BF116*$FC116, -999)</f>
        <v>7661801.2129367841</v>
      </c>
      <c r="FE116">
        <f>IF(BG116&lt;&gt;-999,BG116*$FC116, -999)</f>
        <v>-999</v>
      </c>
      <c r="FF116" s="23">
        <f>IF(BH116&lt;&gt;-999,BH116*$FC116, -999)</f>
        <v>7661801.2129367841</v>
      </c>
      <c r="FG116">
        <f>-38.03-(0.1023*G116)+H116*(100+102.093-66.644-64.243)</f>
        <v>1.5884814820707405</v>
      </c>
      <c r="FH116">
        <f>IF(BI116&lt;&gt;-999,BI116*$FG116, -999)</f>
        <v>1070951.3737136789</v>
      </c>
      <c r="FI116">
        <f>IF(BJ116&lt;&gt;-999,BJ116*$FG116, -999)</f>
        <v>-999</v>
      </c>
      <c r="FJ116" s="23">
        <f>IF(BK116&lt;&gt;-999,BK116*$FG116, -999)</f>
        <v>1070951.3737136789</v>
      </c>
      <c r="FK116" s="28">
        <f t="shared" si="63"/>
        <v>84340687.798666626</v>
      </c>
      <c r="FL116" s="22">
        <f t="shared" si="66"/>
        <v>10.012280000000011</v>
      </c>
      <c r="FM116">
        <f>IF(AT116&lt;&gt;-999,AT116*$FL116, -999)</f>
        <v>10699108.254357005</v>
      </c>
      <c r="FN116">
        <f>IF(AU116&lt;&gt;-999,AU116*$FL116, -999)</f>
        <v>-999</v>
      </c>
      <c r="FO116" s="29">
        <f>IF(AV116&lt;&gt;-999,AV116*$FL116, -999)</f>
        <v>10699108.254357005</v>
      </c>
      <c r="FP116">
        <f t="shared" si="67"/>
        <v>7.2392800000000115</v>
      </c>
      <c r="FQ116">
        <f>IF(AW116&lt;&gt;-999,AW116*$FP116, -999)</f>
        <v>9709182.4806829542</v>
      </c>
      <c r="FR116">
        <f>IF(AX116&lt;&gt;-999,AX116*$FP116, -999)</f>
        <v>-999</v>
      </c>
      <c r="FS116" s="29">
        <f>IF(AY116&lt;&gt;-999,AY116*$FP116, -999)</f>
        <v>9709182.4806829542</v>
      </c>
      <c r="FT116">
        <f t="shared" si="68"/>
        <v>1.3112800000000142</v>
      </c>
      <c r="FU116">
        <f>IF(AZ116&lt;&gt;-999,AZ116*$FT116, -999)</f>
        <v>1594186.7416074839</v>
      </c>
      <c r="FV116">
        <f>IF(BA116&lt;&gt;-999,BA116*$FT116, -999)</f>
        <v>-999</v>
      </c>
      <c r="FW116" s="29">
        <f>IF(BB116&lt;&gt;-999,BB116*$FT116, -999)</f>
        <v>1594186.7416074839</v>
      </c>
      <c r="FX116">
        <f t="shared" si="69"/>
        <v>1.9372800000000119</v>
      </c>
      <c r="FY116">
        <f>IF(BC116&lt;&gt;-999, BC116*$FX116, -999)</f>
        <v>1148023.8193123322</v>
      </c>
      <c r="FZ116">
        <f>IF(BD116&lt;&gt;-999, BD116*$FX116, -999)</f>
        <v>-999</v>
      </c>
      <c r="GA116" s="29">
        <f>IF(BE116&lt;&gt;-999, BE116*$FX116, -999)</f>
        <v>1148023.8193123322</v>
      </c>
      <c r="GB116">
        <f t="shared" si="70"/>
        <v>-2.1347199999999873</v>
      </c>
      <c r="GC116">
        <f>IF(BF116&lt;&gt;-999,BF116*$GB116, -999)</f>
        <v>-1587713.4093525128</v>
      </c>
      <c r="GD116">
        <f>IF(BG116&lt;&gt;-999,BG116*$GB116, -999)</f>
        <v>-999</v>
      </c>
      <c r="GE116" s="29">
        <f>IF(BH116&lt;&gt;-999,BH116*$GB116, -999)</f>
        <v>-1587713.4093525128</v>
      </c>
      <c r="GF116">
        <f t="shared" si="71"/>
        <v>-10.847719999999988</v>
      </c>
      <c r="GG116">
        <f>IF(BI116&lt;&gt;-999,BI116*$GF116, -999)</f>
        <v>-7313513.4194431696</v>
      </c>
      <c r="GH116">
        <f>IF(BJ116&lt;&gt;-999,BJ116*$GF116, -999)</f>
        <v>-999</v>
      </c>
      <c r="GI116" s="29">
        <f>IF(BK116&lt;&gt;-999,BK116*$GF116, -999)</f>
        <v>-7313513.4194431696</v>
      </c>
      <c r="GJ116" s="30">
        <f t="shared" si="64"/>
        <v>14249274.46716409</v>
      </c>
    </row>
    <row r="117" spans="1:192">
      <c r="A117" s="48" t="s">
        <v>160</v>
      </c>
      <c r="B117" s="48" t="s">
        <v>252</v>
      </c>
      <c r="C117" s="49">
        <v>129</v>
      </c>
      <c r="D117" s="50">
        <v>0.65100000000000002</v>
      </c>
      <c r="E117" s="49">
        <v>239.00055238373201</v>
      </c>
      <c r="F117" s="49">
        <v>0.773564739739249</v>
      </c>
      <c r="G117" s="49">
        <v>126.954153454508</v>
      </c>
      <c r="H117" s="49">
        <v>0.81389880133811598</v>
      </c>
      <c r="I117" s="42">
        <v>14552.9</v>
      </c>
      <c r="J117" s="43">
        <v>47472.4</v>
      </c>
      <c r="K117" s="43">
        <f t="shared" si="39"/>
        <v>62025.3</v>
      </c>
      <c r="L117" s="43">
        <v>7753.7</v>
      </c>
      <c r="M117" s="43">
        <v>25293.200000000001</v>
      </c>
      <c r="N117" s="43">
        <f t="shared" si="40"/>
        <v>33046.9</v>
      </c>
      <c r="O117" s="43">
        <v>13801.3</v>
      </c>
      <c r="P117" s="43">
        <v>45020.7</v>
      </c>
      <c r="Q117" s="43">
        <f t="shared" si="41"/>
        <v>58822</v>
      </c>
      <c r="R117" s="43">
        <v>4370.1000000000004</v>
      </c>
      <c r="S117" s="43">
        <v>14255.7</v>
      </c>
      <c r="T117" s="43">
        <f t="shared" si="42"/>
        <v>18625.800000000003</v>
      </c>
      <c r="U117" s="43">
        <v>2328.4</v>
      </c>
      <c r="V117" s="43">
        <v>7595.4</v>
      </c>
      <c r="W117" s="43">
        <f t="shared" si="43"/>
        <v>9923.7999999999993</v>
      </c>
      <c r="X117" s="43">
        <v>4144.3999999999996</v>
      </c>
      <c r="Y117" s="43">
        <v>13519.5</v>
      </c>
      <c r="Z117" s="43">
        <f t="shared" si="44"/>
        <v>17663.900000000001</v>
      </c>
      <c r="AA117" s="22">
        <v>242814</v>
      </c>
      <c r="AB117">
        <v>269297.8</v>
      </c>
      <c r="AC117">
        <v>512111.8</v>
      </c>
      <c r="AD117">
        <v>129370.5</v>
      </c>
      <c r="AE117">
        <v>143481</v>
      </c>
      <c r="AF117">
        <v>272851.5</v>
      </c>
      <c r="AG117">
        <v>230273.6</v>
      </c>
      <c r="AH117">
        <v>255389.5</v>
      </c>
      <c r="AI117">
        <v>485663.1</v>
      </c>
      <c r="AJ117">
        <v>72915.8</v>
      </c>
      <c r="AK117">
        <v>80868.7</v>
      </c>
      <c r="AL117">
        <v>153784.5</v>
      </c>
      <c r="AM117">
        <v>38849.300000000003</v>
      </c>
      <c r="AN117">
        <v>43086.6</v>
      </c>
      <c r="AO117">
        <v>81935.899999999994</v>
      </c>
      <c r="AP117">
        <v>69149.899999999994</v>
      </c>
      <c r="AQ117">
        <v>76692.100000000006</v>
      </c>
      <c r="AR117">
        <v>145842.1</v>
      </c>
      <c r="AS117">
        <v>1652188.83</v>
      </c>
      <c r="AT117" s="22">
        <f t="shared" si="74"/>
        <v>404208.69611265004</v>
      </c>
      <c r="AU117">
        <f t="shared" si="74"/>
        <v>448295.866811655</v>
      </c>
      <c r="AV117">
        <f t="shared" si="74"/>
        <v>852504.56292430498</v>
      </c>
      <c r="AW117">
        <f t="shared" si="74"/>
        <v>215361.0628729875</v>
      </c>
      <c r="AX117">
        <f t="shared" si="74"/>
        <v>238850.593157475</v>
      </c>
      <c r="AY117">
        <f t="shared" si="74"/>
        <v>454211.65603046253</v>
      </c>
      <c r="AZ117">
        <f t="shared" si="74"/>
        <v>383332.88692235999</v>
      </c>
      <c r="BA117">
        <f t="shared" si="74"/>
        <v>425142.93572801247</v>
      </c>
      <c r="BB117">
        <f t="shared" si="74"/>
        <v>808475.8226503724</v>
      </c>
      <c r="BC117">
        <f t="shared" si="74"/>
        <v>121381.80024220502</v>
      </c>
      <c r="BD117">
        <f t="shared" si="74"/>
        <v>134620.86940343247</v>
      </c>
      <c r="BE117">
        <f t="shared" si="74"/>
        <v>256002.66964563751</v>
      </c>
      <c r="BF117">
        <f t="shared" si="74"/>
        <v>64671.826574617509</v>
      </c>
      <c r="BG117">
        <f t="shared" si="74"/>
        <v>71725.594100534989</v>
      </c>
      <c r="BH117">
        <f t="shared" si="74"/>
        <v>136397.42067515248</v>
      </c>
      <c r="BI117">
        <f t="shared" si="74"/>
        <v>115112.76497780249</v>
      </c>
      <c r="BJ117">
        <f t="shared" si="75"/>
        <v>127668.14822514752</v>
      </c>
      <c r="BK117">
        <f t="shared" si="75"/>
        <v>242781.07967139749</v>
      </c>
      <c r="BL117">
        <f t="shared" si="75"/>
        <v>2750373.0950694145</v>
      </c>
      <c r="BM117" s="22">
        <f>-17.17-(0.1023*E117)+F117*(100-8.576-13.681)</f>
        <v>18.519487052692654</v>
      </c>
      <c r="BN117">
        <f>IF(AT117&lt;&gt;-999,AT117*$BM117, -999)</f>
        <v>7485737.7142440015</v>
      </c>
      <c r="BO117">
        <f>IF(AU117&lt;&gt;-999,AU117*$BM117, -999)</f>
        <v>8302209.5011940747</v>
      </c>
      <c r="BP117" s="25">
        <f>IF(AV117&lt;&gt;-999,AV117*$BM117, -999)</f>
        <v>15787947.215438075</v>
      </c>
      <c r="BQ117">
        <f>-19.943-(0.1023*E117)+F117*(100-8.576-13.681)</f>
        <v>15.746487052692657</v>
      </c>
      <c r="BR117">
        <f>IF(AW117&lt;&gt;-999,AW117*$BQ117, -999)</f>
        <v>3391180.1881836271</v>
      </c>
      <c r="BS117">
        <f>IF(AX117&lt;&gt;-999,AX117*$BQ117, -999)</f>
        <v>3761057.7726821415</v>
      </c>
      <c r="BT117" s="25">
        <f>IF(AY117&lt;&gt;-999,AY117*$BQ117, -999)</f>
        <v>7152237.9608657686</v>
      </c>
      <c r="BU117">
        <f>-25.871-(0.1023*E117)+F117*(100-8.576-13.681)</f>
        <v>9.8184870526926602</v>
      </c>
      <c r="BV117">
        <f>IF(AZ117&lt;&gt;-999,AZ117*$BU117, -999)</f>
        <v>3763748.987118491</v>
      </c>
      <c r="BW117">
        <f>IF(BA117&lt;&gt;-999,BA117*$BU117, -999)</f>
        <v>4174260.4099892383</v>
      </c>
      <c r="BX117" s="25">
        <f>IF(BB117&lt;&gt;-999,BB117*$BU117, -999)</f>
        <v>7938009.3971077288</v>
      </c>
      <c r="BY117">
        <f>-25.245-(0.1023*E117)+F117*(100-8.576-13.681)</f>
        <v>10.444487052692651</v>
      </c>
      <c r="BZ117">
        <f>IF(BC117&lt;&gt;-999,BC117*$BY117, -999)</f>
        <v>1267770.6410622359</v>
      </c>
      <c r="CA117">
        <f>IF(BD117&lt;&gt;-999,BD117*$BY117, -999)</f>
        <v>1406045.9275063786</v>
      </c>
      <c r="CB117" s="25">
        <f>IF(BE117&lt;&gt;-999,BE117*$BY117, -999)</f>
        <v>2673816.5685686148</v>
      </c>
      <c r="CC117">
        <f>-29.317-(0.1023*E117)+F117*(100-8.576-13.681)</f>
        <v>6.3724870526926551</v>
      </c>
      <c r="CD117">
        <f>IF(BF117&lt;&gt;-999,BF117*$CC117, -999)</f>
        <v>412120.37752073485</v>
      </c>
      <c r="CE117">
        <f>IF(BG117&lt;&gt;-999,BG117*$CC117, -999)</f>
        <v>457070.41975234792</v>
      </c>
      <c r="CF117" s="25">
        <f>IF(BH117&lt;&gt;-999,BH117*$CC117, -999)</f>
        <v>869190.79727308266</v>
      </c>
      <c r="CG117">
        <f>-38.03-(0.1023*E117)+F117*(100-8.576-13.681)</f>
        <v>-2.3405129473073458</v>
      </c>
      <c r="CH117">
        <f>IF(BI117&lt;&gt;-999,BI117*$CG117, -999)</f>
        <v>-269422.9168308943</v>
      </c>
      <c r="CI117">
        <f>IF(BJ117&lt;&gt;-999,BJ117*$CG117, -999)</f>
        <v>-298808.9538797111</v>
      </c>
      <c r="CJ117" s="25">
        <f>IF(BK117&lt;&gt;-999,BK117*$CG117, -999)</f>
        <v>-568232.26033216203</v>
      </c>
      <c r="CK117" s="26">
        <f t="shared" si="45"/>
        <v>33852969.678921111</v>
      </c>
      <c r="CL117">
        <f t="shared" si="46"/>
        <v>-18.302298891674013</v>
      </c>
      <c r="CM117">
        <f t="shared" si="47"/>
        <v>40.445208156434816</v>
      </c>
      <c r="CN117">
        <f t="shared" si="48"/>
        <v>-76.035023388726287</v>
      </c>
      <c r="CO117" s="22">
        <f t="shared" si="49"/>
        <v>-40.08</v>
      </c>
      <c r="CP117">
        <f>IF(AT117&lt;&gt;-999,AT117*$CO117, -999)</f>
        <v>-16200684.540195012</v>
      </c>
      <c r="CQ117">
        <f>IF(AU117&lt;&gt;-999,AU117*$CO117, -999)</f>
        <v>-17967698.341811132</v>
      </c>
      <c r="CR117" s="27">
        <f>IF(AV117&lt;&gt;-999,AV117*$CO117, -999)</f>
        <v>-34168382.882006139</v>
      </c>
      <c r="CS117">
        <f t="shared" si="50"/>
        <v>-42.853000000000002</v>
      </c>
      <c r="CT117">
        <f>IF(AW117&lt;&gt;-999,AW117*$CS117, -999)</f>
        <v>-9228867.627296133</v>
      </c>
      <c r="CU117">
        <f>IF(AX117&lt;&gt;-999,AX117*$CS117, -999)</f>
        <v>-10235464.468577277</v>
      </c>
      <c r="CV117" s="27">
        <f>IF(AY117&lt;&gt;-999,AY117*$CS117, -999)</f>
        <v>-19464332.095873412</v>
      </c>
      <c r="CW117">
        <f t="shared" si="51"/>
        <v>-48.780999999999999</v>
      </c>
      <c r="CX117">
        <f>IF(AZ117&lt;&gt;-999,AZ117*$CO117, -999)</f>
        <v>-15363982.107848188</v>
      </c>
      <c r="CY117">
        <f>IF(BA117&lt;&gt;-999,BA117*$CO117, -999)</f>
        <v>-17039728.86397874</v>
      </c>
      <c r="CZ117" s="27">
        <f>IF(BB117&lt;&gt;-999,BB117*$CO117, -999)</f>
        <v>-32403710.971826926</v>
      </c>
      <c r="DA117">
        <f t="shared" si="52"/>
        <v>-48.155000000000001</v>
      </c>
      <c r="DB117">
        <f>IF(BC117&lt;&gt;-999,BC117*$DA117, -999)</f>
        <v>-5845140.5906633828</v>
      </c>
      <c r="DC117">
        <f>IF(BD117&lt;&gt;-999,BD117*$DA117, -999)</f>
        <v>-6482667.9661222911</v>
      </c>
      <c r="DD117" s="27">
        <f>IF(BE117&lt;&gt;-999,BE117*$DA117, -999)</f>
        <v>-12327808.556785675</v>
      </c>
      <c r="DE117">
        <f t="shared" si="53"/>
        <v>-52.227000000000004</v>
      </c>
      <c r="DF117">
        <f>IF(BF117&lt;&gt;-999,BF117*$DE117, -999)</f>
        <v>-3377615.4865125488</v>
      </c>
      <c r="DG117">
        <f>IF(BG117&lt;&gt;-999,BG117*$DE117, -999)</f>
        <v>-3746012.6030886411</v>
      </c>
      <c r="DH117" s="27">
        <f>IF(BH117&lt;&gt;-999,BH117*$DE117, -999)</f>
        <v>-7123628.0896011889</v>
      </c>
      <c r="DI117">
        <f t="shared" si="54"/>
        <v>-60.94</v>
      </c>
      <c r="DJ117">
        <f>IF(BI117&lt;&gt;-999,BI117*$DI117, -999)</f>
        <v>-7014971.8977472838</v>
      </c>
      <c r="DK117">
        <f>IF(BJ117&lt;&gt;-999,BJ117*$DI117, -999)</f>
        <v>-7780096.9528404903</v>
      </c>
      <c r="DL117" s="27">
        <f>IF(BK117&lt;&gt;-999,BK117*$DI117, -999)</f>
        <v>-14795078.995174963</v>
      </c>
      <c r="DM117" s="28">
        <f t="shared" si="55"/>
        <v>-120282941.5912683</v>
      </c>
      <c r="DN117" s="22">
        <f t="shared" si="56"/>
        <v>-17.170000000000002</v>
      </c>
      <c r="DO117">
        <f>IF(AT117&lt;&gt;-999,AT117*$DN117, -999)</f>
        <v>-6940263.3122542016</v>
      </c>
      <c r="DP117">
        <f>IF(AU117&lt;&gt;-999,AU117*$DN117, -999)</f>
        <v>-7697240.0331561174</v>
      </c>
      <c r="DQ117" s="24">
        <f>IF(AV117&lt;&gt;-999,AV117*$DN117, -999)</f>
        <v>-14637503.345410317</v>
      </c>
      <c r="DR117">
        <f t="shared" si="57"/>
        <v>-19.943000000000001</v>
      </c>
      <c r="DS117">
        <f>IF(AW117&lt;&gt;-999,AW117*$DR117, -999)</f>
        <v>-4294945.6768759899</v>
      </c>
      <c r="DT117">
        <f>IF(AX117&lt;&gt;-999,AX117*$DR117, -999)</f>
        <v>-4763397.3793395245</v>
      </c>
      <c r="DU117" s="24">
        <f>IF(AY117&lt;&gt;-999,AY117*$DR117, -999)</f>
        <v>-9058343.0562155154</v>
      </c>
      <c r="DV117">
        <f t="shared" si="58"/>
        <v>-25.870999999999999</v>
      </c>
      <c r="DW117">
        <f>IF(AZ117&lt;&gt;-999,AZ117*$DV117, -999)</f>
        <v>-9917205.1175683755</v>
      </c>
      <c r="DX117">
        <f>IF(BA117&lt;&gt;-999,BA117*$DV117, -999)</f>
        <v>-10998872.890219411</v>
      </c>
      <c r="DY117" s="24">
        <f>IF(BB117&lt;&gt;-999,BB117*$DV117, -999)</f>
        <v>-20916078.007787783</v>
      </c>
      <c r="DZ117">
        <f t="shared" si="59"/>
        <v>-25.245000000000001</v>
      </c>
      <c r="EA117">
        <f>IF(BC117&lt;&gt;-999, BC117*$DZ117, -999)</f>
        <v>-3064283.5471144659</v>
      </c>
      <c r="EB117">
        <f>IF(BD117&lt;&gt;-999, BD117*$DZ117, -999)</f>
        <v>-3398503.8480896531</v>
      </c>
      <c r="EC117" s="24">
        <f>IF(BE117&lt;&gt;-999, BE117*$DZ117, -999)</f>
        <v>-6462787.3952041194</v>
      </c>
      <c r="ED117">
        <f t="shared" si="60"/>
        <v>-29.317</v>
      </c>
      <c r="EE117">
        <f>IF(BF117&lt;&gt;-999,BF117*$ED117, -999)</f>
        <v>-1895983.9396880616</v>
      </c>
      <c r="EF117">
        <f>IF(BG117&lt;&gt;-999,BG117*$ED117, -999)</f>
        <v>-2102779.2422453845</v>
      </c>
      <c r="EG117" s="24">
        <f>IF(BH117&lt;&gt;-999,BH117*$ED117, -999)</f>
        <v>-3998763.1819334454</v>
      </c>
      <c r="EH117">
        <f t="shared" si="61"/>
        <v>-38.03</v>
      </c>
      <c r="EI117">
        <f>IF(BI117&lt;&gt;-999,BI117*$EH117, -999)</f>
        <v>-4377738.4521058286</v>
      </c>
      <c r="EJ117">
        <f>IF(BJ117&lt;&gt;-999,BJ117*$EH117, -999)</f>
        <v>-4855219.6770023601</v>
      </c>
      <c r="EK117" s="24">
        <f>IF(BK117&lt;&gt;-999,BK117*$EH117, -999)</f>
        <v>-9232964.4599032458</v>
      </c>
      <c r="EL117" s="28">
        <f t="shared" si="62"/>
        <v>-64306439.446454436</v>
      </c>
      <c r="EM117" s="22">
        <f>-17.17-(0.1023*G117)+H117*(100+102.093-66.644-64.243)</f>
        <v>27.797068149685732</v>
      </c>
      <c r="EN117">
        <f>IF(AT117&lt;&gt;-999,AT117*$EM117, -999)</f>
        <v>11235816.672538944</v>
      </c>
      <c r="EO117">
        <f>IF(AU117&lt;&gt;-999,AU117*$EM117, -999)</f>
        <v>12461310.760986011</v>
      </c>
      <c r="EP117" s="23">
        <f>IF(AV117&lt;&gt;-999,AV117*$EM117, -999)</f>
        <v>23697127.433524955</v>
      </c>
      <c r="EQ117">
        <f>-19.943-(0.1023*G117)+H117*(100+102.093-66.644-64.243)</f>
        <v>25.024068149685732</v>
      </c>
      <c r="ER117">
        <f>IF(AW117&lt;&gt;-999,AW117*$EQ117, -999)</f>
        <v>5389209.9141223934</v>
      </c>
      <c r="ES117">
        <f>IF(AX117&lt;&gt;-999,AX117*$EQ117, -999)</f>
        <v>5977013.520765515</v>
      </c>
      <c r="ET117" s="23">
        <f>IF(AY117&lt;&gt;-999,AY117*$EQ117, -999)</f>
        <v>11366223.434887908</v>
      </c>
      <c r="EU117">
        <f>-25.871-(0.1023*G117)+H117*(100+102.093-66.644-64.243)</f>
        <v>19.096068149685735</v>
      </c>
      <c r="EV117">
        <f>IF(AZ117&lt;&gt;-999,AZ117*$EU117, -999)</f>
        <v>7320150.9326851619</v>
      </c>
      <c r="EW117">
        <f>IF(BA117&lt;&gt;-999,BA117*$EU117, -999)</f>
        <v>8118558.474019588</v>
      </c>
      <c r="EX117" s="23">
        <f>IF(BB117&lt;&gt;-999,BB117*$EU117, -999)</f>
        <v>15438709.40670475</v>
      </c>
      <c r="EY117">
        <f>-25.245-(0.1023*G117)+H117*(100+102.093-66.644-64.243)</f>
        <v>19.722068149685732</v>
      </c>
      <c r="EZ117">
        <f>IF(BC117&lt;&gt;-999, BC117*$EY117, -999)</f>
        <v>2393900.1365083074</v>
      </c>
      <c r="FA117">
        <f>IF(BD117&lt;&gt;-999, BD117*$EY117, -999)</f>
        <v>2655001.9607444382</v>
      </c>
      <c r="FB117" s="23">
        <f>IF(BE117&lt;&gt;-999, BE117*$EY117, -999)</f>
        <v>5048902.0972527461</v>
      </c>
      <c r="FC117">
        <f>-29.317-(0.1023*G117)+H117*(100+102.093-66.644-64.243)</f>
        <v>15.65006814968573</v>
      </c>
      <c r="FD117">
        <f>IF(BF117&lt;&gt;-999,BF117*$FC117, -999)</f>
        <v>1012118.4932574206</v>
      </c>
      <c r="FE117">
        <f>IF(BG117&lt;&gt;-999,BG117*$FC117, -999)</f>
        <v>1122510.4357500693</v>
      </c>
      <c r="FF117" s="23">
        <f>IF(BH117&lt;&gt;-999,BH117*$FC117, -999)</f>
        <v>2134628.9290074897</v>
      </c>
      <c r="FG117">
        <f>-38.03-(0.1023*G117)+H117*(100+102.093-66.644-64.243)</f>
        <v>6.9370681496857358</v>
      </c>
      <c r="FH117">
        <f>IF(BI117&lt;&gt;-999,BI117*$FG117, -999)</f>
        <v>798545.09554977331</v>
      </c>
      <c r="FI117">
        <f>IF(BJ117&lt;&gt;-999,BJ117*$FG117, -999)</f>
        <v>885642.64478202839</v>
      </c>
      <c r="FJ117" s="23">
        <f>IF(BK117&lt;&gt;-999,BK117*$FG117, -999)</f>
        <v>1684188.8951347666</v>
      </c>
      <c r="FK117" s="28">
        <f t="shared" si="63"/>
        <v>59369780.196512632</v>
      </c>
      <c r="FL117" s="22">
        <f t="shared" si="66"/>
        <v>10.012280000000011</v>
      </c>
      <c r="FM117">
        <f>IF(AT117&lt;&gt;-999,AT117*$FL117, -999)</f>
        <v>4047050.6439147685</v>
      </c>
      <c r="FN117">
        <f>IF(AU117&lt;&gt;-999,AU117*$FL117, -999)</f>
        <v>4488463.7413610024</v>
      </c>
      <c r="FO117" s="29">
        <f>IF(AV117&lt;&gt;-999,AV117*$FL117, -999)</f>
        <v>8535514.38527577</v>
      </c>
      <c r="FP117">
        <f t="shared" si="67"/>
        <v>7.2392800000000115</v>
      </c>
      <c r="FQ117">
        <f>IF(AW117&lt;&gt;-999,AW117*$FP117, -999)</f>
        <v>1559059.0352351635</v>
      </c>
      <c r="FR117">
        <f>IF(AX117&lt;&gt;-999,AX117*$FP117, -999)</f>
        <v>1729106.3220330484</v>
      </c>
      <c r="FS117" s="29">
        <f>IF(AY117&lt;&gt;-999,AY117*$FP117, -999)</f>
        <v>3288165.3572682119</v>
      </c>
      <c r="FT117">
        <f t="shared" si="68"/>
        <v>1.3112800000000142</v>
      </c>
      <c r="FU117">
        <f>IF(AZ117&lt;&gt;-999,AZ117*$FT117, -999)</f>
        <v>502656.74796355766</v>
      </c>
      <c r="FV117">
        <f>IF(BA117&lt;&gt;-999,BA117*$FT117, -999)</f>
        <v>557481.42876143428</v>
      </c>
      <c r="FW117" s="29">
        <f>IF(BB117&lt;&gt;-999,BB117*$FT117, -999)</f>
        <v>1060138.1767249918</v>
      </c>
      <c r="FX117">
        <f t="shared" si="69"/>
        <v>1.9372800000000119</v>
      </c>
      <c r="FY117">
        <f>IF(BC117&lt;&gt;-999, BC117*$FX117, -999)</f>
        <v>235150.53397322039</v>
      </c>
      <c r="FZ117">
        <f>IF(BD117&lt;&gt;-999, BD117*$FX117, -999)</f>
        <v>260798.31787788327</v>
      </c>
      <c r="GA117" s="29">
        <f>IF(BE117&lt;&gt;-999, BE117*$FX117, -999)</f>
        <v>495948.85185110365</v>
      </c>
      <c r="GB117">
        <f t="shared" si="70"/>
        <v>-2.1347199999999873</v>
      </c>
      <c r="GC117">
        <f>IF(BF117&lt;&gt;-999,BF117*$GB117, -999)</f>
        <v>-138056.24162536667</v>
      </c>
      <c r="GD117">
        <f>IF(BG117&lt;&gt;-999,BG117*$GB117, -999)</f>
        <v>-153114.06023829314</v>
      </c>
      <c r="GE117" s="29">
        <f>IF(BH117&lt;&gt;-999,BH117*$GB117, -999)</f>
        <v>-291170.30186365976</v>
      </c>
      <c r="GF117">
        <f t="shared" si="71"/>
        <v>-10.847719999999988</v>
      </c>
      <c r="GG117">
        <f>IF(BI117&lt;&gt;-999,BI117*$GF117, -999)</f>
        <v>-1248711.0429050063</v>
      </c>
      <c r="GH117">
        <f>IF(BJ117&lt;&gt;-999,BJ117*$GF117, -999)</f>
        <v>-1384908.3248648958</v>
      </c>
      <c r="GI117" s="29">
        <f>IF(BK117&lt;&gt;-999,BK117*$GF117, -999)</f>
        <v>-2633621.1735730092</v>
      </c>
      <c r="GJ117" s="30">
        <f t="shared" si="64"/>
        <v>10454975.295683408</v>
      </c>
    </row>
    <row r="118" spans="1:192">
      <c r="A118" s="48" t="s">
        <v>178</v>
      </c>
      <c r="B118" s="48" t="s">
        <v>253</v>
      </c>
      <c r="C118" s="49">
        <v>98</v>
      </c>
      <c r="D118" s="50">
        <v>0.64</v>
      </c>
      <c r="E118" s="49">
        <v>141.90781732178101</v>
      </c>
      <c r="F118" s="49">
        <v>0.78043006632216405</v>
      </c>
      <c r="G118" s="49">
        <v>197.30363156161201</v>
      </c>
      <c r="H118" s="49">
        <v>0.80866651337058804</v>
      </c>
      <c r="I118" s="42">
        <v>43327.4</v>
      </c>
      <c r="J118" s="43">
        <v>74214.3</v>
      </c>
      <c r="K118" s="43">
        <f t="shared" si="39"/>
        <v>117541.70000000001</v>
      </c>
      <c r="L118" s="43">
        <v>29044.5</v>
      </c>
      <c r="M118" s="43">
        <v>49749.599999999999</v>
      </c>
      <c r="N118" s="43">
        <f t="shared" si="40"/>
        <v>78794.100000000006</v>
      </c>
      <c r="O118" s="43">
        <v>49234.3</v>
      </c>
      <c r="P118" s="43">
        <v>84332</v>
      </c>
      <c r="Q118" s="43">
        <f t="shared" si="41"/>
        <v>133566.29999999999</v>
      </c>
      <c r="R118" s="43">
        <v>61755.7</v>
      </c>
      <c r="S118" s="43">
        <v>105779.6</v>
      </c>
      <c r="T118" s="43">
        <f t="shared" si="42"/>
        <v>167535.29999999999</v>
      </c>
      <c r="U118" s="43">
        <v>41398</v>
      </c>
      <c r="V118" s="43">
        <v>70909.399999999994</v>
      </c>
      <c r="W118" s="43">
        <f t="shared" si="43"/>
        <v>112307.4</v>
      </c>
      <c r="X118" s="43">
        <v>70175</v>
      </c>
      <c r="Y118" s="43">
        <v>120200.7</v>
      </c>
      <c r="Z118" s="43">
        <f t="shared" si="44"/>
        <v>190375.7</v>
      </c>
      <c r="AA118" s="22">
        <v>760529.6</v>
      </c>
      <c r="AB118">
        <v>1257936.6000000001</v>
      </c>
      <c r="AC118">
        <v>2018466.2</v>
      </c>
      <c r="AD118">
        <v>509821</v>
      </c>
      <c r="AE118">
        <v>843257.8</v>
      </c>
      <c r="AF118">
        <v>1353078.9</v>
      </c>
      <c r="AG118">
        <v>864213.6</v>
      </c>
      <c r="AH118">
        <v>1429432.8</v>
      </c>
      <c r="AI118">
        <v>2293646.4</v>
      </c>
      <c r="AJ118">
        <v>1084003.3999999999</v>
      </c>
      <c r="AK118">
        <v>1792971.2</v>
      </c>
      <c r="AL118">
        <v>2876974.6</v>
      </c>
      <c r="AM118">
        <v>726661.7</v>
      </c>
      <c r="AN118">
        <v>1201918.3</v>
      </c>
      <c r="AO118">
        <v>1928580</v>
      </c>
      <c r="AP118">
        <v>1231787.1000000001</v>
      </c>
      <c r="AQ118">
        <v>2037409.3</v>
      </c>
      <c r="AR118">
        <v>3269196.3</v>
      </c>
      <c r="AS118">
        <v>13739942.4</v>
      </c>
      <c r="AT118" s="22">
        <f t="shared" si="74"/>
        <v>1266041.8178979598</v>
      </c>
      <c r="AU118">
        <f t="shared" si="74"/>
        <v>2094067.5285542854</v>
      </c>
      <c r="AV118">
        <f t="shared" si="74"/>
        <v>3360109.346452245</v>
      </c>
      <c r="AW118">
        <f t="shared" si="74"/>
        <v>848691.10372897505</v>
      </c>
      <c r="AX118">
        <f t="shared" si="74"/>
        <v>1403758.1680826552</v>
      </c>
      <c r="AY118">
        <f t="shared" si="74"/>
        <v>2252449.4382800772</v>
      </c>
      <c r="AZ118">
        <f t="shared" si="74"/>
        <v>1438642.9630038601</v>
      </c>
      <c r="BA118">
        <f t="shared" ref="BA118:BI146" si="76">IF(AH118&lt;&gt;-999,AH118*0.5*3.67*0.907185, -999)</f>
        <v>2379554.5902157803</v>
      </c>
      <c r="BB118">
        <f t="shared" si="76"/>
        <v>3818197.5532196397</v>
      </c>
      <c r="BC118">
        <f t="shared" si="76"/>
        <v>1804523.6308272148</v>
      </c>
      <c r="BD118">
        <f t="shared" si="76"/>
        <v>2984731.3207621197</v>
      </c>
      <c r="BE118">
        <f t="shared" si="76"/>
        <v>4789254.9515893348</v>
      </c>
      <c r="BF118">
        <f t="shared" si="76"/>
        <v>1209662.4505671074</v>
      </c>
      <c r="BG118">
        <f t="shared" si="76"/>
        <v>2000814.7342283926</v>
      </c>
      <c r="BH118">
        <f t="shared" si="76"/>
        <v>3210477.1847954998</v>
      </c>
      <c r="BI118">
        <f t="shared" si="76"/>
        <v>2050536.8618752728</v>
      </c>
      <c r="BJ118">
        <f t="shared" si="75"/>
        <v>3391643.6309306175</v>
      </c>
      <c r="BK118">
        <f t="shared" si="75"/>
        <v>5442180.3263374418</v>
      </c>
      <c r="BL118">
        <f t="shared" si="75"/>
        <v>22872668.800674241</v>
      </c>
      <c r="BM118" s="22">
        <f>-17.17-(0.1023*E118)+F118*(100-8.576-13.681)</f>
        <v>28.985804934065808</v>
      </c>
      <c r="BN118">
        <f>IF(AT118&lt;&gt;-999,AT118*$BM118, -999)</f>
        <v>36697241.171960331</v>
      </c>
      <c r="BO118">
        <f>IF(AU118&lt;&gt;-999,AU118*$BM118, -999)</f>
        <v>60698232.9014358</v>
      </c>
      <c r="BP118" s="25">
        <f>IF(AV118&lt;&gt;-999,AV118*$BM118, -999)</f>
        <v>97395474.073396116</v>
      </c>
      <c r="BQ118">
        <f>-19.943-(0.1023*E118)+F118*(100-8.576-13.681)</f>
        <v>26.212804934065808</v>
      </c>
      <c r="BR118">
        <f>IF(AW118&lt;&gt;-999,AW118*$BQ118, -999)</f>
        <v>22246574.351324633</v>
      </c>
      <c r="BS118">
        <f>IF(AX118&lt;&gt;-999,AX118*$BQ118, -999)</f>
        <v>36796439.034552202</v>
      </c>
      <c r="BT118" s="25">
        <f>IF(AY118&lt;&gt;-999,AY118*$BQ118, -999)</f>
        <v>59043017.749481767</v>
      </c>
      <c r="BU118">
        <f>-25.871-(0.1023*E118)+F118*(100-8.576-13.681)</f>
        <v>20.284804934065811</v>
      </c>
      <c r="BV118">
        <f>IF(AZ118&lt;&gt;-999,AZ118*$BU118, -999)</f>
        <v>29182591.874299757</v>
      </c>
      <c r="BW118">
        <f>IF(BA118&lt;&gt;-999,BA118*$BU118, -999)</f>
        <v>48268800.692488007</v>
      </c>
      <c r="BX118" s="25">
        <f>IF(BB118&lt;&gt;-999,BB118*$BU118, -999)</f>
        <v>77451392.56678775</v>
      </c>
      <c r="BY118">
        <f>-25.245-(0.1023*E118)+F118*(100-8.576-13.681)</f>
        <v>20.910804934065808</v>
      </c>
      <c r="BZ118">
        <f>IF(BC118&lt;&gt;-999,BC118*$BY118, -999)</f>
        <v>37734041.64314007</v>
      </c>
      <c r="CA118">
        <f>IF(BD118&lt;&gt;-999,BD118*$BY118, -999)</f>
        <v>62413134.429053292</v>
      </c>
      <c r="CB118" s="25">
        <f>IF(BE118&lt;&gt;-999,BE118*$BY118, -999)</f>
        <v>100147176.07219337</v>
      </c>
      <c r="CC118">
        <f>-29.317-(0.1023*E118)+F118*(100-8.576-13.681)</f>
        <v>16.838804934065813</v>
      </c>
      <c r="CD118">
        <f>IF(BF118&lt;&gt;-999,BF118*$CC118, -999)</f>
        <v>20369270.041163553</v>
      </c>
      <c r="CE118">
        <f>IF(BG118&lt;&gt;-999,BG118*$CC118, -999)</f>
        <v>33691329.018876635</v>
      </c>
      <c r="CF118" s="25">
        <f>IF(BH118&lt;&gt;-999,BH118*$CC118, -999)</f>
        <v>54060599.060040183</v>
      </c>
      <c r="CG118">
        <f>-38.03-(0.1023*E118)+F118*(100-8.576-13.681)</f>
        <v>8.1258049340658047</v>
      </c>
      <c r="CH118">
        <f>IF(BI118&lt;&gt;-999,BI118*$CG118, -999)</f>
        <v>16662262.549709903</v>
      </c>
      <c r="CI118">
        <f>IF(BJ118&lt;&gt;-999,BJ118*$CG118, -999)</f>
        <v>27559834.550808873</v>
      </c>
      <c r="CJ118" s="25">
        <f>IF(BK118&lt;&gt;-999,BK118*$CG118, -999)</f>
        <v>44222095.747828633</v>
      </c>
      <c r="CK118" s="26">
        <f t="shared" si="45"/>
        <v>432319755.26972783</v>
      </c>
      <c r="CL118">
        <f t="shared" si="46"/>
        <v>-30.672573155283587</v>
      </c>
      <c r="CM118">
        <f t="shared" si="47"/>
        <v>27.558140858802282</v>
      </c>
      <c r="CN118">
        <f t="shared" si="48"/>
        <v>-87.897431508657448</v>
      </c>
      <c r="CO118" s="22">
        <f t="shared" si="49"/>
        <v>-40.08</v>
      </c>
      <c r="CP118">
        <f>IF(AT118&lt;&gt;-999,AT118*$CO118, -999)</f>
        <v>-50742956.061350226</v>
      </c>
      <c r="CQ118">
        <f>IF(AU118&lt;&gt;-999,AU118*$CO118, -999)</f>
        <v>-83930226.544455752</v>
      </c>
      <c r="CR118" s="27">
        <f>IF(AV118&lt;&gt;-999,AV118*$CO118, -999)</f>
        <v>-134673182.60580596</v>
      </c>
      <c r="CS118">
        <f t="shared" si="50"/>
        <v>-42.853000000000002</v>
      </c>
      <c r="CT118">
        <f>IF(AW118&lt;&gt;-999,AW118*$CS118, -999)</f>
        <v>-36368959.868097767</v>
      </c>
      <c r="CU118">
        <f>IF(AX118&lt;&gt;-999,AX118*$CS118, -999)</f>
        <v>-60155248.776846021</v>
      </c>
      <c r="CV118" s="27">
        <f>IF(AY118&lt;&gt;-999,AY118*$CS118, -999)</f>
        <v>-96524215.778616145</v>
      </c>
      <c r="CW118">
        <f t="shared" si="51"/>
        <v>-48.780999999999999</v>
      </c>
      <c r="CX118">
        <f>IF(AZ118&lt;&gt;-999,AZ118*$CO118, -999)</f>
        <v>-57660809.957194708</v>
      </c>
      <c r="CY118">
        <f>IF(BA118&lt;&gt;-999,BA118*$CO118, -999)</f>
        <v>-95372547.975848466</v>
      </c>
      <c r="CZ118" s="27">
        <f>IF(BB118&lt;&gt;-999,BB118*$CO118, -999)</f>
        <v>-153033357.93304315</v>
      </c>
      <c r="DA118">
        <f t="shared" si="52"/>
        <v>-48.155000000000001</v>
      </c>
      <c r="DB118">
        <f>IF(BC118&lt;&gt;-999,BC118*$DA118, -999)</f>
        <v>-86896835.442484528</v>
      </c>
      <c r="DC118">
        <f>IF(BD118&lt;&gt;-999,BD118*$DA118, -999)</f>
        <v>-143729736.75129989</v>
      </c>
      <c r="DD118" s="27">
        <f>IF(BE118&lt;&gt;-999,BE118*$DA118, -999)</f>
        <v>-230626572.19378442</v>
      </c>
      <c r="DE118">
        <f t="shared" si="53"/>
        <v>-52.227000000000004</v>
      </c>
      <c r="DF118">
        <f>IF(BF118&lt;&gt;-999,BF118*$DE118, -999)</f>
        <v>-63177040.805768326</v>
      </c>
      <c r="DG118">
        <f>IF(BG118&lt;&gt;-999,BG118*$DE118, -999)</f>
        <v>-104496551.12454627</v>
      </c>
      <c r="DH118" s="27">
        <f>IF(BH118&lt;&gt;-999,BH118*$DE118, -999)</f>
        <v>-167673591.93031457</v>
      </c>
      <c r="DI118">
        <f t="shared" si="54"/>
        <v>-60.94</v>
      </c>
      <c r="DJ118">
        <f>IF(BI118&lt;&gt;-999,BI118*$DI118, -999)</f>
        <v>-124959716.36267912</v>
      </c>
      <c r="DK118">
        <f>IF(BJ118&lt;&gt;-999,BJ118*$DI118, -999)</f>
        <v>-206686762.86891183</v>
      </c>
      <c r="DL118" s="27">
        <f>IF(BK118&lt;&gt;-999,BK118*$DI118, -999)</f>
        <v>-331646469.08700371</v>
      </c>
      <c r="DM118" s="28">
        <f t="shared" si="55"/>
        <v>-1114177389.528568</v>
      </c>
      <c r="DN118" s="22">
        <f t="shared" si="56"/>
        <v>-17.170000000000002</v>
      </c>
      <c r="DO118">
        <f>IF(AT118&lt;&gt;-999,AT118*$DN118, -999)</f>
        <v>-21737938.013307974</v>
      </c>
      <c r="DP118">
        <f>IF(AU118&lt;&gt;-999,AU118*$DN118, -999)</f>
        <v>-35955139.465277083</v>
      </c>
      <c r="DQ118" s="24">
        <f>IF(AV118&lt;&gt;-999,AV118*$DN118, -999)</f>
        <v>-57693077.47858505</v>
      </c>
      <c r="DR118">
        <f t="shared" si="57"/>
        <v>-19.943000000000001</v>
      </c>
      <c r="DS118">
        <f>IF(AW118&lt;&gt;-999,AW118*$DR118, -999)</f>
        <v>-16925446.681666952</v>
      </c>
      <c r="DT118">
        <f>IF(AX118&lt;&gt;-999,AX118*$DR118, -999)</f>
        <v>-27995149.146072395</v>
      </c>
      <c r="DU118" s="24">
        <f>IF(AY118&lt;&gt;-999,AY118*$DR118, -999)</f>
        <v>-44920599.147619583</v>
      </c>
      <c r="DV118">
        <f t="shared" si="58"/>
        <v>-25.870999999999999</v>
      </c>
      <c r="DW118">
        <f>IF(AZ118&lt;&gt;-999,AZ118*$DV118, -999)</f>
        <v>-37219132.095872864</v>
      </c>
      <c r="DX118">
        <f>IF(BA118&lt;&gt;-999,BA118*$DV118, -999)</f>
        <v>-61561456.803472452</v>
      </c>
      <c r="DY118" s="24">
        <f>IF(BB118&lt;&gt;-999,BB118*$DV118, -999)</f>
        <v>-98780588.899345294</v>
      </c>
      <c r="DZ118">
        <f t="shared" si="59"/>
        <v>-25.245000000000001</v>
      </c>
      <c r="EA118">
        <f>IF(BC118&lt;&gt;-999, BC118*$DZ118, -999)</f>
        <v>-45555199.060233042</v>
      </c>
      <c r="EB118">
        <f>IF(BD118&lt;&gt;-999, BD118*$DZ118, -999)</f>
        <v>-75349542.192639709</v>
      </c>
      <c r="EC118" s="24">
        <f>IF(BE118&lt;&gt;-999, BE118*$DZ118, -999)</f>
        <v>-120904741.25287277</v>
      </c>
      <c r="ED118">
        <f t="shared" si="60"/>
        <v>-29.317</v>
      </c>
      <c r="EE118">
        <f>IF(BF118&lt;&gt;-999,BF118*$ED118, -999)</f>
        <v>-35463674.063275889</v>
      </c>
      <c r="EF118">
        <f>IF(BG118&lt;&gt;-999,BG118*$ED118, -999)</f>
        <v>-58657885.563373789</v>
      </c>
      <c r="EG118" s="24">
        <f>IF(BH118&lt;&gt;-999,BH118*$ED118, -999)</f>
        <v>-94121559.626649663</v>
      </c>
      <c r="EH118">
        <f t="shared" si="61"/>
        <v>-38.03</v>
      </c>
      <c r="EI118">
        <f>IF(BI118&lt;&gt;-999,BI118*$EH118, -999)</f>
        <v>-77981916.857116625</v>
      </c>
      <c r="EJ118">
        <f>IF(BJ118&lt;&gt;-999,BJ118*$EH118, -999)</f>
        <v>-128984207.28429139</v>
      </c>
      <c r="EK118" s="24">
        <f>IF(BK118&lt;&gt;-999,BK118*$EH118, -999)</f>
        <v>-206966117.81061292</v>
      </c>
      <c r="EL118" s="28">
        <f t="shared" si="62"/>
        <v>-623386684.21568537</v>
      </c>
      <c r="EM118" s="22">
        <f>-17.17-(0.1023*G118)+H118*(100+102.093-66.644-64.243)</f>
        <v>20.227746242313195</v>
      </c>
      <c r="EN118">
        <f>IF(AT118&lt;&gt;-999,AT118*$EM118, -999)</f>
        <v>25609172.624596823</v>
      </c>
      <c r="EO118">
        <f>IF(AU118&lt;&gt;-999,AU118*$EM118, -999)</f>
        <v>42358266.581864029</v>
      </c>
      <c r="EP118" s="23">
        <f>IF(AV118&lt;&gt;-999,AV118*$EM118, -999)</f>
        <v>67967439.206460848</v>
      </c>
      <c r="EQ118">
        <f>-19.943-(0.1023*G118)+H118*(100+102.093-66.644-64.243)</f>
        <v>17.454746242313199</v>
      </c>
      <c r="ER118">
        <f>IF(AW118&lt;&gt;-999,AW118*$EQ118, -999)</f>
        <v>14813687.853697969</v>
      </c>
      <c r="ES118">
        <f>IF(AX118&lt;&gt;-999,AX118*$EQ118, -999)</f>
        <v>24502242.609457184</v>
      </c>
      <c r="ET118" s="23">
        <f>IF(AY118&lt;&gt;-999,AY118*$EQ118, -999)</f>
        <v>39315933.368819654</v>
      </c>
      <c r="EU118">
        <f>-25.871-(0.1023*G118)+H118*(100+102.093-66.644-64.243)</f>
        <v>11.526746242313202</v>
      </c>
      <c r="EV118">
        <f>IF(AZ118&lt;&gt;-999,AZ118*$EU118, -999)</f>
        <v>16582872.367835075</v>
      </c>
      <c r="EW118">
        <f>IF(BA118&lt;&gt;-999,BA118*$EU118, -999)</f>
        <v>27428521.931148876</v>
      </c>
      <c r="EX118" s="23">
        <f>IF(BB118&lt;&gt;-999,BB118*$EU118, -999)</f>
        <v>44011394.298983939</v>
      </c>
      <c r="EY118">
        <f>-25.245-(0.1023*G118)+H118*(100+102.093-66.644-64.243)</f>
        <v>12.152746242313192</v>
      </c>
      <c r="EZ118">
        <f>IF(BC118&lt;&gt;-999, BC118*$EY118, -999)</f>
        <v>21929917.773700792</v>
      </c>
      <c r="FA118">
        <f>IF(BD118&lt;&gt;-999, BD118*$EY118, -999)</f>
        <v>36272682.342706345</v>
      </c>
      <c r="FB118" s="23">
        <f>IF(BE118&lt;&gt;-999, BE118*$EY118, -999)</f>
        <v>58202600.116407134</v>
      </c>
      <c r="FC118">
        <f>-29.317-(0.1023*G118)+H118*(100+102.093-66.644-64.243)</f>
        <v>8.0807462423131966</v>
      </c>
      <c r="FD118">
        <f>IF(BF118&lt;&gt;-999,BF118*$FC118, -999)</f>
        <v>9774975.3018875271</v>
      </c>
      <c r="FE118">
        <f>IF(BG118&lt;&gt;-999,BG118*$FC118, -999)</f>
        <v>16168076.145180961</v>
      </c>
      <c r="FF118" s="23">
        <f>IF(BH118&lt;&gt;-999,BH118*$FC118, -999)</f>
        <v>25943051.447068486</v>
      </c>
      <c r="FG118">
        <f>-38.03-(0.1023*G118)+H118*(100+102.093-66.644-64.243)</f>
        <v>-0.63225375768680436</v>
      </c>
      <c r="FH118">
        <f>IF(BI118&lt;&gt;-999,BI118*$FG118, -999)</f>
        <v>-1296459.636195949</v>
      </c>
      <c r="FI118">
        <f>IF(BJ118&lt;&gt;-999,BJ118*$FG118, -999)</f>
        <v>-2144379.4303903999</v>
      </c>
      <c r="FJ118" s="23">
        <f>IF(BK118&lt;&gt;-999,BK118*$FG118, -999)</f>
        <v>-3440838.9613360469</v>
      </c>
      <c r="FK118" s="28">
        <f t="shared" si="63"/>
        <v>231999579.47640401</v>
      </c>
      <c r="FL118" s="22">
        <f t="shared" si="66"/>
        <v>10.012280000000011</v>
      </c>
      <c r="FM118">
        <f>IF(AT118&lt;&gt;-999,AT118*$FL118, -999)</f>
        <v>12675965.172503399</v>
      </c>
      <c r="FN118">
        <f>IF(AU118&lt;&gt;-999,AU118*$FL118, -999)</f>
        <v>20966390.434793524</v>
      </c>
      <c r="FO118" s="29">
        <f>IF(AV118&lt;&gt;-999,AV118*$FL118, -999)</f>
        <v>33642355.607296921</v>
      </c>
      <c r="FP118">
        <f t="shared" si="67"/>
        <v>7.2392800000000115</v>
      </c>
      <c r="FQ118">
        <f>IF(AW118&lt;&gt;-999,AW118*$FP118, -999)</f>
        <v>6143912.5334031042</v>
      </c>
      <c r="FR118">
        <f>IF(AX118&lt;&gt;-999,AX118*$FP118, -999)</f>
        <v>10162198.43103742</v>
      </c>
      <c r="FS118" s="29">
        <f>IF(AY118&lt;&gt;-999,AY118*$FP118, -999)</f>
        <v>16306112.169552224</v>
      </c>
      <c r="FT118">
        <f t="shared" si="68"/>
        <v>1.3112800000000142</v>
      </c>
      <c r="FU118">
        <f>IF(AZ118&lt;&gt;-999,AZ118*$FT118, -999)</f>
        <v>1886463.744527722</v>
      </c>
      <c r="FV118">
        <f>IF(BA118&lt;&gt;-999,BA118*$FT118, -999)</f>
        <v>3120262.3430581824</v>
      </c>
      <c r="FW118" s="29">
        <f>IF(BB118&lt;&gt;-999,BB118*$FT118, -999)</f>
        <v>5006726.0875859037</v>
      </c>
      <c r="FX118">
        <f t="shared" si="69"/>
        <v>1.9372800000000119</v>
      </c>
      <c r="FY118">
        <f>IF(BC118&lt;&gt;-999, BC118*$FX118, -999)</f>
        <v>3495867.5395289683</v>
      </c>
      <c r="FZ118">
        <f>IF(BD118&lt;&gt;-999, BD118*$FX118, -999)</f>
        <v>5782260.2930860743</v>
      </c>
      <c r="GA118" s="29">
        <f>IF(BE118&lt;&gt;-999, BE118*$FX118, -999)</f>
        <v>9278127.832615044</v>
      </c>
      <c r="GB118">
        <f t="shared" si="70"/>
        <v>-2.1347199999999873</v>
      </c>
      <c r="GC118">
        <f>IF(BF118&lt;&gt;-999,BF118*$GB118, -999)</f>
        <v>-2582290.6264746003</v>
      </c>
      <c r="GD118">
        <f>IF(BG118&lt;&gt;-999,BG118*$GB118, -999)</f>
        <v>-4271179.2294520084</v>
      </c>
      <c r="GE118" s="29">
        <f>IF(BH118&lt;&gt;-999,BH118*$GB118, -999)</f>
        <v>-6853469.8559266087</v>
      </c>
      <c r="GF118">
        <f t="shared" si="71"/>
        <v>-10.847719999999988</v>
      </c>
      <c r="GG118">
        <f>IF(BI118&lt;&gt;-999,BI118*$GF118, -999)</f>
        <v>-22243649.727301609</v>
      </c>
      <c r="GH118">
        <f>IF(BJ118&lt;&gt;-999,BJ118*$GF118, -999)</f>
        <v>-36791600.448118635</v>
      </c>
      <c r="GI118" s="29">
        <f>IF(BK118&lt;&gt;-999,BK118*$GF118, -999)</f>
        <v>-59035248.369617127</v>
      </c>
      <c r="GJ118" s="30">
        <f t="shared" si="64"/>
        <v>-1655396.5284936428</v>
      </c>
    </row>
    <row r="119" spans="1:192">
      <c r="A119" s="49" t="s">
        <v>151</v>
      </c>
      <c r="B119" s="49" t="s">
        <v>254</v>
      </c>
      <c r="C119" s="49">
        <v>14</v>
      </c>
      <c r="D119" s="50">
        <v>0.61799999999999999</v>
      </c>
      <c r="E119" s="49">
        <v>66.388485536072693</v>
      </c>
      <c r="F119" s="49">
        <v>0.79516133805551903</v>
      </c>
      <c r="G119" s="49">
        <v>211.990118390128</v>
      </c>
      <c r="H119" s="49">
        <v>0.80804829418848001</v>
      </c>
      <c r="I119" s="42">
        <v>7423.4</v>
      </c>
      <c r="J119" s="43">
        <v>19055.099999999999</v>
      </c>
      <c r="K119" s="43">
        <f t="shared" si="39"/>
        <v>26478.5</v>
      </c>
      <c r="L119" s="43">
        <v>6677.9</v>
      </c>
      <c r="M119" s="43">
        <v>17141.599999999999</v>
      </c>
      <c r="N119" s="43">
        <f t="shared" si="40"/>
        <v>23819.5</v>
      </c>
      <c r="O119" s="43">
        <v>6036.4</v>
      </c>
      <c r="P119" s="43">
        <v>15494.9</v>
      </c>
      <c r="Q119" s="43">
        <f t="shared" si="41"/>
        <v>21531.3</v>
      </c>
      <c r="R119" s="43">
        <v>7626.1</v>
      </c>
      <c r="S119" s="43">
        <v>19575.599999999999</v>
      </c>
      <c r="T119" s="43">
        <f t="shared" si="42"/>
        <v>27201.699999999997</v>
      </c>
      <c r="U119" s="43">
        <v>6860.3</v>
      </c>
      <c r="V119" s="43">
        <v>17609.8</v>
      </c>
      <c r="W119" s="43">
        <f t="shared" si="43"/>
        <v>24470.1</v>
      </c>
      <c r="X119" s="43">
        <v>6201.3</v>
      </c>
      <c r="Y119" s="43">
        <v>15918.2</v>
      </c>
      <c r="Z119" s="43">
        <f t="shared" si="44"/>
        <v>22119.5</v>
      </c>
      <c r="AA119" s="22">
        <v>209857</v>
      </c>
      <c r="AB119">
        <v>294745.2</v>
      </c>
      <c r="AC119">
        <v>504602.2</v>
      </c>
      <c r="AD119">
        <v>188783.2</v>
      </c>
      <c r="AE119">
        <v>265147.09999999998</v>
      </c>
      <c r="AF119">
        <v>453930.3</v>
      </c>
      <c r="AG119">
        <v>170648</v>
      </c>
      <c r="AH119">
        <v>239676</v>
      </c>
      <c r="AI119">
        <v>410324</v>
      </c>
      <c r="AJ119">
        <v>215590</v>
      </c>
      <c r="AK119">
        <v>302797.3</v>
      </c>
      <c r="AL119">
        <v>518387.3</v>
      </c>
      <c r="AM119">
        <v>193940.5</v>
      </c>
      <c r="AN119">
        <v>272390.5</v>
      </c>
      <c r="AO119">
        <v>466331.1</v>
      </c>
      <c r="AP119">
        <v>175309.9</v>
      </c>
      <c r="AQ119">
        <v>246223.7</v>
      </c>
      <c r="AR119">
        <v>421533.6</v>
      </c>
      <c r="AS119">
        <v>2775108.37</v>
      </c>
      <c r="AT119" s="22">
        <f t="shared" ref="AT119:BC150" si="77">IF(AA119&lt;&gt;-999,AA119*0.5*3.67*0.907185, -999)</f>
        <v>349345.68987007497</v>
      </c>
      <c r="AU119">
        <f t="shared" si="77"/>
        <v>490657.75852077006</v>
      </c>
      <c r="AV119">
        <f t="shared" si="77"/>
        <v>840003.44839084498</v>
      </c>
      <c r="AW119">
        <f t="shared" si="77"/>
        <v>314264.46218082</v>
      </c>
      <c r="AX119">
        <f t="shared" si="77"/>
        <v>441386.26096127246</v>
      </c>
      <c r="AY119">
        <f t="shared" si="77"/>
        <v>755650.72314209247</v>
      </c>
      <c r="AZ119">
        <f t="shared" si="77"/>
        <v>284075.0762898</v>
      </c>
      <c r="BA119">
        <f t="shared" si="76"/>
        <v>398984.91623009997</v>
      </c>
      <c r="BB119">
        <f t="shared" si="76"/>
        <v>683059.99251990009</v>
      </c>
      <c r="BC119">
        <f t="shared" si="76"/>
        <v>358889.32596524997</v>
      </c>
      <c r="BD119">
        <f t="shared" si="76"/>
        <v>504061.9643819175</v>
      </c>
      <c r="BE119">
        <f t="shared" si="76"/>
        <v>862951.29034716741</v>
      </c>
      <c r="BF119">
        <f t="shared" si="76"/>
        <v>322849.73942373751</v>
      </c>
      <c r="BG119">
        <f t="shared" si="76"/>
        <v>453444.23648748751</v>
      </c>
      <c r="BH119">
        <f t="shared" si="76"/>
        <v>776294.1423796725</v>
      </c>
      <c r="BI119">
        <f t="shared" si="76"/>
        <v>291835.66884380247</v>
      </c>
      <c r="BJ119">
        <f t="shared" si="75"/>
        <v>409884.77076705755</v>
      </c>
      <c r="BK119">
        <f t="shared" si="75"/>
        <v>701720.43961085996</v>
      </c>
      <c r="BL119">
        <f t="shared" si="75"/>
        <v>4619679.8199815564</v>
      </c>
      <c r="BM119" s="22">
        <f>-17.17-(0.1023*E119)+F119*(100-8.576-13.681)</f>
        <v>37.856685834109989</v>
      </c>
      <c r="BN119">
        <f>IF(AT119&lt;&gt;-999,AT119*$BM119, -999)</f>
        <v>13225070.028911849</v>
      </c>
      <c r="BO119">
        <f>IF(AU119&lt;&gt;-999,AU119*$BM119, -999)</f>
        <v>18574676.616389394</v>
      </c>
      <c r="BP119" s="25">
        <f>IF(AV119&lt;&gt;-999,AV119*$BM119, -999)</f>
        <v>31799746.645301241</v>
      </c>
      <c r="BQ119">
        <f>-19.943-(0.1023*E119)+F119*(100-8.576-13.681)</f>
        <v>35.083685834109986</v>
      </c>
      <c r="BR119">
        <f>IF(AW119&lt;&gt;-999,AW119*$BQ119, -999)</f>
        <v>11025555.659977429</v>
      </c>
      <c r="BS119">
        <f>IF(AX119&lt;&gt;-999,AX119*$BQ119, -999)</f>
        <v>15485456.911057768</v>
      </c>
      <c r="BT119" s="25">
        <f>IF(AY119&lt;&gt;-999,AY119*$BQ119, -999)</f>
        <v>26511012.571035195</v>
      </c>
      <c r="BU119">
        <f>-25.871-(0.1023*E119)+F119*(100-8.576-13.681)</f>
        <v>29.155685834109988</v>
      </c>
      <c r="BV119">
        <f>IF(AZ119&lt;&gt;-999,AZ119*$BU119, -999)</f>
        <v>8282403.6776062362</v>
      </c>
      <c r="BW119">
        <f>IF(BA119&lt;&gt;-999,BA119*$BU119, -999)</f>
        <v>11632678.870153487</v>
      </c>
      <c r="BX119" s="25">
        <f>IF(BB119&lt;&gt;-999,BB119*$BU119, -999)</f>
        <v>19915082.547759727</v>
      </c>
      <c r="BY119">
        <f>-25.245-(0.1023*E119)+F119*(100-8.576-13.681)</f>
        <v>29.781685834109986</v>
      </c>
      <c r="BZ119">
        <f>IF(BC119&lt;&gt;-999,BC119*$BY119, -999)</f>
        <v>10688329.155112566</v>
      </c>
      <c r="CA119">
        <f>IF(BD119&lt;&gt;-999,BD119*$BY119, -999)</f>
        <v>15011815.064146604</v>
      </c>
      <c r="CB119" s="25">
        <f>IF(BE119&lt;&gt;-999,BE119*$BY119, -999)</f>
        <v>25700144.219259169</v>
      </c>
      <c r="CC119">
        <f>-29.317-(0.1023*E119)+F119*(100-8.576-13.681)</f>
        <v>25.70968583410999</v>
      </c>
      <c r="CD119">
        <f>IF(BF119&lt;&gt;-999,BF119*$CC119, -999)</f>
        <v>8300365.3722085664</v>
      </c>
      <c r="CE119">
        <f>IF(BG119&lt;&gt;-999,BG119*$CC119, -999)</f>
        <v>11657908.863381177</v>
      </c>
      <c r="CF119" s="25">
        <f>IF(BH119&lt;&gt;-999,BH119*$CC119, -999)</f>
        <v>19958278.515441231</v>
      </c>
      <c r="CG119">
        <f>-38.03-(0.1023*E119)+F119*(100-8.576-13.681)</f>
        <v>16.996685834109989</v>
      </c>
      <c r="CH119">
        <f>IF(BI119&lt;&gt;-999,BI119*$CG119, -999)</f>
        <v>4960239.1785254711</v>
      </c>
      <c r="CI119">
        <f>IF(BJ119&lt;&gt;-999,BJ119*$CG119, -999)</f>
        <v>6966682.6769138677</v>
      </c>
      <c r="CJ119" s="25">
        <f>IF(BK119&lt;&gt;-999,BK119*$CG119, -999)</f>
        <v>11926921.855439337</v>
      </c>
      <c r="CK119" s="26">
        <f t="shared" si="45"/>
        <v>135811186.35423592</v>
      </c>
      <c r="CL119">
        <f t="shared" si="46"/>
        <v>-39.407791260558241</v>
      </c>
      <c r="CM119">
        <f t="shared" si="47"/>
        <v>17.744132286342101</v>
      </c>
      <c r="CN119">
        <f t="shared" si="48"/>
        <v>-95.572493771386021</v>
      </c>
      <c r="CO119" s="22">
        <f t="shared" si="49"/>
        <v>-40.08</v>
      </c>
      <c r="CP119">
        <f>IF(AT119&lt;&gt;-999,AT119*$CO119, -999)</f>
        <v>-14001775.249992603</v>
      </c>
      <c r="CQ119">
        <f>IF(AU119&lt;&gt;-999,AU119*$CO119, -999)</f>
        <v>-19665562.961512465</v>
      </c>
      <c r="CR119" s="27">
        <f>IF(AV119&lt;&gt;-999,AV119*$CO119, -999)</f>
        <v>-33667338.211505063</v>
      </c>
      <c r="CS119">
        <f t="shared" si="50"/>
        <v>-42.853000000000002</v>
      </c>
      <c r="CT119">
        <f>IF(AW119&lt;&gt;-999,AW119*$CS119, -999)</f>
        <v>-13467174.997834681</v>
      </c>
      <c r="CU119">
        <f>IF(AX119&lt;&gt;-999,AX119*$CS119, -999)</f>
        <v>-18914725.440973409</v>
      </c>
      <c r="CV119" s="27">
        <f>IF(AY119&lt;&gt;-999,AY119*$CS119, -999)</f>
        <v>-32381900.438808091</v>
      </c>
      <c r="CW119">
        <f t="shared" si="51"/>
        <v>-48.780999999999999</v>
      </c>
      <c r="CX119">
        <f>IF(AZ119&lt;&gt;-999,AZ119*$CO119, -999)</f>
        <v>-11385729.057695184</v>
      </c>
      <c r="CY119">
        <f>IF(BA119&lt;&gt;-999,BA119*$CO119, -999)</f>
        <v>-15991315.442502405</v>
      </c>
      <c r="CZ119" s="27">
        <f>IF(BB119&lt;&gt;-999,BB119*$CO119, -999)</f>
        <v>-27377044.500197593</v>
      </c>
      <c r="DA119">
        <f t="shared" si="52"/>
        <v>-48.155000000000001</v>
      </c>
      <c r="DB119">
        <f>IF(BC119&lt;&gt;-999,BC119*$DA119, -999)</f>
        <v>-17282315.491856612</v>
      </c>
      <c r="DC119">
        <f>IF(BD119&lt;&gt;-999,BD119*$DA119, -999)</f>
        <v>-24273103.894811239</v>
      </c>
      <c r="DD119" s="27">
        <f>IF(BE119&lt;&gt;-999,BE119*$DA119, -999)</f>
        <v>-41555419.386667848</v>
      </c>
      <c r="DE119">
        <f t="shared" si="53"/>
        <v>-52.227000000000004</v>
      </c>
      <c r="DF119">
        <f>IF(BF119&lt;&gt;-999,BF119*$DE119, -999)</f>
        <v>-16861473.340883542</v>
      </c>
      <c r="DG119">
        <f>IF(BG119&lt;&gt;-999,BG119*$DE119, -999)</f>
        <v>-23682032.13903201</v>
      </c>
      <c r="DH119" s="27">
        <f>IF(BH119&lt;&gt;-999,BH119*$DE119, -999)</f>
        <v>-40543514.174063161</v>
      </c>
      <c r="DI119">
        <f t="shared" si="54"/>
        <v>-60.94</v>
      </c>
      <c r="DJ119">
        <f>IF(BI119&lt;&gt;-999,BI119*$DI119, -999)</f>
        <v>-17784465.65934132</v>
      </c>
      <c r="DK119">
        <f>IF(BJ119&lt;&gt;-999,BJ119*$DI119, -999)</f>
        <v>-24978377.930544484</v>
      </c>
      <c r="DL119" s="27">
        <f>IF(BK119&lt;&gt;-999,BK119*$DI119, -999)</f>
        <v>-42762843.589885801</v>
      </c>
      <c r="DM119" s="28">
        <f t="shared" si="55"/>
        <v>-218288060.30112752</v>
      </c>
      <c r="DN119" s="22">
        <f t="shared" si="56"/>
        <v>-17.170000000000002</v>
      </c>
      <c r="DO119">
        <f>IF(AT119&lt;&gt;-999,AT119*$DN119, -999)</f>
        <v>-5998265.4950691881</v>
      </c>
      <c r="DP119">
        <f>IF(AU119&lt;&gt;-999,AU119*$DN119, -999)</f>
        <v>-8424593.7138016224</v>
      </c>
      <c r="DQ119" s="24">
        <f>IF(AV119&lt;&gt;-999,AV119*$DN119, -999)</f>
        <v>-14422859.20887081</v>
      </c>
      <c r="DR119">
        <f t="shared" si="57"/>
        <v>-19.943000000000001</v>
      </c>
      <c r="DS119">
        <f>IF(AW119&lt;&gt;-999,AW119*$DR119, -999)</f>
        <v>-6267376.169272094</v>
      </c>
      <c r="DT119">
        <f>IF(AX119&lt;&gt;-999,AX119*$DR119, -999)</f>
        <v>-8802566.2023506574</v>
      </c>
      <c r="DU119" s="24">
        <f>IF(AY119&lt;&gt;-999,AY119*$DR119, -999)</f>
        <v>-15069942.371622751</v>
      </c>
      <c r="DV119">
        <f t="shared" si="58"/>
        <v>-25.870999999999999</v>
      </c>
      <c r="DW119">
        <f>IF(AZ119&lt;&gt;-999,AZ119*$DV119, -999)</f>
        <v>-7349306.2986934157</v>
      </c>
      <c r="DX119">
        <f>IF(BA119&lt;&gt;-999,BA119*$DV119, -999)</f>
        <v>-10322138.767788917</v>
      </c>
      <c r="DY119" s="24">
        <f>IF(BB119&lt;&gt;-999,BB119*$DV119, -999)</f>
        <v>-17671445.066482335</v>
      </c>
      <c r="DZ119">
        <f t="shared" si="59"/>
        <v>-25.245000000000001</v>
      </c>
      <c r="EA119">
        <f>IF(BC119&lt;&gt;-999, BC119*$DZ119, -999)</f>
        <v>-9060161.0339927357</v>
      </c>
      <c r="EB119">
        <f>IF(BD119&lt;&gt;-999, BD119*$DZ119, -999)</f>
        <v>-12725044.290821508</v>
      </c>
      <c r="EC119" s="24">
        <f>IF(BE119&lt;&gt;-999, BE119*$DZ119, -999)</f>
        <v>-21785205.324814241</v>
      </c>
      <c r="ED119">
        <f t="shared" si="60"/>
        <v>-29.317</v>
      </c>
      <c r="EE119">
        <f>IF(BF119&lt;&gt;-999,BF119*$ED119, -999)</f>
        <v>-9464985.8106857128</v>
      </c>
      <c r="EF119">
        <f>IF(BG119&lt;&gt;-999,BG119*$ED119, -999)</f>
        <v>-13293624.681103671</v>
      </c>
      <c r="EG119" s="24">
        <f>IF(BH119&lt;&gt;-999,BH119*$ED119, -999)</f>
        <v>-22758615.372144859</v>
      </c>
      <c r="EH119">
        <f t="shared" si="61"/>
        <v>-38.03</v>
      </c>
      <c r="EI119">
        <f>IF(BI119&lt;&gt;-999,BI119*$EH119, -999)</f>
        <v>-11098510.486129809</v>
      </c>
      <c r="EJ119">
        <f>IF(BJ119&lt;&gt;-999,BJ119*$EH119, -999)</f>
        <v>-15587917.8322712</v>
      </c>
      <c r="EK119" s="24">
        <f>IF(BK119&lt;&gt;-999,BK119*$EH119, -999)</f>
        <v>-26686428.318401005</v>
      </c>
      <c r="EL119" s="28">
        <f t="shared" si="62"/>
        <v>-118394495.66233601</v>
      </c>
      <c r="EM119" s="22">
        <f>-17.17-(0.1023*G119)+H119*(100+102.093-66.644-64.243)</f>
        <v>18.68129772467482</v>
      </c>
      <c r="EN119">
        <f>IF(AT119&lt;&gt;-999,AT119*$EM119, -999)</f>
        <v>6526230.8412947869</v>
      </c>
      <c r="EO119">
        <f>IF(AU119&lt;&gt;-999,AU119*$EM119, -999)</f>
        <v>9166123.6678481083</v>
      </c>
      <c r="EP119" s="23">
        <f>IF(AV119&lt;&gt;-999,AV119*$EM119, -999)</f>
        <v>15692354.509142894</v>
      </c>
      <c r="EQ119">
        <f>-19.943-(0.1023*G119)+H119*(100+102.093-66.644-64.243)</f>
        <v>15.908297724674824</v>
      </c>
      <c r="ER119">
        <f>IF(AW119&lt;&gt;-999,AW119*$EQ119, -999)</f>
        <v>4999412.6286572963</v>
      </c>
      <c r="ES119">
        <f>IF(AX119&lt;&gt;-999,AX119*$EQ119, -999)</f>
        <v>7021704.0509529393</v>
      </c>
      <c r="ET119" s="23">
        <f>IF(AY119&lt;&gt;-999,AY119*$EQ119, -999)</f>
        <v>12021116.679610236</v>
      </c>
      <c r="EU119">
        <f>-25.871-(0.1023*G119)+H119*(100+102.093-66.644-64.243)</f>
        <v>9.980297724674827</v>
      </c>
      <c r="EV119">
        <f>IF(AZ119&lt;&gt;-999,AZ119*$EU119, -999)</f>
        <v>2835153.8375319187</v>
      </c>
      <c r="EW119">
        <f>IF(BA119&lt;&gt;-999,BA119*$EU119, -999)</f>
        <v>3981988.2516308432</v>
      </c>
      <c r="EX119" s="23">
        <f>IF(BB119&lt;&gt;-999,BB119*$EU119, -999)</f>
        <v>6817142.0891627632</v>
      </c>
      <c r="EY119">
        <f>-25.245-(0.1023*G119)+H119*(100+102.093-66.644-64.243)</f>
        <v>10.606297724674825</v>
      </c>
      <c r="EZ119">
        <f>IF(BC119&lt;&gt;-999, BC119*$EY119, -999)</f>
        <v>3806487.0413953122</v>
      </c>
      <c r="FA119">
        <f>IF(BD119&lt;&gt;-999, BD119*$EY119, -999)</f>
        <v>5346231.2659190539</v>
      </c>
      <c r="FB119" s="23">
        <f>IF(BE119&lt;&gt;-999, BE119*$EY119, -999)</f>
        <v>9152718.3073143661</v>
      </c>
      <c r="FC119">
        <f>-29.317-(0.1023*G119)+H119*(100+102.093-66.644-64.243)</f>
        <v>6.5342977246748291</v>
      </c>
      <c r="FD119">
        <f>IF(BF119&lt;&gt;-999,BF119*$FC119, -999)</f>
        <v>2109596.3177283895</v>
      </c>
      <c r="FE119">
        <f>IF(BG119&lt;&gt;-999,BG119*$FC119, -999)</f>
        <v>2962939.6427471046</v>
      </c>
      <c r="FF119" s="23">
        <f>IF(BH119&lt;&gt;-999,BH119*$FC119, -999)</f>
        <v>5072537.0482298918</v>
      </c>
      <c r="FG119">
        <f>-38.03-(0.1023*G119)+H119*(100+102.093-66.644-64.243)</f>
        <v>-2.178702275325179</v>
      </c>
      <c r="FH119">
        <f>IF(BI119&lt;&gt;-999,BI119*$FG119, -999)</f>
        <v>-635823.03573103785</v>
      </c>
      <c r="FI119">
        <f>IF(BJ119&lt;&gt;-999,BJ119*$FG119, -999)</f>
        <v>-893016.88269132772</v>
      </c>
      <c r="FJ119" s="23">
        <f>IF(BK119&lt;&gt;-999,BK119*$FG119, -999)</f>
        <v>-1528839.9184223656</v>
      </c>
      <c r="FK119" s="28">
        <f t="shared" si="63"/>
        <v>47227028.715037785</v>
      </c>
      <c r="FL119" s="22">
        <f t="shared" si="66"/>
        <v>10.012280000000011</v>
      </c>
      <c r="FM119">
        <f>IF(AT119&lt;&gt;-999,AT119*$FL119, -999)</f>
        <v>3497746.8637723583</v>
      </c>
      <c r="FN119">
        <f>IF(AU119&lt;&gt;-999,AU119*$FL119, -999)</f>
        <v>4912602.862482341</v>
      </c>
      <c r="FO119" s="29">
        <f>IF(AV119&lt;&gt;-999,AV119*$FL119, -999)</f>
        <v>8410349.7262546979</v>
      </c>
      <c r="FP119">
        <f t="shared" si="67"/>
        <v>7.2392800000000115</v>
      </c>
      <c r="FQ119">
        <f>IF(AW119&lt;&gt;-999,AW119*$FP119, -999)</f>
        <v>2275048.4357763701</v>
      </c>
      <c r="FR119">
        <f>IF(AX119&lt;&gt;-999,AX119*$FP119, -999)</f>
        <v>3195318.7312517255</v>
      </c>
      <c r="FS119" s="29">
        <f>IF(AY119&lt;&gt;-999,AY119*$FP119, -999)</f>
        <v>5470367.1670280956</v>
      </c>
      <c r="FT119">
        <f t="shared" si="68"/>
        <v>1.3112800000000142</v>
      </c>
      <c r="FU119">
        <f>IF(AZ119&lt;&gt;-999,AZ119*$FT119, -999)</f>
        <v>372501.96603729296</v>
      </c>
      <c r="FV119">
        <f>IF(BA119&lt;&gt;-999,BA119*$FT119, -999)</f>
        <v>523180.94095421117</v>
      </c>
      <c r="FW119" s="29">
        <f>IF(BB119&lt;&gt;-999,BB119*$FT119, -999)</f>
        <v>895682.90699150425</v>
      </c>
      <c r="FX119">
        <f t="shared" si="69"/>
        <v>1.9372800000000119</v>
      </c>
      <c r="FY119">
        <f>IF(BC119&lt;&gt;-999, BC119*$FX119, -999)</f>
        <v>695269.11340596376</v>
      </c>
      <c r="FZ119">
        <f>IF(BD119&lt;&gt;-999, BD119*$FX119, -999)</f>
        <v>976509.16235780716</v>
      </c>
      <c r="GA119" s="29">
        <f>IF(BE119&lt;&gt;-999, BE119*$FX119, -999)</f>
        <v>1671778.2757637708</v>
      </c>
      <c r="GB119">
        <f t="shared" si="70"/>
        <v>-2.1347199999999873</v>
      </c>
      <c r="GC119">
        <f>IF(BF119&lt;&gt;-999,BF119*$GB119, -999)</f>
        <v>-689193.7957426369</v>
      </c>
      <c r="GD119">
        <f>IF(BG119&lt;&gt;-999,BG119*$GB119, -999)</f>
        <v>-967976.48051456362</v>
      </c>
      <c r="GE119" s="29">
        <f>IF(BH119&lt;&gt;-999,BH119*$GB119, -999)</f>
        <v>-1657170.6316207247</v>
      </c>
      <c r="GF119">
        <f t="shared" si="71"/>
        <v>-10.847719999999988</v>
      </c>
      <c r="GG119">
        <f>IF(BI119&lt;&gt;-999,BI119*$GF119, -999)</f>
        <v>-3165751.6216302896</v>
      </c>
      <c r="GH119">
        <f>IF(BJ119&lt;&gt;-999,BJ119*$GF119, -999)</f>
        <v>-4446315.225545221</v>
      </c>
      <c r="GI119" s="29">
        <f>IF(BK119&lt;&gt;-999,BK119*$GF119, -999)</f>
        <v>-7612066.8471755097</v>
      </c>
      <c r="GJ119" s="30">
        <f t="shared" si="64"/>
        <v>7178940.5972418329</v>
      </c>
    </row>
    <row r="120" spans="1:192">
      <c r="A120" s="48" t="s">
        <v>161</v>
      </c>
      <c r="B120" s="48" t="s">
        <v>241</v>
      </c>
      <c r="C120" s="49">
        <v>56</v>
      </c>
      <c r="D120" s="50">
        <v>0.61499999999999999</v>
      </c>
      <c r="E120" s="49">
        <v>130.772297201567</v>
      </c>
      <c r="F120" s="49">
        <v>0.78896101596464296</v>
      </c>
      <c r="G120" s="49">
        <v>222.19342222214499</v>
      </c>
      <c r="H120" s="49">
        <v>0.80772188544036005</v>
      </c>
      <c r="I120" s="42">
        <v>29045.9</v>
      </c>
      <c r="J120" s="43">
        <v>3118.8</v>
      </c>
      <c r="K120" s="43">
        <f t="shared" si="39"/>
        <v>32164.7</v>
      </c>
      <c r="L120" s="43">
        <v>19989.400000000001</v>
      </c>
      <c r="M120" s="43">
        <v>2146.4</v>
      </c>
      <c r="N120" s="43">
        <f t="shared" si="40"/>
        <v>22135.800000000003</v>
      </c>
      <c r="O120" s="43">
        <v>36062.9</v>
      </c>
      <c r="P120" s="43">
        <v>3872.3</v>
      </c>
      <c r="Q120" s="43">
        <f t="shared" si="41"/>
        <v>39935.200000000004</v>
      </c>
      <c r="R120" s="43">
        <v>91868</v>
      </c>
      <c r="S120" s="43">
        <v>9864.4</v>
      </c>
      <c r="T120" s="43">
        <f t="shared" si="42"/>
        <v>101732.4</v>
      </c>
      <c r="U120" s="43">
        <v>63223.7</v>
      </c>
      <c r="V120" s="43">
        <v>6788.7</v>
      </c>
      <c r="W120" s="43">
        <f t="shared" si="43"/>
        <v>70012.399999999994</v>
      </c>
      <c r="X120" s="43">
        <v>114061.8</v>
      </c>
      <c r="Y120" s="43">
        <v>12247.4</v>
      </c>
      <c r="Z120" s="43">
        <f t="shared" si="44"/>
        <v>126309.2</v>
      </c>
      <c r="AA120" s="22">
        <v>546429.19999999995</v>
      </c>
      <c r="AB120">
        <v>17648.5</v>
      </c>
      <c r="AC120">
        <v>564077.69999999995</v>
      </c>
      <c r="AD120">
        <v>376053.2</v>
      </c>
      <c r="AE120">
        <v>12145.7</v>
      </c>
      <c r="AF120">
        <v>388199</v>
      </c>
      <c r="AG120">
        <v>678437.2</v>
      </c>
      <c r="AH120">
        <v>21912.1</v>
      </c>
      <c r="AI120">
        <v>700349.3</v>
      </c>
      <c r="AJ120">
        <v>1728279.2</v>
      </c>
      <c r="AK120">
        <v>55819.9</v>
      </c>
      <c r="AL120">
        <v>1784099.1</v>
      </c>
      <c r="AM120">
        <v>1189403.8</v>
      </c>
      <c r="AN120">
        <v>38415.300000000003</v>
      </c>
      <c r="AO120">
        <v>1227819.1000000001</v>
      </c>
      <c r="AP120">
        <v>2145802</v>
      </c>
      <c r="AQ120">
        <v>69305</v>
      </c>
      <c r="AR120">
        <v>2215107.1</v>
      </c>
      <c r="AS120">
        <v>6879651.2999999998</v>
      </c>
      <c r="AT120" s="22">
        <f t="shared" si="77"/>
        <v>909632.20592666999</v>
      </c>
      <c r="AU120">
        <f t="shared" si="77"/>
        <v>29379.183957037498</v>
      </c>
      <c r="AV120">
        <f t="shared" si="77"/>
        <v>939011.38988370739</v>
      </c>
      <c r="AW120">
        <f t="shared" si="77"/>
        <v>626009.92381406995</v>
      </c>
      <c r="AX120">
        <f t="shared" si="77"/>
        <v>20218.758228007504</v>
      </c>
      <c r="AY120">
        <f t="shared" si="77"/>
        <v>646228.84851052507</v>
      </c>
      <c r="AZ120">
        <f t="shared" si="77"/>
        <v>1129383.87410247</v>
      </c>
      <c r="BA120">
        <f t="shared" si="76"/>
        <v>36476.732684647497</v>
      </c>
      <c r="BB120">
        <f t="shared" si="76"/>
        <v>1165860.6067871177</v>
      </c>
      <c r="BC120">
        <f t="shared" si="76"/>
        <v>2877039.5527054202</v>
      </c>
      <c r="BD120">
        <f t="shared" si="76"/>
        <v>92922.520926052501</v>
      </c>
      <c r="BE120">
        <f t="shared" si="76"/>
        <v>2969962.0736314729</v>
      </c>
      <c r="BF120">
        <f t="shared" si="76"/>
        <v>1979982.0403660052</v>
      </c>
      <c r="BG120">
        <f t="shared" si="76"/>
        <v>63949.353512467504</v>
      </c>
      <c r="BH120">
        <f t="shared" si="76"/>
        <v>2043931.3938784725</v>
      </c>
      <c r="BI120">
        <f t="shared" si="76"/>
        <v>3572083.2758239498</v>
      </c>
      <c r="BJ120">
        <f t="shared" si="75"/>
        <v>115370.957539875</v>
      </c>
      <c r="BK120">
        <f t="shared" si="75"/>
        <v>3687454.3998322724</v>
      </c>
      <c r="BL120">
        <f t="shared" si="75"/>
        <v>11452448.712523567</v>
      </c>
      <c r="BM120" s="22">
        <f>-17.17-(0.1023*E120)+F120*(100-8.576-13.681)</f>
        <v>30.78819026041894</v>
      </c>
      <c r="BN120">
        <f>IF(AT120&lt;&gt;-999,AT120*$BM120, -999)</f>
        <v>28005929.423074897</v>
      </c>
      <c r="BO120">
        <f>IF(AU120&lt;&gt;-999,AU120*$BM120, -999)</f>
        <v>904531.90536511829</v>
      </c>
      <c r="BP120" s="25">
        <f>IF(AV120&lt;&gt;-999,AV120*$BM120, -999)</f>
        <v>28910461.328440011</v>
      </c>
      <c r="BQ120">
        <f>-19.943-(0.1023*E120)+F120*(100-8.576-13.681)</f>
        <v>28.01519026041894</v>
      </c>
      <c r="BR120">
        <f>IF(AW120&lt;&gt;-999,AW120*$BQ120, -999)</f>
        <v>17537787.120561536</v>
      </c>
      <c r="BS120">
        <f>IF(AX120&lt;&gt;-999,AX120*$BQ120, -999)</f>
        <v>566432.35858704115</v>
      </c>
      <c r="BT120" s="25">
        <f>IF(AY120&lt;&gt;-999,AY120*$BQ120, -999)</f>
        <v>18104224.142793808</v>
      </c>
      <c r="BU120">
        <f>-25.871-(0.1023*E120)+F120*(100-8.576-13.681)</f>
        <v>22.087190260418943</v>
      </c>
      <c r="BV120">
        <f>IF(AZ120&lt;&gt;-999,AZ120*$BU120, -999)</f>
        <v>24944916.50435029</v>
      </c>
      <c r="BW120">
        <f>IF(BA120&lt;&gt;-999,BA120*$BU120, -999)</f>
        <v>805668.53488425154</v>
      </c>
      <c r="BX120" s="25">
        <f>IF(BB120&lt;&gt;-999,BB120*$BU120, -999)</f>
        <v>25750585.039234545</v>
      </c>
      <c r="BY120">
        <f>-25.245-(0.1023*E120)+F120*(100-8.576-13.681)</f>
        <v>22.713190260418941</v>
      </c>
      <c r="BZ120">
        <f>IF(BC120&lt;&gt;-999,BC120*$BY120, -999)</f>
        <v>65346746.747348815</v>
      </c>
      <c r="CA120">
        <f>IF(BD120&lt;&gt;-999,BD120*$BY120, -999)</f>
        <v>2110566.8972711908</v>
      </c>
      <c r="CB120" s="25">
        <f>IF(BE120&lt;&gt;-999,BE120*$BY120, -999)</f>
        <v>67457313.644620016</v>
      </c>
      <c r="CC120">
        <f>-29.317-(0.1023*E120)+F120*(100-8.576-13.681)</f>
        <v>18.641190260418938</v>
      </c>
      <c r="CD120">
        <f>IF(BF120&lt;&gt;-999,BF120*$CC120, -999)</f>
        <v>36909221.926675193</v>
      </c>
      <c r="CE120">
        <f>IF(BG120&lt;&gt;-999,BG120*$CC120, -999)</f>
        <v>1192092.0658566968</v>
      </c>
      <c r="CF120" s="25">
        <f>IF(BH120&lt;&gt;-999,BH120*$CC120, -999)</f>
        <v>38101313.992531888</v>
      </c>
      <c r="CG120">
        <f>-38.03-(0.1023*E120)+F120*(100-8.576-13.681)</f>
        <v>9.928190260418944</v>
      </c>
      <c r="CH120">
        <f>IF(BI120&lt;&gt;-999,BI120*$CG120, -999)</f>
        <v>35464322.388440736</v>
      </c>
      <c r="CI120">
        <f>IF(BJ120&lt;&gt;-999,BJ120*$CG120, -999)</f>
        <v>1145424.8169825946</v>
      </c>
      <c r="CJ120" s="25">
        <f>IF(BK120&lt;&gt;-999,BK120*$CG120, -999)</f>
        <v>36609748.858153753</v>
      </c>
      <c r="CK120" s="26">
        <f t="shared" si="45"/>
        <v>214933647.00577402</v>
      </c>
      <c r="CL120">
        <f t="shared" si="46"/>
        <v>-31.544129760994366</v>
      </c>
      <c r="CM120">
        <f t="shared" si="47"/>
        <v>26.056941876791868</v>
      </c>
      <c r="CN120">
        <f t="shared" si="48"/>
        <v>-88.1502219459109</v>
      </c>
      <c r="CO120" s="22">
        <f t="shared" si="49"/>
        <v>-40.08</v>
      </c>
      <c r="CP120">
        <f>IF(AT120&lt;&gt;-999,AT120*$CO120, -999)</f>
        <v>-36458058.813540936</v>
      </c>
      <c r="CQ120">
        <f>IF(AU120&lt;&gt;-999,AU120*$CO120, -999)</f>
        <v>-1177517.6929980628</v>
      </c>
      <c r="CR120" s="27">
        <f>IF(AV120&lt;&gt;-999,AV120*$CO120, -999)</f>
        <v>-37635576.506538987</v>
      </c>
      <c r="CS120">
        <f t="shared" si="50"/>
        <v>-42.853000000000002</v>
      </c>
      <c r="CT120">
        <f>IF(AW120&lt;&gt;-999,AW120*$CS120, -999)</f>
        <v>-26826403.26520434</v>
      </c>
      <c r="CU120">
        <f>IF(AX120&lt;&gt;-999,AX120*$CS120, -999)</f>
        <v>-866434.44634480565</v>
      </c>
      <c r="CV120" s="27">
        <f>IF(AY120&lt;&gt;-999,AY120*$CS120, -999)</f>
        <v>-27692844.845221531</v>
      </c>
      <c r="CW120">
        <f t="shared" si="51"/>
        <v>-48.780999999999999</v>
      </c>
      <c r="CX120">
        <f>IF(AZ120&lt;&gt;-999,AZ120*$CO120, -999)</f>
        <v>-45265705.674026996</v>
      </c>
      <c r="CY120">
        <f>IF(BA120&lt;&gt;-999,BA120*$CO120, -999)</f>
        <v>-1461987.4460006717</v>
      </c>
      <c r="CZ120" s="27">
        <f>IF(BB120&lt;&gt;-999,BB120*$CO120, -999)</f>
        <v>-46727693.120027676</v>
      </c>
      <c r="DA120">
        <f t="shared" si="52"/>
        <v>-48.155000000000001</v>
      </c>
      <c r="DB120">
        <f>IF(BC120&lt;&gt;-999,BC120*$DA120, -999)</f>
        <v>-138543839.66052952</v>
      </c>
      <c r="DC120">
        <f>IF(BD120&lt;&gt;-999,BD120*$DA120, -999)</f>
        <v>-4474683.9951940579</v>
      </c>
      <c r="DD120" s="27">
        <f>IF(BE120&lt;&gt;-999,BE120*$DA120, -999)</f>
        <v>-143018523.65572357</v>
      </c>
      <c r="DE120">
        <f t="shared" si="53"/>
        <v>-52.227000000000004</v>
      </c>
      <c r="DF120">
        <f>IF(BF120&lt;&gt;-999,BF120*$DE120, -999)</f>
        <v>-103408522.02219535</v>
      </c>
      <c r="DG120">
        <f>IF(BG120&lt;&gt;-999,BG120*$DE120, -999)</f>
        <v>-3339882.8858956406</v>
      </c>
      <c r="DH120" s="27">
        <f>IF(BH120&lt;&gt;-999,BH120*$DE120, -999)</f>
        <v>-106748404.90809099</v>
      </c>
      <c r="DI120">
        <f t="shared" si="54"/>
        <v>-60.94</v>
      </c>
      <c r="DJ120">
        <f>IF(BI120&lt;&gt;-999,BI120*$DI120, -999)</f>
        <v>-217682754.82871151</v>
      </c>
      <c r="DK120">
        <f>IF(BJ120&lt;&gt;-999,BJ120*$DI120, -999)</f>
        <v>-7030706.152479982</v>
      </c>
      <c r="DL120" s="27">
        <f>IF(BK120&lt;&gt;-999,BK120*$DI120, -999)</f>
        <v>-224713471.12577868</v>
      </c>
      <c r="DM120" s="28">
        <f t="shared" si="55"/>
        <v>-586536514.16138148</v>
      </c>
      <c r="DN120" s="22">
        <f t="shared" si="56"/>
        <v>-17.170000000000002</v>
      </c>
      <c r="DO120">
        <f>IF(AT120&lt;&gt;-999,AT120*$DN120, -999)</f>
        <v>-15618384.975760926</v>
      </c>
      <c r="DP120">
        <f>IF(AU120&lt;&gt;-999,AU120*$DN120, -999)</f>
        <v>-504440.58854233386</v>
      </c>
      <c r="DQ120" s="24">
        <f>IF(AV120&lt;&gt;-999,AV120*$DN120, -999)</f>
        <v>-16122825.564303258</v>
      </c>
      <c r="DR120">
        <f t="shared" si="57"/>
        <v>-19.943000000000001</v>
      </c>
      <c r="DS120">
        <f>IF(AW120&lt;&gt;-999,AW120*$DR120, -999)</f>
        <v>-12484515.910623997</v>
      </c>
      <c r="DT120">
        <f>IF(AX120&lt;&gt;-999,AX120*$DR120, -999)</f>
        <v>-403222.69534115365</v>
      </c>
      <c r="DU120" s="24">
        <f>IF(AY120&lt;&gt;-999,AY120*$DR120, -999)</f>
        <v>-12887741.925845403</v>
      </c>
      <c r="DV120">
        <f t="shared" si="58"/>
        <v>-25.870999999999999</v>
      </c>
      <c r="DW120">
        <f>IF(AZ120&lt;&gt;-999,AZ120*$DV120, -999)</f>
        <v>-29218290.206905</v>
      </c>
      <c r="DX120">
        <f>IF(BA120&lt;&gt;-999,BA120*$DV120, -999)</f>
        <v>-943689.5512845153</v>
      </c>
      <c r="DY120" s="24">
        <f>IF(BB120&lt;&gt;-999,BB120*$DV120, -999)</f>
        <v>-30161979.758189518</v>
      </c>
      <c r="DZ120">
        <f t="shared" si="59"/>
        <v>-25.245000000000001</v>
      </c>
      <c r="EA120">
        <f>IF(BC120&lt;&gt;-999, BC120*$DZ120, -999)</f>
        <v>-72630863.508048341</v>
      </c>
      <c r="EB120">
        <f>IF(BD120&lt;&gt;-999, BD120*$DZ120, -999)</f>
        <v>-2345829.0407781955</v>
      </c>
      <c r="EC120" s="24">
        <f>IF(BE120&lt;&gt;-999, BE120*$DZ120, -999)</f>
        <v>-74976692.548826531</v>
      </c>
      <c r="ED120">
        <f t="shared" si="60"/>
        <v>-29.317</v>
      </c>
      <c r="EE120">
        <f>IF(BF120&lt;&gt;-999,BF120*$ED120, -999)</f>
        <v>-58047133.477410175</v>
      </c>
      <c r="EF120">
        <f>IF(BG120&lt;&gt;-999,BG120*$ED120, -999)</f>
        <v>-1874803.1969250098</v>
      </c>
      <c r="EG120" s="24">
        <f>IF(BH120&lt;&gt;-999,BH120*$ED120, -999)</f>
        <v>-59921936.674335182</v>
      </c>
      <c r="EH120">
        <f t="shared" si="61"/>
        <v>-38.03</v>
      </c>
      <c r="EI120">
        <f>IF(BI120&lt;&gt;-999,BI120*$EH120, -999)</f>
        <v>-135846326.97958481</v>
      </c>
      <c r="EJ120">
        <f>IF(BJ120&lt;&gt;-999,BJ120*$EH120, -999)</f>
        <v>-4387557.5152414469</v>
      </c>
      <c r="EK120" s="24">
        <f>IF(BK120&lt;&gt;-999,BK120*$EH120, -999)</f>
        <v>-140233890.82562134</v>
      </c>
      <c r="EL120" s="28">
        <f t="shared" si="62"/>
        <v>-334305067.29712123</v>
      </c>
      <c r="EM120" s="22">
        <f>-17.17-(0.1023*G120)+H120*(100+102.093-66.644-64.243)</f>
        <v>17.614257481340857</v>
      </c>
      <c r="EN120">
        <f>IF(AT120&lt;&gt;-999,AT120*$EM120, -999)</f>
        <v>16022495.888512434</v>
      </c>
      <c r="EO120">
        <f>IF(AU120&lt;&gt;-999,AU120*$EM120, -999)</f>
        <v>517492.51081093703</v>
      </c>
      <c r="EP120" s="23">
        <f>IF(AV120&lt;&gt;-999,AV120*$EM120, -999)</f>
        <v>16539988.39932337</v>
      </c>
      <c r="EQ120">
        <f>-19.943-(0.1023*G120)+H120*(100+102.093-66.644-64.243)</f>
        <v>14.841257481340861</v>
      </c>
      <c r="ER120">
        <f>IF(AW120&lt;&gt;-999,AW120*$EQ120, -999)</f>
        <v>9290774.4651991874</v>
      </c>
      <c r="ES120">
        <f>IF(AX120&lt;&gt;-999,AX120*$EQ120, -999)</f>
        <v>300071.79681483848</v>
      </c>
      <c r="ET120" s="23">
        <f>IF(AY120&lt;&gt;-999,AY120*$EQ120, -999)</f>
        <v>9590848.7326151207</v>
      </c>
      <c r="EU120">
        <f>-25.871-(0.1023*G120)+H120*(100+102.093-66.644-64.243)</f>
        <v>8.9132574813408638</v>
      </c>
      <c r="EV120">
        <f>IF(AZ120&lt;&gt;-999,AZ120*$EU120, -999)</f>
        <v>10066489.265149569</v>
      </c>
      <c r="EW120">
        <f>IF(BA120&lt;&gt;-999,BA120*$EU120, -999)</f>
        <v>325126.51049630513</v>
      </c>
      <c r="EX120" s="23">
        <f>IF(BB120&lt;&gt;-999,BB120*$EU120, -999)</f>
        <v>10391615.775645876</v>
      </c>
      <c r="EY120">
        <f>-25.245-(0.1023*G120)+H120*(100+102.093-66.644-64.243)</f>
        <v>9.5392574813408544</v>
      </c>
      <c r="EZ120">
        <f>IF(BC120&lt;&gt;-999, BC120*$EY120, -999)</f>
        <v>27444821.077258725</v>
      </c>
      <c r="FA120">
        <f>IF(BD120&lt;&gt;-999, BD120*$EY120, -999)</f>
        <v>886411.85292889841</v>
      </c>
      <c r="FB120" s="23">
        <f>IF(BE120&lt;&gt;-999, BE120*$EY120, -999)</f>
        <v>28331232.930187624</v>
      </c>
      <c r="FC120">
        <f>-29.317-(0.1023*G120)+H120*(100+102.093-66.644-64.243)</f>
        <v>5.4672574813408588</v>
      </c>
      <c r="FD120">
        <f>IF(BF120&lt;&gt;-999,BF120*$FC120, -999)</f>
        <v>10825071.62311158</v>
      </c>
      <c r="FE120">
        <f>IF(BG120&lt;&gt;-999,BG120*$FC120, -999)</f>
        <v>349627.58141794929</v>
      </c>
      <c r="FF120" s="23">
        <f>IF(BH120&lt;&gt;-999,BH120*$FC120, -999)</f>
        <v>11174699.204529528</v>
      </c>
      <c r="FG120">
        <f>-38.03-(0.1023*G120)+H120*(100+102.093-66.644-64.243)</f>
        <v>-3.2457425186591422</v>
      </c>
      <c r="FH120">
        <f>IF(BI120&lt;&gt;-999,BI120*$FG120, -999)</f>
        <v>-11594062.568533026</v>
      </c>
      <c r="FI120">
        <f>IF(BJ120&lt;&gt;-999,BJ120*$FG120, -999)</f>
        <v>-374464.42230559082</v>
      </c>
      <c r="FJ120" s="23">
        <f>IF(BK120&lt;&gt;-999,BK120*$FG120, -999)</f>
        <v>-11968527.531152336</v>
      </c>
      <c r="FK120" s="28">
        <f t="shared" si="63"/>
        <v>64059857.511149183</v>
      </c>
      <c r="FL120" s="22">
        <f t="shared" si="66"/>
        <v>10.012280000000011</v>
      </c>
      <c r="FM120">
        <f>IF(AT120&lt;&gt;-999,AT120*$FL120, -999)</f>
        <v>9107492.3427554891</v>
      </c>
      <c r="FN120">
        <f>IF(AU120&lt;&gt;-999,AU120*$FL120, -999)</f>
        <v>294152.61594936776</v>
      </c>
      <c r="FO120" s="29">
        <f>IF(AV120&lt;&gt;-999,AV120*$FL120, -999)</f>
        <v>9401644.9587048572</v>
      </c>
      <c r="FP120">
        <f t="shared" si="67"/>
        <v>7.2392800000000115</v>
      </c>
      <c r="FQ120">
        <f>IF(AW120&lt;&gt;-999,AW120*$FP120, -999)</f>
        <v>4531861.1212687278</v>
      </c>
      <c r="FR120">
        <f>IF(AX120&lt;&gt;-999,AX120*$FP120, -999)</f>
        <v>146369.25206485039</v>
      </c>
      <c r="FS120" s="29">
        <f>IF(AY120&lt;&gt;-999,AY120*$FP120, -999)</f>
        <v>4678231.5784452818</v>
      </c>
      <c r="FT120">
        <f t="shared" si="68"/>
        <v>1.3112800000000142</v>
      </c>
      <c r="FU120">
        <f>IF(AZ120&lt;&gt;-999,AZ120*$FT120, -999)</f>
        <v>1480938.486433103</v>
      </c>
      <c r="FV120">
        <f>IF(BA120&lt;&gt;-999,BA120*$FT120, -999)</f>
        <v>47831.210034725089</v>
      </c>
      <c r="FW120" s="29">
        <f>IF(BB120&lt;&gt;-999,BB120*$FT120, -999)</f>
        <v>1528769.6964678282</v>
      </c>
      <c r="FX120">
        <f t="shared" si="69"/>
        <v>1.9372800000000119</v>
      </c>
      <c r="FY120">
        <f>IF(BC120&lt;&gt;-999, BC120*$FX120, -999)</f>
        <v>5573631.184665191</v>
      </c>
      <c r="FZ120">
        <f>IF(BD120&lt;&gt;-999, BD120*$FX120, -999)</f>
        <v>180016.94133962409</v>
      </c>
      <c r="GA120" s="29">
        <f>IF(BE120&lt;&gt;-999, BE120*$FX120, -999)</f>
        <v>5753648.1260048151</v>
      </c>
      <c r="GB120">
        <f t="shared" si="70"/>
        <v>-2.1347199999999873</v>
      </c>
      <c r="GC120">
        <f>IF(BF120&lt;&gt;-999,BF120*$GB120, -999)</f>
        <v>-4226707.2612100933</v>
      </c>
      <c r="GD120">
        <f>IF(BG120&lt;&gt;-999,BG120*$GB120, -999)</f>
        <v>-136513.96393013382</v>
      </c>
      <c r="GE120" s="29">
        <f>IF(BH120&lt;&gt;-999,BH120*$GB120, -999)</f>
        <v>-4363221.225140227</v>
      </c>
      <c r="GF120">
        <f t="shared" si="71"/>
        <v>-10.847719999999988</v>
      </c>
      <c r="GG120">
        <f>IF(BI120&lt;&gt;-999,BI120*$GF120, -999)</f>
        <v>-38748959.192820936</v>
      </c>
      <c r="GH120">
        <f>IF(BJ120&lt;&gt;-999,BJ120*$GF120, -999)</f>
        <v>-1251511.8435244516</v>
      </c>
      <c r="GI120" s="29">
        <f>IF(BK120&lt;&gt;-999,BK120*$GF120, -999)</f>
        <v>-40000472.842148498</v>
      </c>
      <c r="GJ120" s="30">
        <f t="shared" si="64"/>
        <v>-23001399.707665943</v>
      </c>
    </row>
    <row r="121" spans="1:192">
      <c r="A121" s="48" t="s">
        <v>194</v>
      </c>
      <c r="B121" s="48" t="s">
        <v>167</v>
      </c>
      <c r="C121" s="49">
        <v>71</v>
      </c>
      <c r="D121" s="50">
        <v>0.60799999999999998</v>
      </c>
      <c r="E121" s="49">
        <v>294.92129519622398</v>
      </c>
      <c r="F121" s="49">
        <v>0.77112159624805898</v>
      </c>
      <c r="G121" s="49">
        <v>323.48736610575003</v>
      </c>
      <c r="H121" s="49">
        <v>0.80032674031627604</v>
      </c>
      <c r="I121" s="42">
        <v>131874.1</v>
      </c>
      <c r="J121" s="43">
        <v>-999</v>
      </c>
      <c r="K121" s="43">
        <f t="shared" si="39"/>
        <v>131874.1</v>
      </c>
      <c r="L121" s="43">
        <v>96375.3</v>
      </c>
      <c r="M121" s="43">
        <v>-999</v>
      </c>
      <c r="N121" s="43">
        <f t="shared" si="40"/>
        <v>96375.3</v>
      </c>
      <c r="O121" s="43">
        <v>105060.6</v>
      </c>
      <c r="P121" s="43">
        <v>-999</v>
      </c>
      <c r="Q121" s="43">
        <f t="shared" si="41"/>
        <v>105060.6</v>
      </c>
      <c r="R121" s="43">
        <v>98596.4</v>
      </c>
      <c r="S121" s="43">
        <v>-999</v>
      </c>
      <c r="T121" s="43">
        <f t="shared" si="42"/>
        <v>98596.4</v>
      </c>
      <c r="U121" s="43">
        <v>72055.5</v>
      </c>
      <c r="V121" s="43">
        <v>-999</v>
      </c>
      <c r="W121" s="43">
        <f t="shared" si="43"/>
        <v>72055.5</v>
      </c>
      <c r="X121" s="43">
        <v>78549.100000000006</v>
      </c>
      <c r="Y121" s="43">
        <v>-999</v>
      </c>
      <c r="Z121" s="43">
        <f t="shared" si="44"/>
        <v>78549.100000000006</v>
      </c>
      <c r="AA121" s="22">
        <v>6661278.9000000004</v>
      </c>
      <c r="AB121">
        <v>-999</v>
      </c>
      <c r="AC121">
        <v>6661278.9000000004</v>
      </c>
      <c r="AD121">
        <v>4868150.7</v>
      </c>
      <c r="AE121">
        <v>-999</v>
      </c>
      <c r="AF121">
        <v>4868150.7</v>
      </c>
      <c r="AG121">
        <v>5306865.9000000004</v>
      </c>
      <c r="AH121">
        <v>-999</v>
      </c>
      <c r="AI121">
        <v>5306865.9000000004</v>
      </c>
      <c r="AJ121">
        <v>4980342.7</v>
      </c>
      <c r="AK121">
        <v>-999</v>
      </c>
      <c r="AL121">
        <v>4980342.7</v>
      </c>
      <c r="AM121">
        <v>3639700.3</v>
      </c>
      <c r="AN121">
        <v>-999</v>
      </c>
      <c r="AO121">
        <v>3639700.3</v>
      </c>
      <c r="AP121">
        <v>3967708.2</v>
      </c>
      <c r="AQ121">
        <v>-999</v>
      </c>
      <c r="AR121">
        <v>3967708.2</v>
      </c>
      <c r="AS121">
        <v>29424046.739999998</v>
      </c>
      <c r="AT121" s="22">
        <f t="shared" si="77"/>
        <v>11088927.568475079</v>
      </c>
      <c r="AU121">
        <f t="shared" si="77"/>
        <v>-999</v>
      </c>
      <c r="AV121">
        <f t="shared" si="77"/>
        <v>11088927.568475079</v>
      </c>
      <c r="AW121">
        <f t="shared" si="77"/>
        <v>8103934.8922503833</v>
      </c>
      <c r="AX121">
        <f t="shared" si="77"/>
        <v>-999</v>
      </c>
      <c r="AY121">
        <f t="shared" si="77"/>
        <v>8103934.8922503833</v>
      </c>
      <c r="AZ121">
        <f t="shared" si="77"/>
        <v>8834257.2746369019</v>
      </c>
      <c r="BA121">
        <f t="shared" si="76"/>
        <v>-999</v>
      </c>
      <c r="BB121">
        <f t="shared" si="76"/>
        <v>8834257.2746369019</v>
      </c>
      <c r="BC121">
        <f t="shared" si="76"/>
        <v>8290699.1728695817</v>
      </c>
      <c r="BD121">
        <f t="shared" si="76"/>
        <v>-999</v>
      </c>
      <c r="BE121">
        <f t="shared" si="76"/>
        <v>8290699.1728695817</v>
      </c>
      <c r="BF121">
        <f t="shared" si="76"/>
        <v>6058952.5830628425</v>
      </c>
      <c r="BG121">
        <f t="shared" si="76"/>
        <v>-999</v>
      </c>
      <c r="BH121">
        <f t="shared" si="76"/>
        <v>6058952.5830628425</v>
      </c>
      <c r="BI121">
        <f t="shared" si="76"/>
        <v>6604982.2418701956</v>
      </c>
      <c r="BJ121">
        <f t="shared" si="75"/>
        <v>-999</v>
      </c>
      <c r="BK121">
        <f t="shared" si="75"/>
        <v>6604982.2418701956</v>
      </c>
      <c r="BL121">
        <f t="shared" si="75"/>
        <v>48981753.799752362</v>
      </c>
      <c r="BM121" s="22">
        <f>-17.17-(0.1023*E121)+F121*(100-8.576-13.681)</f>
        <v>12.608857758539145</v>
      </c>
      <c r="BN121">
        <f>IF(AT121&lt;&gt;-999,AT121*$BM121, -999)</f>
        <v>139818710.40564561</v>
      </c>
      <c r="BO121">
        <f>IF(AU121&lt;&gt;-999,AU121*$BM121, -999)</f>
        <v>-999</v>
      </c>
      <c r="BP121" s="25">
        <f>IF(AV121&lt;&gt;-999,AV121*$BM121, -999)</f>
        <v>139818710.40564561</v>
      </c>
      <c r="BQ121">
        <f>-19.943-(0.1023*E121)+F121*(100-8.576-13.681)</f>
        <v>9.8358577585391416</v>
      </c>
      <c r="BR121">
        <f>IF(AW121&lt;&gt;-999,AW121*$BQ121, -999)</f>
        <v>79709150.884636998</v>
      </c>
      <c r="BS121">
        <f>IF(AX121&lt;&gt;-999,AX121*$BQ121, -999)</f>
        <v>-999</v>
      </c>
      <c r="BT121" s="25">
        <f>IF(AY121&lt;&gt;-999,AY121*$BQ121, -999)</f>
        <v>79709150.884636998</v>
      </c>
      <c r="BU121">
        <f>-25.871-(0.1023*E121)+F121*(100-8.576-13.681)</f>
        <v>3.9078577585391443</v>
      </c>
      <c r="BV121">
        <f>IF(AZ121&lt;&gt;-999,AZ121*$BU121, -999)</f>
        <v>34523020.831620693</v>
      </c>
      <c r="BW121">
        <f>IF(BA121&lt;&gt;-999,BA121*$BU121, -999)</f>
        <v>-999</v>
      </c>
      <c r="BX121" s="25">
        <f>IF(BB121&lt;&gt;-999,BB121*$BU121, -999)</f>
        <v>34523020.831620693</v>
      </c>
      <c r="BY121">
        <f>-25.245-(0.1023*E121)+F121*(100-8.576-13.681)</f>
        <v>4.5338577585391491</v>
      </c>
      <c r="BZ121">
        <f>IF(BC121&lt;&gt;-999,BC121*$BY121, -999)</f>
        <v>37588850.768628858</v>
      </c>
      <c r="CA121">
        <f>IF(BD121&lt;&gt;-999,BD121*$BY121, -999)</f>
        <v>-999</v>
      </c>
      <c r="CB121" s="25">
        <f>IF(BE121&lt;&gt;-999,BE121*$BY121, -999)</f>
        <v>37588850.768628858</v>
      </c>
      <c r="CC121">
        <f>-29.317-(0.1023*E121)+F121*(100-8.576-13.681)</f>
        <v>0.46185775853914635</v>
      </c>
      <c r="CD121">
        <f>IF(BF121&lt;&gt;-999,BF121*$CC121, -999)</f>
        <v>2798374.2591083753</v>
      </c>
      <c r="CE121">
        <f>IF(BG121&lt;&gt;-999,BG121*$CC121, -999)</f>
        <v>-999</v>
      </c>
      <c r="CF121" s="25">
        <f>IF(BH121&lt;&gt;-999,BH121*$CC121, -999)</f>
        <v>2798374.2591083753</v>
      </c>
      <c r="CG121">
        <f>-38.03-(0.1023*E121)+F121*(100-8.576-13.681)</f>
        <v>-8.2511422414608475</v>
      </c>
      <c r="CH121">
        <f>IF(BI121&lt;&gt;-999,BI121*$CG121, -999)</f>
        <v>-54498647.979993939</v>
      </c>
      <c r="CI121">
        <f>IF(BJ121&lt;&gt;-999,BJ121*$CG121, -999)</f>
        <v>-999</v>
      </c>
      <c r="CJ121" s="25">
        <f>IF(BK121&lt;&gt;-999,BK121*$CG121, -999)</f>
        <v>-54498647.979993939</v>
      </c>
      <c r="CK121" s="26">
        <f t="shared" si="45"/>
        <v>239939459.16964656</v>
      </c>
      <c r="CL121">
        <f t="shared" si="46"/>
        <v>-11.012138909155359</v>
      </c>
      <c r="CM121">
        <f t="shared" si="47"/>
        <v>47.921497784610608</v>
      </c>
      <c r="CN121">
        <f t="shared" si="48"/>
        <v>-68.927777917706081</v>
      </c>
      <c r="CO121" s="22">
        <f t="shared" si="49"/>
        <v>-40.08</v>
      </c>
      <c r="CP121">
        <f>IF(AT121&lt;&gt;-999,AT121*$CO121, -999)</f>
        <v>-444444216.94448113</v>
      </c>
      <c r="CQ121">
        <f>IF(AU121&lt;&gt;-999,AU121*$CO121, -999)</f>
        <v>-999</v>
      </c>
      <c r="CR121" s="27">
        <f>IF(AV121&lt;&gt;-999,AV121*$CO121, -999)</f>
        <v>-444444216.94448113</v>
      </c>
      <c r="CS121">
        <f t="shared" si="50"/>
        <v>-42.853000000000002</v>
      </c>
      <c r="CT121">
        <f>IF(AW121&lt;&gt;-999,AW121*$CS121, -999)</f>
        <v>-347277921.93760568</v>
      </c>
      <c r="CU121">
        <f>IF(AX121&lt;&gt;-999,AX121*$CS121, -999)</f>
        <v>-999</v>
      </c>
      <c r="CV121" s="27">
        <f>IF(AY121&lt;&gt;-999,AY121*$CS121, -999)</f>
        <v>-347277921.93760568</v>
      </c>
      <c r="CW121">
        <f t="shared" si="51"/>
        <v>-48.780999999999999</v>
      </c>
      <c r="CX121">
        <f>IF(AZ121&lt;&gt;-999,AZ121*$CO121, -999)</f>
        <v>-354077031.56744701</v>
      </c>
      <c r="CY121">
        <f>IF(BA121&lt;&gt;-999,BA121*$CO121, -999)</f>
        <v>-999</v>
      </c>
      <c r="CZ121" s="27">
        <f>IF(BB121&lt;&gt;-999,BB121*$CO121, -999)</f>
        <v>-354077031.56744701</v>
      </c>
      <c r="DA121">
        <f t="shared" si="52"/>
        <v>-48.155000000000001</v>
      </c>
      <c r="DB121">
        <f>IF(BC121&lt;&gt;-999,BC121*$DA121, -999)</f>
        <v>-399238618.66953474</v>
      </c>
      <c r="DC121">
        <f>IF(BD121&lt;&gt;-999,BD121*$DA121, -999)</f>
        <v>-999</v>
      </c>
      <c r="DD121" s="27">
        <f>IF(BE121&lt;&gt;-999,BE121*$DA121, -999)</f>
        <v>-399238618.66953474</v>
      </c>
      <c r="DE121">
        <f t="shared" si="53"/>
        <v>-52.227000000000004</v>
      </c>
      <c r="DF121">
        <f>IF(BF121&lt;&gt;-999,BF121*$DE121, -999)</f>
        <v>-316440916.55562311</v>
      </c>
      <c r="DG121">
        <f>IF(BG121&lt;&gt;-999,BG121*$DE121, -999)</f>
        <v>-999</v>
      </c>
      <c r="DH121" s="27">
        <f>IF(BH121&lt;&gt;-999,BH121*$DE121, -999)</f>
        <v>-316440916.55562311</v>
      </c>
      <c r="DI121">
        <f t="shared" si="54"/>
        <v>-60.94</v>
      </c>
      <c r="DJ121">
        <f>IF(BI121&lt;&gt;-999,BI121*$DI121, -999)</f>
        <v>-402507617.81956971</v>
      </c>
      <c r="DK121">
        <f>IF(BJ121&lt;&gt;-999,BJ121*$DI121, -999)</f>
        <v>-999</v>
      </c>
      <c r="DL121" s="27">
        <f>IF(BK121&lt;&gt;-999,BK121*$DI121, -999)</f>
        <v>-402507617.81956971</v>
      </c>
      <c r="DM121" s="28">
        <f t="shared" si="55"/>
        <v>-2263986323.4942613</v>
      </c>
      <c r="DN121" s="22">
        <f t="shared" si="56"/>
        <v>-17.170000000000002</v>
      </c>
      <c r="DO121">
        <f>IF(AT121&lt;&gt;-999,AT121*$DN121, -999)</f>
        <v>-190396886.35071713</v>
      </c>
      <c r="DP121">
        <f>IF(AU121&lt;&gt;-999,AU121*$DN121, -999)</f>
        <v>-999</v>
      </c>
      <c r="DQ121" s="24">
        <f>IF(AV121&lt;&gt;-999,AV121*$DN121, -999)</f>
        <v>-190396886.35071713</v>
      </c>
      <c r="DR121">
        <f t="shared" si="57"/>
        <v>-19.943000000000001</v>
      </c>
      <c r="DS121">
        <f>IF(AW121&lt;&gt;-999,AW121*$DR121, -999)</f>
        <v>-161616773.55614939</v>
      </c>
      <c r="DT121">
        <f>IF(AX121&lt;&gt;-999,AX121*$DR121, -999)</f>
        <v>-999</v>
      </c>
      <c r="DU121" s="24">
        <f>IF(AY121&lt;&gt;-999,AY121*$DR121, -999)</f>
        <v>-161616773.55614939</v>
      </c>
      <c r="DV121">
        <f t="shared" si="58"/>
        <v>-25.870999999999999</v>
      </c>
      <c r="DW121">
        <f>IF(AZ121&lt;&gt;-999,AZ121*$DV121, -999)</f>
        <v>-228551069.95213127</v>
      </c>
      <c r="DX121">
        <f>IF(BA121&lt;&gt;-999,BA121*$DV121, -999)</f>
        <v>-999</v>
      </c>
      <c r="DY121" s="24">
        <f>IF(BB121&lt;&gt;-999,BB121*$DV121, -999)</f>
        <v>-228551069.95213127</v>
      </c>
      <c r="DZ121">
        <f t="shared" si="59"/>
        <v>-25.245000000000001</v>
      </c>
      <c r="EA121">
        <f>IF(BC121&lt;&gt;-999, BC121*$DZ121, -999)</f>
        <v>-209298700.61909261</v>
      </c>
      <c r="EB121">
        <f>IF(BD121&lt;&gt;-999, BD121*$DZ121, -999)</f>
        <v>-999</v>
      </c>
      <c r="EC121" s="24">
        <f>IF(BE121&lt;&gt;-999, BE121*$DZ121, -999)</f>
        <v>-209298700.61909261</v>
      </c>
      <c r="ED121">
        <f t="shared" si="60"/>
        <v>-29.317</v>
      </c>
      <c r="EE121">
        <f>IF(BF121&lt;&gt;-999,BF121*$ED121, -999)</f>
        <v>-177630312.87765336</v>
      </c>
      <c r="EF121">
        <f>IF(BG121&lt;&gt;-999,BG121*$ED121, -999)</f>
        <v>-999</v>
      </c>
      <c r="EG121" s="24">
        <f>IF(BH121&lt;&gt;-999,BH121*$ED121, -999)</f>
        <v>-177630312.87765336</v>
      </c>
      <c r="EH121">
        <f t="shared" si="61"/>
        <v>-38.03</v>
      </c>
      <c r="EI121">
        <f>IF(BI121&lt;&gt;-999,BI121*$EH121, -999)</f>
        <v>-251187474.65832356</v>
      </c>
      <c r="EJ121">
        <f>IF(BJ121&lt;&gt;-999,BJ121*$EH121, -999)</f>
        <v>-999</v>
      </c>
      <c r="EK121" s="24">
        <f>IF(BK121&lt;&gt;-999,BK121*$EH121, -999)</f>
        <v>-251187474.65832356</v>
      </c>
      <c r="EL121" s="28">
        <f t="shared" si="62"/>
        <v>-1218681218.0140674</v>
      </c>
      <c r="EM121" s="22">
        <f>-17.17-(0.1023*G121)+H121*(100+102.093-66.644-64.243)</f>
        <v>6.7253083183425346</v>
      </c>
      <c r="EN121">
        <f>IF(AT121&lt;&gt;-999,AT121*$EM121, -999)</f>
        <v>74576456.817763299</v>
      </c>
      <c r="EO121">
        <f>IF(AU121&lt;&gt;-999,AU121*$EM121, -999)</f>
        <v>-999</v>
      </c>
      <c r="EP121" s="23">
        <f>IF(AV121&lt;&gt;-999,AV121*$EM121, -999)</f>
        <v>74576456.817763299</v>
      </c>
      <c r="EQ121">
        <f>-19.943-(0.1023*G121)+H121*(100+102.093-66.644-64.243)</f>
        <v>3.9523083183425314</v>
      </c>
      <c r="ER121">
        <f>IF(AW121&lt;&gt;-999,AW121*$EQ121, -999)</f>
        <v>32029249.285947476</v>
      </c>
      <c r="ES121">
        <f>IF(AX121&lt;&gt;-999,AX121*$EQ121, -999)</f>
        <v>-999</v>
      </c>
      <c r="ET121" s="23">
        <f>IF(AY121&lt;&gt;-999,AY121*$EQ121, -999)</f>
        <v>32029249.285947476</v>
      </c>
      <c r="EU121">
        <f>-25.871-(0.1023*G121)+H121*(100+102.093-66.644-64.243)</f>
        <v>-1.9756916816574659</v>
      </c>
      <c r="EV121">
        <f>IF(AZ121&lt;&gt;-999,AZ121*$EU121, -999)</f>
        <v>-17453768.611122083</v>
      </c>
      <c r="EW121">
        <f>IF(BA121&lt;&gt;-999,BA121*$EU121, -999)</f>
        <v>-999</v>
      </c>
      <c r="EX121" s="23">
        <f>IF(BB121&lt;&gt;-999,BB121*$EU121, -999)</f>
        <v>-17453768.611122083</v>
      </c>
      <c r="EY121">
        <f>-25.245-(0.1023*G121)+H121*(100+102.093-66.644-64.243)</f>
        <v>-1.3496916816574611</v>
      </c>
      <c r="EZ121">
        <f>IF(BC121&lt;&gt;-999, BC121*$EY121, -999)</f>
        <v>-11189887.708746467</v>
      </c>
      <c r="FA121">
        <f>IF(BD121&lt;&gt;-999, BD121*$EY121, -999)</f>
        <v>-999</v>
      </c>
      <c r="FB121" s="23">
        <f>IF(BE121&lt;&gt;-999, BE121*$EY121, -999)</f>
        <v>-11189887.708746467</v>
      </c>
      <c r="FC121">
        <f>-29.317-(0.1023*G121)+H121*(100+102.093-66.644-64.243)</f>
        <v>-5.4216916816574638</v>
      </c>
      <c r="FD121">
        <f>IF(BF121&lt;&gt;-999,BF121*$FC121, -999)</f>
        <v>-32849772.819148816</v>
      </c>
      <c r="FE121">
        <f>IF(BG121&lt;&gt;-999,BG121*$FC121, -999)</f>
        <v>-999</v>
      </c>
      <c r="FF121" s="23">
        <f>IF(BH121&lt;&gt;-999,BH121*$FC121, -999)</f>
        <v>-32849772.819148816</v>
      </c>
      <c r="FG121">
        <f>-38.03-(0.1023*G121)+H121*(100+102.093-66.644-64.243)</f>
        <v>-14.134691681657458</v>
      </c>
      <c r="FH121">
        <f>IF(BI121&lt;&gt;-999,BI121*$FG121, -999)</f>
        <v>-93359387.551657885</v>
      </c>
      <c r="FI121">
        <f>IF(BJ121&lt;&gt;-999,BJ121*$FG121, -999)</f>
        <v>-999</v>
      </c>
      <c r="FJ121" s="23">
        <f>IF(BK121&lt;&gt;-999,BK121*$FG121, -999)</f>
        <v>-93359387.551657885</v>
      </c>
      <c r="FK121" s="28">
        <f t="shared" si="63"/>
        <v>-48247110.586964481</v>
      </c>
      <c r="FL121" s="22">
        <f t="shared" si="66"/>
        <v>10.012280000000011</v>
      </c>
      <c r="FM121">
        <f>IF(AT121&lt;&gt;-999,AT121*$FL121, -999)</f>
        <v>111025447.71529178</v>
      </c>
      <c r="FN121">
        <f>IF(AU121&lt;&gt;-999,AU121*$FL121, -999)</f>
        <v>-999</v>
      </c>
      <c r="FO121" s="29">
        <f>IF(AV121&lt;&gt;-999,AV121*$FL121, -999)</f>
        <v>111025447.71529178</v>
      </c>
      <c r="FP121">
        <f t="shared" si="67"/>
        <v>7.2392800000000115</v>
      </c>
      <c r="FQ121">
        <f>IF(AW121&lt;&gt;-999,AW121*$FP121, -999)</f>
        <v>58666653.786770448</v>
      </c>
      <c r="FR121">
        <f>IF(AX121&lt;&gt;-999,AX121*$FP121, -999)</f>
        <v>-999</v>
      </c>
      <c r="FS121" s="29">
        <f>IF(AY121&lt;&gt;-999,AY121*$FP121, -999)</f>
        <v>58666653.786770448</v>
      </c>
      <c r="FT121">
        <f t="shared" si="68"/>
        <v>1.3112800000000142</v>
      </c>
      <c r="FU121">
        <f>IF(AZ121&lt;&gt;-999,AZ121*$FT121, -999)</f>
        <v>11584184.879086003</v>
      </c>
      <c r="FV121">
        <f>IF(BA121&lt;&gt;-999,BA121*$FT121, -999)</f>
        <v>-999</v>
      </c>
      <c r="FW121" s="29">
        <f>IF(BB121&lt;&gt;-999,BB121*$FT121, -999)</f>
        <v>11584184.879086003</v>
      </c>
      <c r="FX121">
        <f t="shared" si="69"/>
        <v>1.9372800000000119</v>
      </c>
      <c r="FY121">
        <f>IF(BC121&lt;&gt;-999, BC121*$FX121, -999)</f>
        <v>16061405.693616882</v>
      </c>
      <c r="FZ121">
        <f>IF(BD121&lt;&gt;-999, BD121*$FX121, -999)</f>
        <v>-999</v>
      </c>
      <c r="GA121" s="29">
        <f>IF(BE121&lt;&gt;-999, BE121*$FX121, -999)</f>
        <v>16061405.693616882</v>
      </c>
      <c r="GB121">
        <f t="shared" si="70"/>
        <v>-2.1347199999999873</v>
      </c>
      <c r="GC121">
        <f>IF(BF121&lt;&gt;-999,BF121*$GB121, -999)</f>
        <v>-12934167.258115834</v>
      </c>
      <c r="GD121">
        <f>IF(BG121&lt;&gt;-999,BG121*$GB121, -999)</f>
        <v>-999</v>
      </c>
      <c r="GE121" s="29">
        <f>IF(BH121&lt;&gt;-999,BH121*$GB121, -999)</f>
        <v>-12934167.258115834</v>
      </c>
      <c r="GF121">
        <f t="shared" si="71"/>
        <v>-10.847719999999988</v>
      </c>
      <c r="GG121">
        <f>IF(BI121&lt;&gt;-999,BI121*$GF121, -999)</f>
        <v>-71648997.964780077</v>
      </c>
      <c r="GH121">
        <f>IF(BJ121&lt;&gt;-999,BJ121*$GF121, -999)</f>
        <v>-999</v>
      </c>
      <c r="GI121" s="29">
        <f>IF(BK121&lt;&gt;-999,BK121*$GF121, -999)</f>
        <v>-71648997.964780077</v>
      </c>
      <c r="GJ121" s="30">
        <f t="shared" si="64"/>
        <v>112754526.85186918</v>
      </c>
    </row>
    <row r="122" spans="1:192">
      <c r="A122" s="48" t="s">
        <v>194</v>
      </c>
      <c r="B122" s="48" t="s">
        <v>187</v>
      </c>
      <c r="C122" s="49">
        <v>65</v>
      </c>
      <c r="D122" s="50">
        <v>0.60599999999999998</v>
      </c>
      <c r="E122" s="49">
        <v>68.093262964148707</v>
      </c>
      <c r="F122" s="49">
        <v>0.79078087276458497</v>
      </c>
      <c r="G122" s="49">
        <v>278.50111959017801</v>
      </c>
      <c r="H122" s="49">
        <v>0.80287740887799797</v>
      </c>
      <c r="I122" s="42">
        <v>10474.9</v>
      </c>
      <c r="J122" s="43">
        <v>32760.2</v>
      </c>
      <c r="K122" s="43">
        <f t="shared" si="39"/>
        <v>43235.1</v>
      </c>
      <c r="L122" s="43">
        <v>3808.1</v>
      </c>
      <c r="M122" s="43">
        <v>11909.6</v>
      </c>
      <c r="N122" s="43">
        <f t="shared" si="40"/>
        <v>15717.7</v>
      </c>
      <c r="O122" s="43">
        <v>7603.7</v>
      </c>
      <c r="P122" s="43">
        <v>23780.400000000001</v>
      </c>
      <c r="Q122" s="43">
        <f t="shared" si="41"/>
        <v>31384.100000000002</v>
      </c>
      <c r="R122" s="43">
        <v>8919.9</v>
      </c>
      <c r="S122" s="43">
        <v>27896.9</v>
      </c>
      <c r="T122" s="43">
        <f t="shared" si="42"/>
        <v>36816.800000000003</v>
      </c>
      <c r="U122" s="43">
        <v>3242.7</v>
      </c>
      <c r="V122" s="43">
        <v>10141.6</v>
      </c>
      <c r="W122" s="43">
        <f t="shared" si="43"/>
        <v>13384.3</v>
      </c>
      <c r="X122" s="43">
        <v>6474.9</v>
      </c>
      <c r="Y122" s="43">
        <v>20250.2</v>
      </c>
      <c r="Z122" s="43">
        <f t="shared" si="44"/>
        <v>26725.1</v>
      </c>
      <c r="AA122" s="22">
        <v>614936.69999999995</v>
      </c>
      <c r="AB122">
        <v>731475.9</v>
      </c>
      <c r="AC122">
        <v>1346412.7</v>
      </c>
      <c r="AD122">
        <v>223553.9</v>
      </c>
      <c r="AE122">
        <v>265920.5</v>
      </c>
      <c r="AF122">
        <v>489474.4</v>
      </c>
      <c r="AG122">
        <v>446378.4</v>
      </c>
      <c r="AH122">
        <v>530973.4</v>
      </c>
      <c r="AI122">
        <v>977351.8</v>
      </c>
      <c r="AJ122">
        <v>523649.6</v>
      </c>
      <c r="AK122">
        <v>622888.69999999995</v>
      </c>
      <c r="AL122">
        <v>1146538.3</v>
      </c>
      <c r="AM122">
        <v>190367.4</v>
      </c>
      <c r="AN122">
        <v>226444.79999999999</v>
      </c>
      <c r="AO122">
        <v>416812.2</v>
      </c>
      <c r="AP122">
        <v>380113.7</v>
      </c>
      <c r="AQ122">
        <v>452150.7</v>
      </c>
      <c r="AR122">
        <v>832264.4</v>
      </c>
      <c r="AS122">
        <v>5208853.8600000003</v>
      </c>
      <c r="AT122" s="22">
        <f t="shared" si="77"/>
        <v>1023675.5775977324</v>
      </c>
      <c r="AU122">
        <f t="shared" si="77"/>
        <v>1217676.5745666525</v>
      </c>
      <c r="AV122">
        <f t="shared" si="77"/>
        <v>2241352.3186328327</v>
      </c>
      <c r="AW122">
        <f t="shared" si="77"/>
        <v>372146.7066557025</v>
      </c>
      <c r="AX122">
        <f t="shared" si="77"/>
        <v>442673.72793423751</v>
      </c>
      <c r="AY122">
        <f t="shared" si="77"/>
        <v>814820.43458994001</v>
      </c>
      <c r="AZ122">
        <f t="shared" si="77"/>
        <v>743079.19245534006</v>
      </c>
      <c r="BA122">
        <f t="shared" si="76"/>
        <v>883903.17561796505</v>
      </c>
      <c r="BB122">
        <f t="shared" si="76"/>
        <v>1626982.3680733051</v>
      </c>
      <c r="BC122">
        <f t="shared" si="76"/>
        <v>871711.35945996002</v>
      </c>
      <c r="BD122">
        <f t="shared" si="76"/>
        <v>1036913.1485429324</v>
      </c>
      <c r="BE122">
        <f t="shared" si="76"/>
        <v>1908624.5080028924</v>
      </c>
      <c r="BF122">
        <f t="shared" si="76"/>
        <v>316901.65532611503</v>
      </c>
      <c r="BG122">
        <f t="shared" si="76"/>
        <v>376959.14300447999</v>
      </c>
      <c r="BH122">
        <f t="shared" si="76"/>
        <v>693860.79833059502</v>
      </c>
      <c r="BI122">
        <f t="shared" si="76"/>
        <v>632769.37512480759</v>
      </c>
      <c r="BJ122">
        <f t="shared" si="75"/>
        <v>752688.25065038248</v>
      </c>
      <c r="BK122">
        <f t="shared" si="75"/>
        <v>1385457.6257751901</v>
      </c>
      <c r="BL122">
        <f t="shared" si="75"/>
        <v>8671098.1532858238</v>
      </c>
      <c r="BM122" s="22">
        <f>-17.17-(0.1023*E122)+F122*(100-8.576-13.681)</f>
        <v>37.341736590104723</v>
      </c>
      <c r="BN122">
        <f>IF(AT122&lt;&gt;-999,AT122*$BM122, -999)</f>
        <v>38225823.772377834</v>
      </c>
      <c r="BO122">
        <f>IF(AU122&lt;&gt;-999,AU122*$BM122, -999)</f>
        <v>45470157.899408951</v>
      </c>
      <c r="BP122" s="25">
        <f>IF(AV122&lt;&gt;-999,AV122*$BM122, -999)</f>
        <v>83695987.888007715</v>
      </c>
      <c r="BQ122">
        <f>-19.943-(0.1023*E122)+F122*(100-8.576-13.681)</f>
        <v>34.56873659010472</v>
      </c>
      <c r="BR122">
        <f>IF(AW122&lt;&gt;-999,AW122*$BQ122, -999)</f>
        <v>12864641.475255951</v>
      </c>
      <c r="BS122">
        <f>IF(AX122&lt;&gt;-999,AX122*$BQ122, -999)</f>
        <v>15302671.496318338</v>
      </c>
      <c r="BT122" s="25">
        <f>IF(AY122&lt;&gt;-999,AY122*$BQ122, -999)</f>
        <v>28167312.971574288</v>
      </c>
      <c r="BU122">
        <f>-25.871-(0.1023*E122)+F122*(100-8.576-13.681)</f>
        <v>28.64073659010473</v>
      </c>
      <c r="BV122">
        <f>IF(AZ122&lt;&gt;-999,AZ122*$BU122, -999)</f>
        <v>21282335.416701134</v>
      </c>
      <c r="BW122">
        <f>IF(BA122&lt;&gt;-999,BA122*$BU122, -999)</f>
        <v>25315638.024031218</v>
      </c>
      <c r="BX122" s="25">
        <f>IF(BB122&lt;&gt;-999,BB122*$BU122, -999)</f>
        <v>46597973.440732352</v>
      </c>
      <c r="BY122">
        <f>-25.245-(0.1023*E122)+F122*(100-8.576-13.681)</f>
        <v>29.266736590104728</v>
      </c>
      <c r="BZ122">
        <f>IF(BC122&lt;&gt;-999,BC122*$BY122, -999)</f>
        <v>25512146.739916746</v>
      </c>
      <c r="CA122">
        <f>IF(BD122&lt;&gt;-999,BD122*$BY122, -999)</f>
        <v>30347063.985222138</v>
      </c>
      <c r="CB122" s="25">
        <f>IF(BE122&lt;&gt;-999,BE122*$BY122, -999)</f>
        <v>55859210.72513888</v>
      </c>
      <c r="CC122">
        <f>-29.317-(0.1023*E122)+F122*(100-8.576-13.681)</f>
        <v>25.194736590104725</v>
      </c>
      <c r="CD122">
        <f>IF(BF122&lt;&gt;-999,BF122*$CC122, -999)</f>
        <v>7984253.730909626</v>
      </c>
      <c r="CE122">
        <f>IF(BG122&lt;&gt;-999,BG122*$CC122, -999)</f>
        <v>9497386.3132294919</v>
      </c>
      <c r="CF122" s="25">
        <f>IF(BH122&lt;&gt;-999,BH122*$CC122, -999)</f>
        <v>17481640.044139117</v>
      </c>
      <c r="CG122">
        <f>-38.03-(0.1023*E122)+F122*(100-8.576-13.681)</f>
        <v>16.481736590104724</v>
      </c>
      <c r="CH122">
        <f>IF(BI122&lt;&gt;-999,BI122*$CG122, -999)</f>
        <v>10429138.163092243</v>
      </c>
      <c r="CI122">
        <f>IF(BJ122&lt;&gt;-999,BJ122*$CG122, -999)</f>
        <v>12405609.481686324</v>
      </c>
      <c r="CJ122" s="25">
        <f>IF(BK122&lt;&gt;-999,BK122*$CG122, -999)</f>
        <v>22834747.644778568</v>
      </c>
      <c r="CK122" s="26">
        <f t="shared" si="45"/>
        <v>254636872.71437094</v>
      </c>
      <c r="CL122">
        <f t="shared" si="46"/>
        <v>-39.528838380176538</v>
      </c>
      <c r="CM122">
        <f t="shared" si="47"/>
        <v>17.939673523915705</v>
      </c>
      <c r="CN122">
        <f t="shared" si="48"/>
        <v>-96.004660618855368</v>
      </c>
      <c r="CO122" s="22">
        <f t="shared" si="49"/>
        <v>-40.08</v>
      </c>
      <c r="CP122">
        <f>IF(AT122&lt;&gt;-999,AT122*$CO122, -999)</f>
        <v>-41028917.150117114</v>
      </c>
      <c r="CQ122">
        <f>IF(AU122&lt;&gt;-999,AU122*$CO122, -999)</f>
        <v>-48804477.108631432</v>
      </c>
      <c r="CR122" s="27">
        <f>IF(AV122&lt;&gt;-999,AV122*$CO122, -999)</f>
        <v>-89833400.930803925</v>
      </c>
      <c r="CS122">
        <f t="shared" si="50"/>
        <v>-42.853000000000002</v>
      </c>
      <c r="CT122">
        <f>IF(AW122&lt;&gt;-999,AW122*$CS122, -999)</f>
        <v>-15947602.820316819</v>
      </c>
      <c r="CU122">
        <f>IF(AX122&lt;&gt;-999,AX122*$CS122, -999)</f>
        <v>-18969897.26316588</v>
      </c>
      <c r="CV122" s="27">
        <f>IF(AY122&lt;&gt;-999,AY122*$CS122, -999)</f>
        <v>-34917500.083482698</v>
      </c>
      <c r="CW122">
        <f t="shared" si="51"/>
        <v>-48.780999999999999</v>
      </c>
      <c r="CX122">
        <f>IF(AZ122&lt;&gt;-999,AZ122*$CO122, -999)</f>
        <v>-29782614.033610027</v>
      </c>
      <c r="CY122">
        <f>IF(BA122&lt;&gt;-999,BA122*$CO122, -999)</f>
        <v>-35426839.27876804</v>
      </c>
      <c r="CZ122" s="27">
        <f>IF(BB122&lt;&gt;-999,BB122*$CO122, -999)</f>
        <v>-65209453.312378064</v>
      </c>
      <c r="DA122">
        <f t="shared" si="52"/>
        <v>-48.155000000000001</v>
      </c>
      <c r="DB122">
        <f>IF(BC122&lt;&gt;-999,BC122*$DA122, -999)</f>
        <v>-41977260.514794372</v>
      </c>
      <c r="DC122">
        <f>IF(BD122&lt;&gt;-999,BD122*$DA122, -999)</f>
        <v>-49932552.668084912</v>
      </c>
      <c r="DD122" s="27">
        <f>IF(BE122&lt;&gt;-999,BE122*$DA122, -999)</f>
        <v>-91909813.182879284</v>
      </c>
      <c r="DE122">
        <f t="shared" si="53"/>
        <v>-52.227000000000004</v>
      </c>
      <c r="DF122">
        <f>IF(BF122&lt;&gt;-999,BF122*$DE122, -999)</f>
        <v>-16550822.752717011</v>
      </c>
      <c r="DG122">
        <f>IF(BG122&lt;&gt;-999,BG122*$DE122, -999)</f>
        <v>-19687445.161694977</v>
      </c>
      <c r="DH122" s="27">
        <f>IF(BH122&lt;&gt;-999,BH122*$DE122, -999)</f>
        <v>-36238267.914411992</v>
      </c>
      <c r="DI122">
        <f t="shared" si="54"/>
        <v>-60.94</v>
      </c>
      <c r="DJ122">
        <f>IF(BI122&lt;&gt;-999,BI122*$DI122, -999)</f>
        <v>-38560965.720105775</v>
      </c>
      <c r="DK122">
        <f>IF(BJ122&lt;&gt;-999,BJ122*$DI122, -999)</f>
        <v>-45868821.994634308</v>
      </c>
      <c r="DL122" s="27">
        <f>IF(BK122&lt;&gt;-999,BK122*$DI122, -999)</f>
        <v>-84429787.714740083</v>
      </c>
      <c r="DM122" s="28">
        <f t="shared" si="55"/>
        <v>-402538223.13869601</v>
      </c>
      <c r="DN122" s="22">
        <f t="shared" si="56"/>
        <v>-17.170000000000002</v>
      </c>
      <c r="DO122">
        <f>IF(AT122&lt;&gt;-999,AT122*$DN122, -999)</f>
        <v>-17576509.667353068</v>
      </c>
      <c r="DP122">
        <f>IF(AU122&lt;&gt;-999,AU122*$DN122, -999)</f>
        <v>-20907506.785309426</v>
      </c>
      <c r="DQ122" s="24">
        <f>IF(AV122&lt;&gt;-999,AV122*$DN122, -999)</f>
        <v>-38484019.310925744</v>
      </c>
      <c r="DR122">
        <f t="shared" si="57"/>
        <v>-19.943000000000001</v>
      </c>
      <c r="DS122">
        <f>IF(AW122&lt;&gt;-999,AW122*$DR122, -999)</f>
        <v>-7421721.7708346751</v>
      </c>
      <c r="DT122">
        <f>IF(AX122&lt;&gt;-999,AX122*$DR122, -999)</f>
        <v>-8828242.1561925001</v>
      </c>
      <c r="DU122" s="24">
        <f>IF(AY122&lt;&gt;-999,AY122*$DR122, -999)</f>
        <v>-16249963.927027175</v>
      </c>
      <c r="DV122">
        <f t="shared" si="58"/>
        <v>-25.870999999999999</v>
      </c>
      <c r="DW122">
        <f>IF(AZ122&lt;&gt;-999,AZ122*$DV122, -999)</f>
        <v>-19224201.788012102</v>
      </c>
      <c r="DX122">
        <f>IF(BA122&lt;&gt;-999,BA122*$DV122, -999)</f>
        <v>-22867459.056412373</v>
      </c>
      <c r="DY122" s="24">
        <f>IF(BB122&lt;&gt;-999,BB122*$DV122, -999)</f>
        <v>-42091660.844424471</v>
      </c>
      <c r="DZ122">
        <f t="shared" si="59"/>
        <v>-25.245000000000001</v>
      </c>
      <c r="EA122">
        <f>IF(BC122&lt;&gt;-999, BC122*$DZ122, -999)</f>
        <v>-22006353.269566692</v>
      </c>
      <c r="EB122">
        <f>IF(BD122&lt;&gt;-999, BD122*$DZ122, -999)</f>
        <v>-26176872.434966329</v>
      </c>
      <c r="EC122" s="24">
        <f>IF(BE122&lt;&gt;-999, BE122*$DZ122, -999)</f>
        <v>-48183225.704533018</v>
      </c>
      <c r="ED122">
        <f t="shared" si="60"/>
        <v>-29.317</v>
      </c>
      <c r="EE122">
        <f>IF(BF122&lt;&gt;-999,BF122*$ED122, -999)</f>
        <v>-9290605.8291957136</v>
      </c>
      <c r="EF122">
        <f>IF(BG122&lt;&gt;-999,BG122*$ED122, -999)</f>
        <v>-11051311.19546234</v>
      </c>
      <c r="EG122" s="24">
        <f>IF(BH122&lt;&gt;-999,BH122*$ED122, -999)</f>
        <v>-20341917.024658054</v>
      </c>
      <c r="EH122">
        <f t="shared" si="61"/>
        <v>-38.03</v>
      </c>
      <c r="EI122">
        <f>IF(BI122&lt;&gt;-999,BI122*$EH122, -999)</f>
        <v>-24064219.335996434</v>
      </c>
      <c r="EJ122">
        <f>IF(BJ122&lt;&gt;-999,BJ122*$EH122, -999)</f>
        <v>-28624734.172234047</v>
      </c>
      <c r="EK122" s="24">
        <f>IF(BK122&lt;&gt;-999,BK122*$EH122, -999)</f>
        <v>-52688953.508230478</v>
      </c>
      <c r="EL122" s="28">
        <f t="shared" si="62"/>
        <v>-218039740.31979895</v>
      </c>
      <c r="EM122" s="22">
        <f>-17.17-(0.1023*G122)+H122*(100+102.093-66.644-64.243)</f>
        <v>11.509024242491527</v>
      </c>
      <c r="EN122">
        <f>IF(AT122&lt;&gt;-999,AT122*$EM122, -999)</f>
        <v>11781507.039018819</v>
      </c>
      <c r="EO122">
        <f>IF(AU122&lt;&gt;-999,AU122*$EM122, -999)</f>
        <v>14014269.216201646</v>
      </c>
      <c r="EP122" s="23">
        <f>IF(AV122&lt;&gt;-999,AV122*$EM122, -999)</f>
        <v>25795778.171109866</v>
      </c>
      <c r="EQ122">
        <f>-19.943-(0.1023*G122)+H122*(100+102.093-66.644-64.243)</f>
        <v>8.7360242424915242</v>
      </c>
      <c r="ER122">
        <f>IF(AW122&lt;&gt;-999,AW122*$EQ122, -999)</f>
        <v>3251082.651107599</v>
      </c>
      <c r="ES122">
        <f>IF(AX122&lt;&gt;-999,AX122*$EQ122, -999)</f>
        <v>3867208.4187475964</v>
      </c>
      <c r="ET122" s="23">
        <f>IF(AY122&lt;&gt;-999,AY122*$EQ122, -999)</f>
        <v>7118291.0698551955</v>
      </c>
      <c r="EU122">
        <f>-25.871-(0.1023*G122)+H122*(100+102.093-66.644-64.243)</f>
        <v>2.8080242424915269</v>
      </c>
      <c r="EV122">
        <f>IF(AZ122&lt;&gt;-999,AZ122*$EU122, -999)</f>
        <v>2086584.3865056217</v>
      </c>
      <c r="EW122">
        <f>IF(BA122&lt;&gt;-999,BA122*$EU122, -999)</f>
        <v>2482021.5451504914</v>
      </c>
      <c r="EX122" s="23">
        <f>IF(BB122&lt;&gt;-999,BB122*$EU122, -999)</f>
        <v>4568605.9316561129</v>
      </c>
      <c r="EY122">
        <f>-25.245-(0.1023*G122)+H122*(100+102.093-66.644-64.243)</f>
        <v>3.4340242424915246</v>
      </c>
      <c r="EZ122">
        <f>IF(BC122&lt;&gt;-999, BC122*$EY122, -999)</f>
        <v>2993477.9408407463</v>
      </c>
      <c r="FA122">
        <f>IF(BD122&lt;&gt;-999, BD122*$EY122, -999)</f>
        <v>3560784.8894546451</v>
      </c>
      <c r="FB122" s="23">
        <f>IF(BE122&lt;&gt;-999, BE122*$EY122, -999)</f>
        <v>6554262.8302953914</v>
      </c>
      <c r="FC122">
        <f>-29.317-(0.1023*G122)+H122*(100+102.093-66.644-64.243)</f>
        <v>-0.63797575750847813</v>
      </c>
      <c r="FD122">
        <f>IF(BF122&lt;&gt;-999,BF122*$FC122, -999)</f>
        <v>-202175.57361236887</v>
      </c>
      <c r="FE122">
        <f>IF(BG122&lt;&gt;-999,BG122*$FC122, -999)</f>
        <v>-240490.79480802987</v>
      </c>
      <c r="FF122" s="23">
        <f>IF(BH122&lt;&gt;-999,BH122*$FC122, -999)</f>
        <v>-442666.36842039874</v>
      </c>
      <c r="FG122">
        <f>-38.03-(0.1023*G122)+H122*(100+102.093-66.644-64.243)</f>
        <v>-9.350975757508472</v>
      </c>
      <c r="FH122">
        <f>IF(BI122&lt;&gt;-999,BI122*$FG122, -999)</f>
        <v>-5917011.0868858602</v>
      </c>
      <c r="FI122">
        <f>IF(BJ122&lt;&gt;-999,BJ122*$FG122, -999)</f>
        <v>-7038369.5847931867</v>
      </c>
      <c r="FJ122" s="23">
        <f>IF(BK122&lt;&gt;-999,BK122*$FG122, -999)</f>
        <v>-12955380.671679048</v>
      </c>
      <c r="FK122" s="28">
        <f t="shared" si="63"/>
        <v>30638890.962817118</v>
      </c>
      <c r="FL122" s="22">
        <f t="shared" si="66"/>
        <v>10.012280000000011</v>
      </c>
      <c r="FM122">
        <f>IF(AT122&lt;&gt;-999,AT122*$FL122, -999)</f>
        <v>10249326.512070237</v>
      </c>
      <c r="FN122">
        <f>IF(AU122&lt;&gt;-999,AU122*$FL122, -999)</f>
        <v>12191718.814002218</v>
      </c>
      <c r="FO122" s="29">
        <f>IF(AV122&lt;&gt;-999,AV122*$FL122, -999)</f>
        <v>22441046.992801163</v>
      </c>
      <c r="FP122">
        <f t="shared" si="67"/>
        <v>7.2392800000000115</v>
      </c>
      <c r="FQ122">
        <f>IF(AW122&lt;&gt;-999,AW122*$FP122, -999)</f>
        <v>2694074.2105584983</v>
      </c>
      <c r="FR122">
        <f>IF(AX122&lt;&gt;-999,AX122*$FP122, -999)</f>
        <v>3204639.0651597721</v>
      </c>
      <c r="FS122" s="29">
        <f>IF(AY122&lt;&gt;-999,AY122*$FP122, -999)</f>
        <v>5898713.2757182699</v>
      </c>
      <c r="FT122">
        <f t="shared" si="68"/>
        <v>1.3112800000000142</v>
      </c>
      <c r="FU122">
        <f>IF(AZ122&lt;&gt;-999,AZ122*$FT122, -999)</f>
        <v>974384.88348284888</v>
      </c>
      <c r="FV122">
        <f>IF(BA122&lt;&gt;-999,BA122*$FT122, -999)</f>
        <v>1159044.5561243377</v>
      </c>
      <c r="FW122" s="29">
        <f>IF(BB122&lt;&gt;-999,BB122*$FT122, -999)</f>
        <v>2133429.4396071867</v>
      </c>
      <c r="FX122">
        <f t="shared" si="69"/>
        <v>1.9372800000000119</v>
      </c>
      <c r="FY122">
        <f>IF(BC122&lt;&gt;-999, BC122*$FX122, -999)</f>
        <v>1688748.9824546017</v>
      </c>
      <c r="FZ122">
        <f>IF(BD122&lt;&gt;-999, BD122*$FX122, -999)</f>
        <v>2008791.1044092644</v>
      </c>
      <c r="GA122" s="29">
        <f>IF(BE122&lt;&gt;-999, BE122*$FX122, -999)</f>
        <v>3697540.0868638661</v>
      </c>
      <c r="GB122">
        <f t="shared" si="70"/>
        <v>-2.1347199999999873</v>
      </c>
      <c r="GC122">
        <f>IF(BF122&lt;&gt;-999,BF122*$GB122, -999)</f>
        <v>-676496.30165776028</v>
      </c>
      <c r="GD122">
        <f>IF(BG122&lt;&gt;-999,BG122*$GB122, -999)</f>
        <v>-804702.22175451869</v>
      </c>
      <c r="GE122" s="29">
        <f>IF(BH122&lt;&gt;-999,BH122*$GB122, -999)</f>
        <v>-1481198.5234122791</v>
      </c>
      <c r="GF122">
        <f t="shared" si="71"/>
        <v>-10.847719999999988</v>
      </c>
      <c r="GG122">
        <f>IF(BI122&lt;&gt;-999,BI122*$GF122, -999)</f>
        <v>-6864105.0059288703</v>
      </c>
      <c r="GH122">
        <f>IF(BJ122&lt;&gt;-999,BJ122*$GF122, -999)</f>
        <v>-8164951.3903451581</v>
      </c>
      <c r="GI122" s="29">
        <f>IF(BK122&lt;&gt;-999,BK122*$GF122, -999)</f>
        <v>-15029056.396274028</v>
      </c>
      <c r="GJ122" s="30">
        <f t="shared" si="64"/>
        <v>17660474.875304177</v>
      </c>
    </row>
    <row r="123" spans="1:192">
      <c r="A123" s="48" t="s">
        <v>153</v>
      </c>
      <c r="B123" s="48" t="s">
        <v>255</v>
      </c>
      <c r="C123" s="49">
        <v>153</v>
      </c>
      <c r="D123" s="50">
        <v>0.59899999999999998</v>
      </c>
      <c r="E123" s="49">
        <v>240.75830675928501</v>
      </c>
      <c r="F123" s="49">
        <v>0.76727864185389905</v>
      </c>
      <c r="G123" s="49">
        <v>190.428637878833</v>
      </c>
      <c r="H123" s="49">
        <v>0.80717528186820697</v>
      </c>
      <c r="I123" s="42">
        <v>251735.6</v>
      </c>
      <c r="J123" s="43">
        <v>90183</v>
      </c>
      <c r="K123" s="43">
        <f t="shared" si="39"/>
        <v>341918.6</v>
      </c>
      <c r="L123" s="43">
        <v>64437.599999999999</v>
      </c>
      <c r="M123" s="43">
        <v>23084.400000000001</v>
      </c>
      <c r="N123" s="43">
        <f t="shared" si="40"/>
        <v>87522</v>
      </c>
      <c r="O123" s="43">
        <v>194029</v>
      </c>
      <c r="P123" s="43">
        <v>69509.899999999994</v>
      </c>
      <c r="Q123" s="43">
        <f t="shared" si="41"/>
        <v>263538.90000000002</v>
      </c>
      <c r="R123" s="43">
        <v>190254.8</v>
      </c>
      <c r="S123" s="43">
        <v>68157.8</v>
      </c>
      <c r="T123" s="43">
        <f t="shared" si="42"/>
        <v>258412.59999999998</v>
      </c>
      <c r="U123" s="43">
        <v>48700.1</v>
      </c>
      <c r="V123" s="43">
        <v>17446.599999999999</v>
      </c>
      <c r="W123" s="43">
        <f t="shared" si="43"/>
        <v>66146.7</v>
      </c>
      <c r="X123" s="43">
        <v>146641.70000000001</v>
      </c>
      <c r="Y123" s="43">
        <v>52533.599999999999</v>
      </c>
      <c r="Z123" s="43">
        <f t="shared" si="44"/>
        <v>199175.30000000002</v>
      </c>
      <c r="AA123" s="22">
        <v>6494905.7000000002</v>
      </c>
      <c r="AB123">
        <v>2324802.7000000002</v>
      </c>
      <c r="AC123">
        <v>8819708.3000000007</v>
      </c>
      <c r="AD123">
        <v>1662521.3</v>
      </c>
      <c r="AE123">
        <v>595087</v>
      </c>
      <c r="AF123">
        <v>2257608.2999999998</v>
      </c>
      <c r="AG123">
        <v>5006044.4000000004</v>
      </c>
      <c r="AH123">
        <v>1791876</v>
      </c>
      <c r="AI123">
        <v>6797920.4000000004</v>
      </c>
      <c r="AJ123">
        <v>4908668.3</v>
      </c>
      <c r="AK123">
        <v>1757020.9</v>
      </c>
      <c r="AL123">
        <v>6665689.2000000002</v>
      </c>
      <c r="AM123">
        <v>1256487.2</v>
      </c>
      <c r="AN123">
        <v>449750.1</v>
      </c>
      <c r="AO123">
        <v>1706237.3</v>
      </c>
      <c r="AP123">
        <v>3783428.5</v>
      </c>
      <c r="AQ123">
        <v>1354249.8</v>
      </c>
      <c r="AR123">
        <v>5137678.3</v>
      </c>
      <c r="AS123">
        <v>31384841.800000001</v>
      </c>
      <c r="AT123" s="22">
        <f t="shared" si="77"/>
        <v>10811968.685379008</v>
      </c>
      <c r="AU123">
        <f t="shared" si="77"/>
        <v>3870062.9621280828</v>
      </c>
      <c r="AV123">
        <f t="shared" si="77"/>
        <v>14682031.481038645</v>
      </c>
      <c r="AW123">
        <f t="shared" si="77"/>
        <v>2767573.3974668174</v>
      </c>
      <c r="AX123">
        <f t="shared" si="77"/>
        <v>990632.09017432504</v>
      </c>
      <c r="AY123">
        <f t="shared" si="77"/>
        <v>3758205.4876411422</v>
      </c>
      <c r="AZ123">
        <f t="shared" si="77"/>
        <v>8333484.3938406911</v>
      </c>
      <c r="BA123">
        <f t="shared" si="76"/>
        <v>2982908.1583250999</v>
      </c>
      <c r="BB123">
        <f t="shared" si="76"/>
        <v>11316392.552165791</v>
      </c>
      <c r="BC123">
        <f t="shared" si="76"/>
        <v>8171383.9119346421</v>
      </c>
      <c r="BD123">
        <f t="shared" si="76"/>
        <v>2924885.4144805274</v>
      </c>
      <c r="BE123">
        <f t="shared" si="76"/>
        <v>11096269.32641517</v>
      </c>
      <c r="BF123">
        <f t="shared" si="76"/>
        <v>2091654.7348762196</v>
      </c>
      <c r="BG123">
        <f t="shared" si="76"/>
        <v>748692.00909969746</v>
      </c>
      <c r="BH123">
        <f t="shared" si="76"/>
        <v>2840346.7439759173</v>
      </c>
      <c r="BI123">
        <f t="shared" si="76"/>
        <v>6298214.6862225374</v>
      </c>
      <c r="BJ123">
        <f t="shared" si="75"/>
        <v>2254398.617331855</v>
      </c>
      <c r="BK123">
        <f t="shared" si="75"/>
        <v>8552613.3035543915</v>
      </c>
      <c r="BL123">
        <f t="shared" si="75"/>
        <v>52245858.894791059</v>
      </c>
      <c r="BM123" s="22">
        <f>-17.17-(0.1023*E123)+F123*(100-8.576-13.681)</f>
        <v>17.850968672172819</v>
      </c>
      <c r="BN123">
        <f>IF(AT123&lt;&gt;-999,AT123*$BM123, -999)</f>
        <v>193004114.28721419</v>
      </c>
      <c r="BO123">
        <f>IF(AU123&lt;&gt;-999,AU123*$BM123, -999)</f>
        <v>69084372.696284741</v>
      </c>
      <c r="BP123" s="25">
        <f>IF(AV123&lt;&gt;-999,AV123*$BM123, -999)</f>
        <v>262088484.01187593</v>
      </c>
      <c r="BQ123">
        <f>-19.943-(0.1023*E123)+F123*(100-8.576-13.681)</f>
        <v>15.077968672172823</v>
      </c>
      <c r="BR123">
        <f>IF(AW123&lt;&gt;-999,AW123*$BQ123, -999)</f>
        <v>41729384.984943576</v>
      </c>
      <c r="BS123">
        <f>IF(AX123&lt;&gt;-999,AX123*$BQ123, -999)</f>
        <v>14936719.621297555</v>
      </c>
      <c r="BT123" s="25">
        <f>IF(AY123&lt;&gt;-999,AY123*$BQ123, -999)</f>
        <v>56666104.606241129</v>
      </c>
      <c r="BU123">
        <f>-25.871-(0.1023*E123)+F123*(100-8.576-13.681)</f>
        <v>9.1499686721728253</v>
      </c>
      <c r="BV123">
        <f>IF(AZ123&lt;&gt;-999,AZ123*$BU123, -999)</f>
        <v>76251121.133683473</v>
      </c>
      <c r="BW123">
        <f>IF(BA123&lt;&gt;-999,BA123*$BU123, -999)</f>
        <v>27293516.200643402</v>
      </c>
      <c r="BX123" s="25">
        <f>IF(BB123&lt;&gt;-999,BB123*$BU123, -999)</f>
        <v>103544637.33432688</v>
      </c>
      <c r="BY123">
        <f>-25.245-(0.1023*E123)+F123*(100-8.576-13.681)</f>
        <v>9.7759686721728158</v>
      </c>
      <c r="BZ123">
        <f>IF(BC123&lt;&gt;-999,BC123*$BY123, -999)</f>
        <v>79883193.131370008</v>
      </c>
      <c r="CA123">
        <f>IF(BD123&lt;&gt;-999,BD123*$BY123, -999)</f>
        <v>28593588.181656837</v>
      </c>
      <c r="CB123" s="25">
        <f>IF(BE123&lt;&gt;-999,BE123*$BY123, -999)</f>
        <v>108476781.31302686</v>
      </c>
      <c r="CC123">
        <f>-29.317-(0.1023*E123)+F123*(100-8.576-13.681)</f>
        <v>5.7039686721728202</v>
      </c>
      <c r="CD123">
        <f>IF(BF123&lt;&gt;-999,BF123*$CC123, -999)</f>
        <v>11930733.080735903</v>
      </c>
      <c r="CE123">
        <f>IF(BG123&lt;&gt;-999,BG123*$CC123, -999)</f>
        <v>4270515.7650108021</v>
      </c>
      <c r="CF123" s="25">
        <f>IF(BH123&lt;&gt;-999,BH123*$CC123, -999)</f>
        <v>16201248.845746707</v>
      </c>
      <c r="CG123">
        <f>-38.03-(0.1023*E123)+F123*(100-8.576-13.681)</f>
        <v>-3.0090313278271807</v>
      </c>
      <c r="CH123">
        <f>IF(BI123&lt;&gt;-999,BI123*$CG123, -999)</f>
        <v>-18951525.300224852</v>
      </c>
      <c r="CI123">
        <f>IF(BJ123&lt;&gt;-999,BJ123*$CG123, -999)</f>
        <v>-6783556.064961832</v>
      </c>
      <c r="CJ123" s="25">
        <f>IF(BK123&lt;&gt;-999,BK123*$CG123, -999)</f>
        <v>-25735081.36518668</v>
      </c>
      <c r="CK123" s="26">
        <f t="shared" si="45"/>
        <v>521242174.74603081</v>
      </c>
      <c r="CL123">
        <f t="shared" si="46"/>
        <v>-18.400231306674641</v>
      </c>
      <c r="CM123">
        <f t="shared" si="47"/>
        <v>40.828577526314334</v>
      </c>
      <c r="CN123">
        <f t="shared" si="48"/>
        <v>-76.605943760878361</v>
      </c>
      <c r="CO123" s="22">
        <f t="shared" si="49"/>
        <v>-40.08</v>
      </c>
      <c r="CP123">
        <f>IF(AT123&lt;&gt;-999,AT123*$CO123, -999)</f>
        <v>-433343704.90999061</v>
      </c>
      <c r="CQ123">
        <f>IF(AU123&lt;&gt;-999,AU123*$CO123, -999)</f>
        <v>-155112123.52209356</v>
      </c>
      <c r="CR123" s="27">
        <f>IF(AV123&lt;&gt;-999,AV123*$CO123, -999)</f>
        <v>-588455821.76002884</v>
      </c>
      <c r="CS123">
        <f t="shared" si="50"/>
        <v>-42.853000000000002</v>
      </c>
      <c r="CT123">
        <f>IF(AW123&lt;&gt;-999,AW123*$CS123, -999)</f>
        <v>-118598822.80164553</v>
      </c>
      <c r="CU123">
        <f>IF(AX123&lt;&gt;-999,AX123*$CS123, -999)</f>
        <v>-42451556.960240349</v>
      </c>
      <c r="CV123" s="27">
        <f>IF(AY123&lt;&gt;-999,AY123*$CS123, -999)</f>
        <v>-161050379.76188588</v>
      </c>
      <c r="CW123">
        <f t="shared" si="51"/>
        <v>-48.780999999999999</v>
      </c>
      <c r="CX123">
        <f>IF(AZ123&lt;&gt;-999,AZ123*$CO123, -999)</f>
        <v>-334006054.50513488</v>
      </c>
      <c r="CY123">
        <f>IF(BA123&lt;&gt;-999,BA123*$CO123, -999)</f>
        <v>-119554958.98567</v>
      </c>
      <c r="CZ123" s="27">
        <f>IF(BB123&lt;&gt;-999,BB123*$CO123, -999)</f>
        <v>-453561013.49080491</v>
      </c>
      <c r="DA123">
        <f t="shared" si="52"/>
        <v>-48.155000000000001</v>
      </c>
      <c r="DB123">
        <f>IF(BC123&lt;&gt;-999,BC123*$DA123, -999)</f>
        <v>-393492992.27921271</v>
      </c>
      <c r="DC123">
        <f>IF(BD123&lt;&gt;-999,BD123*$DA123, -999)</f>
        <v>-140847857.1343098</v>
      </c>
      <c r="DD123" s="27">
        <f>IF(BE123&lt;&gt;-999,BE123*$DA123, -999)</f>
        <v>-534340849.41352254</v>
      </c>
      <c r="DE123">
        <f t="shared" si="53"/>
        <v>-52.227000000000004</v>
      </c>
      <c r="DF123">
        <f>IF(BF123&lt;&gt;-999,BF123*$DE123, -999)</f>
        <v>-109240851.83838034</v>
      </c>
      <c r="DG123">
        <f>IF(BG123&lt;&gt;-999,BG123*$DE123, -999)</f>
        <v>-39101937.5592499</v>
      </c>
      <c r="DH123" s="27">
        <f>IF(BH123&lt;&gt;-999,BH123*$DE123, -999)</f>
        <v>-148342789.39763024</v>
      </c>
      <c r="DI123">
        <f t="shared" si="54"/>
        <v>-60.94</v>
      </c>
      <c r="DJ123">
        <f>IF(BI123&lt;&gt;-999,BI123*$DI123, -999)</f>
        <v>-383813202.97840142</v>
      </c>
      <c r="DK123">
        <f>IF(BJ123&lt;&gt;-999,BJ123*$DI123, -999)</f>
        <v>-137383051.74020323</v>
      </c>
      <c r="DL123" s="27">
        <f>IF(BK123&lt;&gt;-999,BK123*$DI123, -999)</f>
        <v>-521196254.71860462</v>
      </c>
      <c r="DM123" s="28">
        <f t="shared" si="55"/>
        <v>-2406947108.5424771</v>
      </c>
      <c r="DN123" s="22">
        <f t="shared" si="56"/>
        <v>-17.170000000000002</v>
      </c>
      <c r="DO123">
        <f>IF(AT123&lt;&gt;-999,AT123*$DN123, -999)</f>
        <v>-185641502.32795757</v>
      </c>
      <c r="DP123">
        <f>IF(AU123&lt;&gt;-999,AU123*$DN123, -999)</f>
        <v>-66448981.059739187</v>
      </c>
      <c r="DQ123" s="24">
        <f>IF(AV123&lt;&gt;-999,AV123*$DN123, -999)</f>
        <v>-252090480.52943355</v>
      </c>
      <c r="DR123">
        <f t="shared" si="57"/>
        <v>-19.943000000000001</v>
      </c>
      <c r="DS123">
        <f>IF(AW123&lt;&gt;-999,AW123*$DR123, -999)</f>
        <v>-55193716.265680745</v>
      </c>
      <c r="DT123">
        <f>IF(AX123&lt;&gt;-999,AX123*$DR123, -999)</f>
        <v>-19756175.774346564</v>
      </c>
      <c r="DU123" s="24">
        <f>IF(AY123&lt;&gt;-999,AY123*$DR123, -999)</f>
        <v>-74949892.040027305</v>
      </c>
      <c r="DV123">
        <f t="shared" si="58"/>
        <v>-25.870999999999999</v>
      </c>
      <c r="DW123">
        <f>IF(AZ123&lt;&gt;-999,AZ123*$DV123, -999)</f>
        <v>-215595574.7530525</v>
      </c>
      <c r="DX123">
        <f>IF(BA123&lt;&gt;-999,BA123*$DV123, -999)</f>
        <v>-77170816.964028656</v>
      </c>
      <c r="DY123" s="24">
        <f>IF(BB123&lt;&gt;-999,BB123*$DV123, -999)</f>
        <v>-292766391.71708119</v>
      </c>
      <c r="DZ123">
        <f t="shared" si="59"/>
        <v>-25.245000000000001</v>
      </c>
      <c r="EA123">
        <f>IF(BC123&lt;&gt;-999, BC123*$DZ123, -999)</f>
        <v>-206286586.85679004</v>
      </c>
      <c r="EB123">
        <f>IF(BD123&lt;&gt;-999, BD123*$DZ123, -999)</f>
        <v>-73838732.288560912</v>
      </c>
      <c r="EC123" s="24">
        <f>IF(BE123&lt;&gt;-999, BE123*$DZ123, -999)</f>
        <v>-280125319.14535099</v>
      </c>
      <c r="ED123">
        <f t="shared" si="60"/>
        <v>-29.317</v>
      </c>
      <c r="EE123">
        <f>IF(BF123&lt;&gt;-999,BF123*$ED123, -999)</f>
        <v>-61321041.862366132</v>
      </c>
      <c r="EF123">
        <f>IF(BG123&lt;&gt;-999,BG123*$ED123, -999)</f>
        <v>-21949403.630775832</v>
      </c>
      <c r="EG123" s="24">
        <f>IF(BH123&lt;&gt;-999,BH123*$ED123, -999)</f>
        <v>-83270445.493141964</v>
      </c>
      <c r="EH123">
        <f t="shared" si="61"/>
        <v>-38.03</v>
      </c>
      <c r="EI123">
        <f>IF(BI123&lt;&gt;-999,BI123*$EH123, -999)</f>
        <v>-239521104.51704311</v>
      </c>
      <c r="EJ123">
        <f>IF(BJ123&lt;&gt;-999,BJ123*$EH123, -999)</f>
        <v>-85734779.417130455</v>
      </c>
      <c r="EK123" s="24">
        <f>IF(BK123&lt;&gt;-999,BK123*$EH123, -999)</f>
        <v>-325255883.93417352</v>
      </c>
      <c r="EL123" s="28">
        <f t="shared" si="62"/>
        <v>-1308458412.8592086</v>
      </c>
      <c r="EM123" s="22">
        <f>-17.17-(0.1023*G123)+H123*(100+102.093-66.644-64.243)</f>
        <v>20.824873465702936</v>
      </c>
      <c r="EN123">
        <f>IF(AT123&lt;&gt;-999,AT123*$EM123, -999)</f>
        <v>225157879.78816035</v>
      </c>
      <c r="EO123">
        <f>IF(AU123&lt;&gt;-999,AU123*$EM123, -999)</f>
        <v>80593571.490620822</v>
      </c>
      <c r="EP123" s="23">
        <f>IF(AV123&lt;&gt;-999,AV123*$EM123, -999)</f>
        <v>305751447.81209683</v>
      </c>
      <c r="EQ123">
        <f>-19.943-(0.1023*G123)+H123*(100+102.093-66.644-64.243)</f>
        <v>18.05187346570294</v>
      </c>
      <c r="ER123">
        <f>IF(AW123&lt;&gt;-999,AW123*$EQ123, -999)</f>
        <v>49959884.778116576</v>
      </c>
      <c r="ES123">
        <f>IF(AX123&lt;&gt;-999,AX123*$EQ123, -999)</f>
        <v>17882765.142891739</v>
      </c>
      <c r="ET123" s="23">
        <f>IF(AY123&lt;&gt;-999,AY123*$EQ123, -999)</f>
        <v>67842649.921008319</v>
      </c>
      <c r="EU123">
        <f>-25.871-(0.1023*G123)+H123*(100+102.093-66.644-64.243)</f>
        <v>12.123873465702943</v>
      </c>
      <c r="EV123">
        <f>IF(AZ123&lt;&gt;-999,AZ123*$EU123, -999)</f>
        <v>101034110.31933473</v>
      </c>
      <c r="EW123">
        <f>IF(BA123&lt;&gt;-999,BA123*$EU123, -999)</f>
        <v>36164401.071346506</v>
      </c>
      <c r="EX123" s="23">
        <f>IF(BB123&lt;&gt;-999,BB123*$EU123, -999)</f>
        <v>137198511.39068124</v>
      </c>
      <c r="EY123">
        <f>-25.245-(0.1023*G123)+H123*(100+102.093-66.644-64.243)</f>
        <v>12.74987346570294</v>
      </c>
      <c r="EZ123">
        <f>IF(BC123&lt;&gt;-999, BC123*$EY123, -999)</f>
        <v>104184110.91684738</v>
      </c>
      <c r="FA123">
        <f>IF(BD123&lt;&gt;-999, BD123*$EY123, -999)</f>
        <v>37291918.936306819</v>
      </c>
      <c r="FB123" s="23">
        <f>IF(BE123&lt;&gt;-999, BE123*$EY123, -999)</f>
        <v>141476029.85315421</v>
      </c>
      <c r="FC123">
        <f>-29.317-(0.1023*G123)+H123*(100+102.093-66.644-64.243)</f>
        <v>8.6778734657029446</v>
      </c>
      <c r="FD123">
        <f>IF(BF123&lt;&gt;-999,BF123*$FC123, -999)</f>
        <v>18151115.123194274</v>
      </c>
      <c r="FE123">
        <f>IF(BG123&lt;&gt;-999,BG123*$FC123, -999)</f>
        <v>6497054.5197500922</v>
      </c>
      <c r="FF123" s="23">
        <f>IF(BH123&lt;&gt;-999,BH123*$FC123, -999)</f>
        <v>24648169.642944369</v>
      </c>
      <c r="FG123">
        <f>-38.03-(0.1023*G123)+H123*(100+102.093-66.644-64.243)</f>
        <v>-3.5126534297063472E-2</v>
      </c>
      <c r="FH123">
        <f>IF(BI123&lt;&gt;-999,BI123*$FG123, -999)</f>
        <v>-221234.4541858648</v>
      </c>
      <c r="FI123">
        <f>IF(BJ123&lt;&gt;-999,BJ123*$FG123, -999)</f>
        <v>-79189.210350959867</v>
      </c>
      <c r="FJ123" s="23">
        <f>IF(BK123&lt;&gt;-999,BK123*$FG123, -999)</f>
        <v>-300423.66453682468</v>
      </c>
      <c r="FK123" s="28">
        <f t="shared" si="63"/>
        <v>676616384.95534813</v>
      </c>
      <c r="FL123" s="22">
        <f t="shared" si="66"/>
        <v>10.012280000000011</v>
      </c>
      <c r="FM123">
        <f>IF(AT123&lt;&gt;-999,AT123*$FL123, -999)</f>
        <v>108252457.82924666</v>
      </c>
      <c r="FN123">
        <f>IF(AU123&lt;&gt;-999,AU123*$FL123, -999)</f>
        <v>38748153.994455807</v>
      </c>
      <c r="FO123" s="29">
        <f>IF(AV123&lt;&gt;-999,AV123*$FL123, -999)</f>
        <v>147000610.15697378</v>
      </c>
      <c r="FP123">
        <f t="shared" si="67"/>
        <v>7.2392800000000115</v>
      </c>
      <c r="FQ123">
        <f>IF(AW123&lt;&gt;-999,AW123*$FP123, -999)</f>
        <v>20035238.744813614</v>
      </c>
      <c r="FR123">
        <f>IF(AX123&lt;&gt;-999,AX123*$FP123, -999)</f>
        <v>7171463.0777571993</v>
      </c>
      <c r="FS123" s="29">
        <f>IF(AY123&lt;&gt;-999,AY123*$FP123, -999)</f>
        <v>27206701.822570812</v>
      </c>
      <c r="FT123">
        <f t="shared" si="68"/>
        <v>1.3112800000000142</v>
      </c>
      <c r="FU123">
        <f>IF(AZ123&lt;&gt;-999,AZ123*$FT123, -999)</f>
        <v>10927531.41595554</v>
      </c>
      <c r="FV123">
        <f>IF(BA123&lt;&gt;-999,BA123*$FT123, -999)</f>
        <v>3911427.8098485791</v>
      </c>
      <c r="FW123" s="29">
        <f>IF(BB123&lt;&gt;-999,BB123*$FT123, -999)</f>
        <v>14838959.22580412</v>
      </c>
      <c r="FX123">
        <f t="shared" si="69"/>
        <v>1.9372800000000119</v>
      </c>
      <c r="FY123">
        <f>IF(BC123&lt;&gt;-999, BC123*$FX123, -999)</f>
        <v>15830258.624912841</v>
      </c>
      <c r="FZ123">
        <f>IF(BD123&lt;&gt;-999, BD123*$FX123, -999)</f>
        <v>5666322.0157648707</v>
      </c>
      <c r="GA123" s="29">
        <f>IF(BE123&lt;&gt;-999, BE123*$FX123, -999)</f>
        <v>21496580.640677713</v>
      </c>
      <c r="GB123">
        <f t="shared" si="70"/>
        <v>-2.1347199999999873</v>
      </c>
      <c r="GC123">
        <f>IF(BF123&lt;&gt;-999,BF123*$GB123, -999)</f>
        <v>-4465097.1956349369</v>
      </c>
      <c r="GD123">
        <f>IF(BG123&lt;&gt;-999,BG123*$GB123, -999)</f>
        <v>-1598247.8056652967</v>
      </c>
      <c r="GE123" s="29">
        <f>IF(BH123&lt;&gt;-999,BH123*$GB123, -999)</f>
        <v>-6063345.0013002343</v>
      </c>
      <c r="GF123">
        <f t="shared" si="71"/>
        <v>-10.847719999999988</v>
      </c>
      <c r="GG123">
        <f>IF(BI123&lt;&gt;-999,BI123*$GF123, -999)</f>
        <v>-68321269.416029871</v>
      </c>
      <c r="GH123">
        <f>IF(BJ123&lt;&gt;-999,BJ123*$GF123, -999)</f>
        <v>-24455084.969203085</v>
      </c>
      <c r="GI123" s="29">
        <f>IF(BK123&lt;&gt;-999,BK123*$GF123, -999)</f>
        <v>-92776354.38523294</v>
      </c>
      <c r="GJ123" s="30">
        <f t="shared" si="64"/>
        <v>111703152.45949323</v>
      </c>
    </row>
    <row r="124" spans="1:192">
      <c r="A124" s="48" t="s">
        <v>178</v>
      </c>
      <c r="B124" s="48" t="s">
        <v>256</v>
      </c>
      <c r="C124" s="49">
        <v>97</v>
      </c>
      <c r="D124" s="50">
        <v>0.59799999999999998</v>
      </c>
      <c r="E124" s="49">
        <v>101.135666360372</v>
      </c>
      <c r="F124" s="49">
        <v>0.78417125981331504</v>
      </c>
      <c r="G124" s="49">
        <v>219.85773328635099</v>
      </c>
      <c r="H124" s="49">
        <v>0.80671085120215602</v>
      </c>
      <c r="I124" s="42">
        <v>28793.1</v>
      </c>
      <c r="J124" s="43">
        <v>-999</v>
      </c>
      <c r="K124" s="43">
        <f t="shared" si="39"/>
        <v>28793.1</v>
      </c>
      <c r="L124" s="43">
        <v>6359.3</v>
      </c>
      <c r="M124" s="43">
        <v>-999</v>
      </c>
      <c r="N124" s="43">
        <f t="shared" si="40"/>
        <v>6359.3</v>
      </c>
      <c r="O124" s="43">
        <v>53054.3</v>
      </c>
      <c r="P124" s="43">
        <v>-999</v>
      </c>
      <c r="Q124" s="43">
        <f t="shared" si="41"/>
        <v>53054.3</v>
      </c>
      <c r="R124" s="43">
        <v>9232.1</v>
      </c>
      <c r="S124" s="43">
        <v>-999</v>
      </c>
      <c r="T124" s="43">
        <f t="shared" si="42"/>
        <v>9232.1</v>
      </c>
      <c r="U124" s="43">
        <v>2039</v>
      </c>
      <c r="V124" s="43">
        <v>-999</v>
      </c>
      <c r="W124" s="43">
        <f t="shared" si="43"/>
        <v>2039</v>
      </c>
      <c r="X124" s="43">
        <v>17011.2</v>
      </c>
      <c r="Y124" s="43">
        <v>-999</v>
      </c>
      <c r="Z124" s="43">
        <f t="shared" si="44"/>
        <v>17011.2</v>
      </c>
      <c r="AA124" s="22">
        <v>248236.9</v>
      </c>
      <c r="AB124">
        <v>-999</v>
      </c>
      <c r="AC124">
        <v>248236.9</v>
      </c>
      <c r="AD124">
        <v>54826.400000000001</v>
      </c>
      <c r="AE124">
        <v>-999</v>
      </c>
      <c r="AF124">
        <v>54826.400000000001</v>
      </c>
      <c r="AG124">
        <v>457402.3</v>
      </c>
      <c r="AH124">
        <v>-999</v>
      </c>
      <c r="AI124">
        <v>457402.3</v>
      </c>
      <c r="AJ124">
        <v>79594</v>
      </c>
      <c r="AK124">
        <v>-999</v>
      </c>
      <c r="AL124">
        <v>79594</v>
      </c>
      <c r="AM124">
        <v>17579.400000000001</v>
      </c>
      <c r="AN124">
        <v>-999</v>
      </c>
      <c r="AO124">
        <v>17579.400000000001</v>
      </c>
      <c r="AP124">
        <v>146660.20000000001</v>
      </c>
      <c r="AQ124">
        <v>-999</v>
      </c>
      <c r="AR124">
        <v>146660.20000000001</v>
      </c>
      <c r="AS124">
        <v>1004299.26</v>
      </c>
      <c r="AT124" s="22">
        <f t="shared" si="77"/>
        <v>413236.1135521275</v>
      </c>
      <c r="AU124">
        <f t="shared" si="77"/>
        <v>-999</v>
      </c>
      <c r="AV124">
        <f t="shared" si="77"/>
        <v>413236.1135521275</v>
      </c>
      <c r="AW124">
        <f t="shared" si="77"/>
        <v>91268.656900140006</v>
      </c>
      <c r="AX124">
        <f t="shared" si="77"/>
        <v>-999</v>
      </c>
      <c r="AY124">
        <f t="shared" si="77"/>
        <v>91268.656900140006</v>
      </c>
      <c r="AZ124">
        <f t="shared" si="77"/>
        <v>761430.50763929251</v>
      </c>
      <c r="BA124">
        <f t="shared" si="76"/>
        <v>-999</v>
      </c>
      <c r="BB124">
        <f t="shared" si="76"/>
        <v>761430.50763929251</v>
      </c>
      <c r="BC124">
        <f t="shared" si="76"/>
        <v>132498.89610315001</v>
      </c>
      <c r="BD124">
        <f t="shared" si="76"/>
        <v>-999</v>
      </c>
      <c r="BE124">
        <f t="shared" si="76"/>
        <v>132498.89610315001</v>
      </c>
      <c r="BF124">
        <f t="shared" si="76"/>
        <v>29264.154259815001</v>
      </c>
      <c r="BG124">
        <f t="shared" si="76"/>
        <v>-999</v>
      </c>
      <c r="BH124">
        <f t="shared" si="76"/>
        <v>29264.154259815001</v>
      </c>
      <c r="BI124">
        <f t="shared" si="76"/>
        <v>244142.95804039499</v>
      </c>
      <c r="BJ124">
        <f t="shared" si="75"/>
        <v>-999</v>
      </c>
      <c r="BK124">
        <f t="shared" si="75"/>
        <v>244142.95804039499</v>
      </c>
      <c r="BL124">
        <f t="shared" si="75"/>
        <v>1671841.3863759886</v>
      </c>
      <c r="BM124" s="22">
        <f>-17.17-(0.1023*E124)+F124*(100-8.576-13.681)</f>
        <v>33.447647583000503</v>
      </c>
      <c r="BN124">
        <f>IF(AT124&lt;&gt;-999,AT124*$BM124, -999)</f>
        <v>13821775.894660339</v>
      </c>
      <c r="BO124">
        <f>IF(AU124&lt;&gt;-999,AU124*$BM124, -999)</f>
        <v>-999</v>
      </c>
      <c r="BP124" s="25">
        <f>IF(AV124&lt;&gt;-999,AV124*$BM124, -999)</f>
        <v>13821775.894660339</v>
      </c>
      <c r="BQ124">
        <f>-19.943-(0.1023*E124)+F124*(100-8.576-13.681)</f>
        <v>30.674647583000503</v>
      </c>
      <c r="BR124">
        <f>IF(AW124&lt;&gt;-999,AW124*$BQ124, -999)</f>
        <v>2799633.885785582</v>
      </c>
      <c r="BS124">
        <f>IF(AX124&lt;&gt;-999,AX124*$BQ124, -999)</f>
        <v>-999</v>
      </c>
      <c r="BT124" s="25">
        <f>IF(AY124&lt;&gt;-999,AY124*$BQ124, -999)</f>
        <v>2799633.885785582</v>
      </c>
      <c r="BU124">
        <f>-25.871-(0.1023*E124)+F124*(100-8.576-13.681)</f>
        <v>24.746647583000509</v>
      </c>
      <c r="BV124">
        <f>IF(AZ124&lt;&gt;-999,AZ124*$BU124, -999)</f>
        <v>18842852.43149475</v>
      </c>
      <c r="BW124">
        <f>IF(BA124&lt;&gt;-999,BA124*$BU124, -999)</f>
        <v>-999</v>
      </c>
      <c r="BX124" s="25">
        <f>IF(BB124&lt;&gt;-999,BB124*$BU124, -999)</f>
        <v>18842852.43149475</v>
      </c>
      <c r="BY124">
        <f>-25.245-(0.1023*E124)+F124*(100-8.576-13.681)</f>
        <v>25.3726475830005</v>
      </c>
      <c r="BZ124">
        <f>IF(BC124&lt;&gt;-999,BC124*$BY124, -999)</f>
        <v>3361847.7959618233</v>
      </c>
      <c r="CA124">
        <f>IF(BD124&lt;&gt;-999,BD124*$BY124, -999)</f>
        <v>-999</v>
      </c>
      <c r="CB124" s="25">
        <f>IF(BE124&lt;&gt;-999,BE124*$BY124, -999)</f>
        <v>3361847.7959618233</v>
      </c>
      <c r="CC124">
        <f>-29.317-(0.1023*E124)+F124*(100-8.576-13.681)</f>
        <v>21.300647583000504</v>
      </c>
      <c r="CD124">
        <f>IF(BF124&lt;&gt;-999,BF124*$CC124, -999)</f>
        <v>623345.43670288229</v>
      </c>
      <c r="CE124">
        <f>IF(BG124&lt;&gt;-999,BG124*$CC124, -999)</f>
        <v>-999</v>
      </c>
      <c r="CF124" s="25">
        <f>IF(BH124&lt;&gt;-999,BH124*$CC124, -999)</f>
        <v>623345.43670288229</v>
      </c>
      <c r="CG124">
        <f>-38.03-(0.1023*E124)+F124*(100-8.576-13.681)</f>
        <v>12.587647583000503</v>
      </c>
      <c r="CH124">
        <f>IF(BI124&lt;&gt;-999,BI124*$CG124, -999)</f>
        <v>3073185.5156837716</v>
      </c>
      <c r="CI124">
        <f>IF(BJ124&lt;&gt;-999,BJ124*$CG124, -999)</f>
        <v>-999</v>
      </c>
      <c r="CJ124" s="25">
        <f>IF(BK124&lt;&gt;-999,BK124*$CG124, -999)</f>
        <v>3073185.5156837716</v>
      </c>
      <c r="CK124" s="26">
        <f t="shared" si="45"/>
        <v>42522640.960289143</v>
      </c>
      <c r="CL124">
        <f t="shared" si="46"/>
        <v>-35.739031813459903</v>
      </c>
      <c r="CM124">
        <f t="shared" si="47"/>
        <v>22.213869968249032</v>
      </c>
      <c r="CN124">
        <f t="shared" si="48"/>
        <v>-92.690876759463222</v>
      </c>
      <c r="CO124" s="22">
        <f t="shared" si="49"/>
        <v>-40.08</v>
      </c>
      <c r="CP124">
        <f>IF(AT124&lt;&gt;-999,AT124*$CO124, -999)</f>
        <v>-16562503.43116927</v>
      </c>
      <c r="CQ124">
        <f>IF(AU124&lt;&gt;-999,AU124*$CO124, -999)</f>
        <v>-999</v>
      </c>
      <c r="CR124" s="27">
        <f>IF(AV124&lt;&gt;-999,AV124*$CO124, -999)</f>
        <v>-16562503.43116927</v>
      </c>
      <c r="CS124">
        <f t="shared" si="50"/>
        <v>-42.853000000000002</v>
      </c>
      <c r="CT124">
        <f>IF(AW124&lt;&gt;-999,AW124*$CS124, -999)</f>
        <v>-3911135.7541417</v>
      </c>
      <c r="CU124">
        <f>IF(AX124&lt;&gt;-999,AX124*$CS124, -999)</f>
        <v>-999</v>
      </c>
      <c r="CV124" s="27">
        <f>IF(AY124&lt;&gt;-999,AY124*$CS124, -999)</f>
        <v>-3911135.7541417</v>
      </c>
      <c r="CW124">
        <f t="shared" si="51"/>
        <v>-48.780999999999999</v>
      </c>
      <c r="CX124">
        <f>IF(AZ124&lt;&gt;-999,AZ124*$CO124, -999)</f>
        <v>-30518134.746182844</v>
      </c>
      <c r="CY124">
        <f>IF(BA124&lt;&gt;-999,BA124*$CO124, -999)</f>
        <v>-999</v>
      </c>
      <c r="CZ124" s="27">
        <f>IF(BB124&lt;&gt;-999,BB124*$CO124, -999)</f>
        <v>-30518134.746182844</v>
      </c>
      <c r="DA124">
        <f t="shared" si="52"/>
        <v>-48.155000000000001</v>
      </c>
      <c r="DB124">
        <f>IF(BC124&lt;&gt;-999,BC124*$DA124, -999)</f>
        <v>-6380484.3418471888</v>
      </c>
      <c r="DC124">
        <f>IF(BD124&lt;&gt;-999,BD124*$DA124, -999)</f>
        <v>-999</v>
      </c>
      <c r="DD124" s="27">
        <f>IF(BE124&lt;&gt;-999,BE124*$DA124, -999)</f>
        <v>-6380484.3418471888</v>
      </c>
      <c r="DE124">
        <f t="shared" si="53"/>
        <v>-52.227000000000004</v>
      </c>
      <c r="DF124">
        <f>IF(BF124&lt;&gt;-999,BF124*$DE124, -999)</f>
        <v>-1528378.9845273581</v>
      </c>
      <c r="DG124">
        <f>IF(BG124&lt;&gt;-999,BG124*$DE124, -999)</f>
        <v>-999</v>
      </c>
      <c r="DH124" s="27">
        <f>IF(BH124&lt;&gt;-999,BH124*$DE124, -999)</f>
        <v>-1528378.9845273581</v>
      </c>
      <c r="DI124">
        <f t="shared" si="54"/>
        <v>-60.94</v>
      </c>
      <c r="DJ124">
        <f>IF(BI124&lt;&gt;-999,BI124*$DI124, -999)</f>
        <v>-14878071.86298167</v>
      </c>
      <c r="DK124">
        <f>IF(BJ124&lt;&gt;-999,BJ124*$DI124, -999)</f>
        <v>-999</v>
      </c>
      <c r="DL124" s="27">
        <f>IF(BK124&lt;&gt;-999,BK124*$DI124, -999)</f>
        <v>-14878071.86298167</v>
      </c>
      <c r="DM124" s="28">
        <f t="shared" si="55"/>
        <v>-73778709.120850027</v>
      </c>
      <c r="DN124" s="22">
        <f t="shared" si="56"/>
        <v>-17.170000000000002</v>
      </c>
      <c r="DO124">
        <f>IF(AT124&lt;&gt;-999,AT124*$DN124, -999)</f>
        <v>-7095264.0696900301</v>
      </c>
      <c r="DP124">
        <f>IF(AU124&lt;&gt;-999,AU124*$DN124, -999)</f>
        <v>-999</v>
      </c>
      <c r="DQ124" s="24">
        <f>IF(AV124&lt;&gt;-999,AV124*$DN124, -999)</f>
        <v>-7095264.0696900301</v>
      </c>
      <c r="DR124">
        <f t="shared" si="57"/>
        <v>-19.943000000000001</v>
      </c>
      <c r="DS124">
        <f>IF(AW124&lt;&gt;-999,AW124*$DR124, -999)</f>
        <v>-1820170.8245594923</v>
      </c>
      <c r="DT124">
        <f>IF(AX124&lt;&gt;-999,AX124*$DR124, -999)</f>
        <v>-999</v>
      </c>
      <c r="DU124" s="24">
        <f>IF(AY124&lt;&gt;-999,AY124*$DR124, -999)</f>
        <v>-1820170.8245594923</v>
      </c>
      <c r="DV124">
        <f t="shared" si="58"/>
        <v>-25.870999999999999</v>
      </c>
      <c r="DW124">
        <f>IF(AZ124&lt;&gt;-999,AZ124*$DV124, -999)</f>
        <v>-19698968.663136136</v>
      </c>
      <c r="DX124">
        <f>IF(BA124&lt;&gt;-999,BA124*$DV124, -999)</f>
        <v>-999</v>
      </c>
      <c r="DY124" s="24">
        <f>IF(BB124&lt;&gt;-999,BB124*$DV124, -999)</f>
        <v>-19698968.663136136</v>
      </c>
      <c r="DZ124">
        <f t="shared" si="59"/>
        <v>-25.245000000000001</v>
      </c>
      <c r="EA124">
        <f>IF(BC124&lt;&gt;-999, BC124*$DZ124, -999)</f>
        <v>-3344934.6321240221</v>
      </c>
      <c r="EB124">
        <f>IF(BD124&lt;&gt;-999, BD124*$DZ124, -999)</f>
        <v>-999</v>
      </c>
      <c r="EC124" s="24">
        <f>IF(BE124&lt;&gt;-999, BE124*$DZ124, -999)</f>
        <v>-3344934.6321240221</v>
      </c>
      <c r="ED124">
        <f t="shared" si="60"/>
        <v>-29.317</v>
      </c>
      <c r="EE124">
        <f>IF(BF124&lt;&gt;-999,BF124*$ED124, -999)</f>
        <v>-857937.21043499641</v>
      </c>
      <c r="EF124">
        <f>IF(BG124&lt;&gt;-999,BG124*$ED124, -999)</f>
        <v>-999</v>
      </c>
      <c r="EG124" s="24">
        <f>IF(BH124&lt;&gt;-999,BH124*$ED124, -999)</f>
        <v>-857937.21043499641</v>
      </c>
      <c r="EH124">
        <f t="shared" si="61"/>
        <v>-38.03</v>
      </c>
      <c r="EI124">
        <f>IF(BI124&lt;&gt;-999,BI124*$EH124, -999)</f>
        <v>-9284756.6942762211</v>
      </c>
      <c r="EJ124">
        <f>IF(BJ124&lt;&gt;-999,BJ124*$EH124, -999)</f>
        <v>-999</v>
      </c>
      <c r="EK124" s="24">
        <f>IF(BK124&lt;&gt;-999,BK124*$EH124, -999)</f>
        <v>-9284756.6942762211</v>
      </c>
      <c r="EL124" s="28">
        <f t="shared" si="62"/>
        <v>-42102032.094220899</v>
      </c>
      <c r="EM124" s="22">
        <f>-17.17-(0.1023*G124)+H124*(100+102.093-66.644-64.243)</f>
        <v>17.781206755507021</v>
      </c>
      <c r="EN124">
        <f>IF(AT124&lt;&gt;-999,AT124*$EM124, -999)</f>
        <v>7347836.7739125565</v>
      </c>
      <c r="EO124">
        <f>IF(AU124&lt;&gt;-999,AU124*$EM124, -999)</f>
        <v>-999</v>
      </c>
      <c r="EP124" s="23">
        <f>IF(AV124&lt;&gt;-999,AV124*$EM124, -999)</f>
        <v>7347836.7739125565</v>
      </c>
      <c r="EQ124">
        <f>-19.943-(0.1023*G124)+H124*(100+102.093-66.644-64.243)</f>
        <v>15.008206755507025</v>
      </c>
      <c r="ER124">
        <f>IF(AW124&lt;&gt;-999,AW124*$EQ124, -999)</f>
        <v>1369778.8730547342</v>
      </c>
      <c r="ES124">
        <f>IF(AX124&lt;&gt;-999,AX124*$EQ124, -999)</f>
        <v>-999</v>
      </c>
      <c r="ET124" s="23">
        <f>IF(AY124&lt;&gt;-999,AY124*$EQ124, -999)</f>
        <v>1369778.8730547342</v>
      </c>
      <c r="EU124">
        <f>-25.871-(0.1023*G124)+H124*(100+102.093-66.644-64.243)</f>
        <v>9.080206755507028</v>
      </c>
      <c r="EV124">
        <f>IF(AZ124&lt;&gt;-999,AZ124*$EU124, -999)</f>
        <v>6913946.4393154494</v>
      </c>
      <c r="EW124">
        <f>IF(BA124&lt;&gt;-999,BA124*$EU124, -999)</f>
        <v>-999</v>
      </c>
      <c r="EX124" s="23">
        <f>IF(BB124&lt;&gt;-999,BB124*$EU124, -999)</f>
        <v>6913946.4393154494</v>
      </c>
      <c r="EY124">
        <f>-25.245-(0.1023*G124)+H124*(100+102.093-66.644-64.243)</f>
        <v>9.7062067555070257</v>
      </c>
      <c r="EZ124">
        <f>IF(BC124&lt;&gt;-999, BC124*$EY124, -999)</f>
        <v>1286061.6804536181</v>
      </c>
      <c r="FA124">
        <f>IF(BD124&lt;&gt;-999, BD124*$EY124, -999)</f>
        <v>-999</v>
      </c>
      <c r="FB124" s="23">
        <f>IF(BE124&lt;&gt;-999, BE124*$EY124, -999)</f>
        <v>1286061.6804536181</v>
      </c>
      <c r="FC124">
        <f>-29.317-(0.1023*G124)+H124*(100+102.093-66.644-64.243)</f>
        <v>5.6342067555070301</v>
      </c>
      <c r="FD124">
        <f>IF(BF124&lt;&gt;-999,BF124*$FC124, -999)</f>
        <v>164880.2956248495</v>
      </c>
      <c r="FE124">
        <f>IF(BG124&lt;&gt;-999,BG124*$FC124, -999)</f>
        <v>-999</v>
      </c>
      <c r="FF124" s="23">
        <f>IF(BH124&lt;&gt;-999,BH124*$FC124, -999)</f>
        <v>164880.2956248495</v>
      </c>
      <c r="FG124">
        <f>-38.03-(0.1023*G124)+H124*(100+102.093-66.644-64.243)</f>
        <v>-3.078793244492978</v>
      </c>
      <c r="FH124">
        <f>IF(BI124&lt;&gt;-999,BI124*$FG124, -999)</f>
        <v>-751665.68990530074</v>
      </c>
      <c r="FI124">
        <f>IF(BJ124&lt;&gt;-999,BJ124*$FG124, -999)</f>
        <v>-999</v>
      </c>
      <c r="FJ124" s="23">
        <f>IF(BK124&lt;&gt;-999,BK124*$FG124, -999)</f>
        <v>-751665.68990530074</v>
      </c>
      <c r="FK124" s="28">
        <f t="shared" si="63"/>
        <v>16330838.372455906</v>
      </c>
      <c r="FL124" s="22">
        <f t="shared" si="66"/>
        <v>10.012280000000011</v>
      </c>
      <c r="FM124">
        <f>IF(AT124&lt;&gt;-999,AT124*$FL124, -999)</f>
        <v>4137435.6749956999</v>
      </c>
      <c r="FN124">
        <f>IF(AU124&lt;&gt;-999,AU124*$FL124, -999)</f>
        <v>-999</v>
      </c>
      <c r="FO124" s="29">
        <f>IF(AV124&lt;&gt;-999,AV124*$FL124, -999)</f>
        <v>4137435.6749956999</v>
      </c>
      <c r="FP124">
        <f t="shared" si="67"/>
        <v>7.2392800000000115</v>
      </c>
      <c r="FQ124">
        <f>IF(AW124&lt;&gt;-999,AW124*$FP124, -999)</f>
        <v>660719.36252404656</v>
      </c>
      <c r="FR124">
        <f>IF(AX124&lt;&gt;-999,AX124*$FP124, -999)</f>
        <v>-999</v>
      </c>
      <c r="FS124" s="29">
        <f>IF(AY124&lt;&gt;-999,AY124*$FP124, -999)</f>
        <v>660719.36252404656</v>
      </c>
      <c r="FT124">
        <f t="shared" si="68"/>
        <v>1.3112800000000142</v>
      </c>
      <c r="FU124">
        <f>IF(AZ124&lt;&gt;-999,AZ124*$FT124, -999)</f>
        <v>998448.59605726227</v>
      </c>
      <c r="FV124">
        <f>IF(BA124&lt;&gt;-999,BA124*$FT124, -999)</f>
        <v>-999</v>
      </c>
      <c r="FW124" s="29">
        <f>IF(BB124&lt;&gt;-999,BB124*$FT124, -999)</f>
        <v>998448.59605726227</v>
      </c>
      <c r="FX124">
        <f t="shared" si="69"/>
        <v>1.9372800000000119</v>
      </c>
      <c r="FY124">
        <f>IF(BC124&lt;&gt;-999, BC124*$FX124, -999)</f>
        <v>256687.46144271203</v>
      </c>
      <c r="FZ124">
        <f>IF(BD124&lt;&gt;-999, BD124*$FX124, -999)</f>
        <v>-999</v>
      </c>
      <c r="GA124" s="29">
        <f>IF(BE124&lt;&gt;-999, BE124*$FX124, -999)</f>
        <v>256687.46144271203</v>
      </c>
      <c r="GB124">
        <f t="shared" si="70"/>
        <v>-2.1347199999999873</v>
      </c>
      <c r="GC124">
        <f>IF(BF124&lt;&gt;-999,BF124*$GB124, -999)</f>
        <v>-62470.775381511907</v>
      </c>
      <c r="GD124">
        <f>IF(BG124&lt;&gt;-999,BG124*$GB124, -999)</f>
        <v>-999</v>
      </c>
      <c r="GE124" s="29">
        <f>IF(BH124&lt;&gt;-999,BH124*$GB124, -999)</f>
        <v>-62470.775381511907</v>
      </c>
      <c r="GF124">
        <f t="shared" si="71"/>
        <v>-10.847719999999988</v>
      </c>
      <c r="GG124">
        <f>IF(BI124&lt;&gt;-999,BI124*$GF124, -999)</f>
        <v>-2648394.448793951</v>
      </c>
      <c r="GH124">
        <f>IF(BJ124&lt;&gt;-999,BJ124*$GF124, -999)</f>
        <v>-999</v>
      </c>
      <c r="GI124" s="29">
        <f>IF(BK124&lt;&gt;-999,BK124*$GF124, -999)</f>
        <v>-2648394.448793951</v>
      </c>
      <c r="GJ124" s="30">
        <f t="shared" si="64"/>
        <v>3342425.8708442575</v>
      </c>
    </row>
    <row r="125" spans="1:192">
      <c r="A125" s="48" t="s">
        <v>153</v>
      </c>
      <c r="B125" s="48" t="s">
        <v>257</v>
      </c>
      <c r="C125" s="49">
        <v>122</v>
      </c>
      <c r="D125" s="50">
        <v>0.59099999999999997</v>
      </c>
      <c r="E125" s="49">
        <v>176.46165350652799</v>
      </c>
      <c r="F125" s="49">
        <v>0.77346379692977996</v>
      </c>
      <c r="G125" s="49">
        <v>129.343589883188</v>
      </c>
      <c r="H125" s="49">
        <v>0.81427599486011604</v>
      </c>
      <c r="I125" s="42">
        <v>43569.9</v>
      </c>
      <c r="J125" s="43">
        <v>63112.6</v>
      </c>
      <c r="K125" s="43">
        <f t="shared" si="39"/>
        <v>106682.5</v>
      </c>
      <c r="L125" s="43">
        <v>32713.3</v>
      </c>
      <c r="M125" s="43">
        <v>47386.5</v>
      </c>
      <c r="N125" s="43">
        <f t="shared" si="40"/>
        <v>80099.8</v>
      </c>
      <c r="O125" s="43">
        <v>39116.400000000001</v>
      </c>
      <c r="P125" s="43">
        <v>56661.599999999999</v>
      </c>
      <c r="Q125" s="43">
        <f t="shared" si="41"/>
        <v>95778</v>
      </c>
      <c r="R125" s="43">
        <v>70148.7</v>
      </c>
      <c r="S125" s="43">
        <v>101613</v>
      </c>
      <c r="T125" s="43">
        <f t="shared" si="42"/>
        <v>171761.7</v>
      </c>
      <c r="U125" s="43">
        <v>52669.4</v>
      </c>
      <c r="V125" s="43">
        <v>76293.5</v>
      </c>
      <c r="W125" s="43">
        <f t="shared" si="43"/>
        <v>128962.9</v>
      </c>
      <c r="X125" s="43">
        <v>62978.5</v>
      </c>
      <c r="Y125" s="43">
        <v>91226.6</v>
      </c>
      <c r="Z125" s="43">
        <f t="shared" si="44"/>
        <v>154205.1</v>
      </c>
      <c r="AA125" s="22">
        <v>1262883.8</v>
      </c>
      <c r="AB125">
        <v>2498613.5</v>
      </c>
      <c r="AC125">
        <v>3761497.2</v>
      </c>
      <c r="AD125">
        <v>948203.3</v>
      </c>
      <c r="AE125">
        <v>1876018.7</v>
      </c>
      <c r="AF125">
        <v>2824222.1</v>
      </c>
      <c r="AG125">
        <v>1133798.3</v>
      </c>
      <c r="AH125">
        <v>2243218.1</v>
      </c>
      <c r="AI125">
        <v>3377016.4</v>
      </c>
      <c r="AJ125">
        <v>2033276.6</v>
      </c>
      <c r="AK125">
        <v>4022834.4</v>
      </c>
      <c r="AL125">
        <v>6056111</v>
      </c>
      <c r="AM125">
        <v>1526632.7</v>
      </c>
      <c r="AN125">
        <v>3020440.3</v>
      </c>
      <c r="AO125">
        <v>4547073</v>
      </c>
      <c r="AP125">
        <v>1825445.6</v>
      </c>
      <c r="AQ125">
        <v>3611641</v>
      </c>
      <c r="AR125">
        <v>5437086.5</v>
      </c>
      <c r="AS125">
        <v>26003006.23</v>
      </c>
      <c r="AT125" s="22">
        <f t="shared" si="77"/>
        <v>2102303.0555890049</v>
      </c>
      <c r="AU125">
        <f t="shared" si="77"/>
        <v>4159403.1024754127</v>
      </c>
      <c r="AV125">
        <f t="shared" si="77"/>
        <v>6261705.9915959705</v>
      </c>
      <c r="AW125">
        <f t="shared" si="77"/>
        <v>1578459.3126537676</v>
      </c>
      <c r="AX125">
        <f t="shared" si="77"/>
        <v>3122979.2046996825</v>
      </c>
      <c r="AY125">
        <f t="shared" si="77"/>
        <v>4701438.683821898</v>
      </c>
      <c r="AZ125">
        <f t="shared" si="77"/>
        <v>1887416.4277913924</v>
      </c>
      <c r="BA125">
        <f t="shared" si="76"/>
        <v>3734250.3451089975</v>
      </c>
      <c r="BB125">
        <f t="shared" si="76"/>
        <v>5621666.7729003895</v>
      </c>
      <c r="BC125">
        <f t="shared" si="76"/>
        <v>3384763.9894007854</v>
      </c>
      <c r="BD125">
        <f t="shared" si="76"/>
        <v>6696749.9711759398</v>
      </c>
      <c r="BE125">
        <f t="shared" si="76"/>
        <v>10081513.960576726</v>
      </c>
      <c r="BF125">
        <f t="shared" si="76"/>
        <v>2541361.7547173323</v>
      </c>
      <c r="BG125">
        <f t="shared" si="76"/>
        <v>5028080.0750743421</v>
      </c>
      <c r="BH125">
        <f t="shared" si="76"/>
        <v>7569441.8297916753</v>
      </c>
      <c r="BI125">
        <f t="shared" si="76"/>
        <v>3038790.9502770603</v>
      </c>
      <c r="BJ125">
        <f t="shared" si="75"/>
        <v>6012242.7019734755</v>
      </c>
      <c r="BK125">
        <f t="shared" si="75"/>
        <v>9051033.4857820868</v>
      </c>
      <c r="BL125">
        <f t="shared" si="75"/>
        <v>43286800.774409279</v>
      </c>
      <c r="BM125" s="22">
        <f>-17.17-(0.1023*E125)+F125*(100-8.576-13.681)</f>
        <v>24.909368810994074</v>
      </c>
      <c r="BN125">
        <f>IF(AT125&lt;&gt;-999,AT125*$BM125, -999)</f>
        <v>52367042.164146297</v>
      </c>
      <c r="BO125">
        <f>IF(AU125&lt;&gt;-999,AU125*$BM125, -999)</f>
        <v>103608105.91315304</v>
      </c>
      <c r="BP125" s="25">
        <f>IF(AV125&lt;&gt;-999,AV125*$BM125, -999)</f>
        <v>155975143.93067539</v>
      </c>
      <c r="BQ125">
        <f>-19.943-(0.1023*E125)+F125*(100-8.576-13.681)</f>
        <v>22.136368810994078</v>
      </c>
      <c r="BR125">
        <f>IF(AW125&lt;&gt;-999,AW125*$BQ125, -999)</f>
        <v>34941357.498052016</v>
      </c>
      <c r="BS125">
        <f>IF(AX125&lt;&gt;-999,AX125*$BQ125, -999)</f>
        <v>69131419.464297146</v>
      </c>
      <c r="BT125" s="25">
        <f>IF(AY125&lt;&gt;-999,AY125*$BQ125, -999)</f>
        <v>104072780.64735611</v>
      </c>
      <c r="BU125">
        <f>-25.871-(0.1023*E125)+F125*(100-8.576-13.681)</f>
        <v>16.208368810994081</v>
      </c>
      <c r="BV125">
        <f>IF(AZ125&lt;&gt;-999,AZ125*$BU125, -999)</f>
        <v>30591941.561571866</v>
      </c>
      <c r="BW125">
        <f>IF(BA125&lt;&gt;-999,BA125*$BU125, -999)</f>
        <v>60526106.82610856</v>
      </c>
      <c r="BX125" s="25">
        <f>IF(BB125&lt;&gt;-999,BB125*$BU125, -999)</f>
        <v>91118048.387680411</v>
      </c>
      <c r="BY125">
        <f>-25.245-(0.1023*E125)+F125*(100-8.576-13.681)</f>
        <v>16.834368810994079</v>
      </c>
      <c r="BZ125">
        <f>IF(BC125&lt;&gt;-999,BC125*$BY125, -999)</f>
        <v>56980365.33574447</v>
      </c>
      <c r="CA125">
        <f>IF(BD125&lt;&gt;-999,BD125*$BY125, -999)</f>
        <v>112735558.84978974</v>
      </c>
      <c r="CB125" s="25">
        <f>IF(BE125&lt;&gt;-999,BE125*$BY125, -999)</f>
        <v>169715924.18553424</v>
      </c>
      <c r="CC125">
        <f>-29.317-(0.1023*E125)+F125*(100-8.576-13.681)</f>
        <v>12.762368810994083</v>
      </c>
      <c r="CD125">
        <f>IF(BF125&lt;&gt;-999,BF125*$CC125, -999)</f>
        <v>32433795.995857678</v>
      </c>
      <c r="CE125">
        <f>IF(BG125&lt;&gt;-999,BG125*$CC125, -999)</f>
        <v>64170212.329309568</v>
      </c>
      <c r="CF125" s="25">
        <f>IF(BH125&lt;&gt;-999,BH125*$CC125, -999)</f>
        <v>96604008.325167254</v>
      </c>
      <c r="CG125">
        <f>-38.03-(0.1023*E125)+F125*(100-8.576-13.681)</f>
        <v>4.0493688109940749</v>
      </c>
      <c r="CH125">
        <f>IF(BI125&lt;&gt;-999,BI125*$CG125, -999)</f>
        <v>12305185.297182975</v>
      </c>
      <c r="CI125">
        <f>IF(BJ125&lt;&gt;-999,BJ125*$CG125, -999)</f>
        <v>24345788.081498135</v>
      </c>
      <c r="CJ125" s="25">
        <f>IF(BK125&lt;&gt;-999,BK125*$CG125, -999)</f>
        <v>36650972.704588965</v>
      </c>
      <c r="CK125" s="26">
        <f t="shared" si="45"/>
        <v>654136878.18100238</v>
      </c>
      <c r="CL125">
        <f t="shared" si="46"/>
        <v>-26.579122642352274</v>
      </c>
      <c r="CM125">
        <f t="shared" si="47"/>
        <v>32.176051394740753</v>
      </c>
      <c r="CN125">
        <f t="shared" si="48"/>
        <v>-84.319381691677265</v>
      </c>
      <c r="CO125" s="22">
        <f t="shared" si="49"/>
        <v>-40.08</v>
      </c>
      <c r="CP125">
        <f>IF(AT125&lt;&gt;-999,AT125*$CO125, -999)</f>
        <v>-84260306.468007311</v>
      </c>
      <c r="CQ125">
        <f>IF(AU125&lt;&gt;-999,AU125*$CO125, -999)</f>
        <v>-166708876.34721452</v>
      </c>
      <c r="CR125" s="27">
        <f>IF(AV125&lt;&gt;-999,AV125*$CO125, -999)</f>
        <v>-250969176.14316648</v>
      </c>
      <c r="CS125">
        <f t="shared" si="50"/>
        <v>-42.853000000000002</v>
      </c>
      <c r="CT125">
        <f>IF(AW125&lt;&gt;-999,AW125*$CS125, -999)</f>
        <v>-67641716.925151914</v>
      </c>
      <c r="CU125">
        <f>IF(AX125&lt;&gt;-999,AX125*$CS125, -999)</f>
        <v>-133829027.8589955</v>
      </c>
      <c r="CV125" s="27">
        <f>IF(AY125&lt;&gt;-999,AY125*$CS125, -999)</f>
        <v>-201470751.9178198</v>
      </c>
      <c r="CW125">
        <f t="shared" si="51"/>
        <v>-48.780999999999999</v>
      </c>
      <c r="CX125">
        <f>IF(AZ125&lt;&gt;-999,AZ125*$CO125, -999)</f>
        <v>-75647650.425879002</v>
      </c>
      <c r="CY125">
        <f>IF(BA125&lt;&gt;-999,BA125*$CO125, -999)</f>
        <v>-149668753.83196861</v>
      </c>
      <c r="CZ125" s="27">
        <f>IF(BB125&lt;&gt;-999,BB125*$CO125, -999)</f>
        <v>-225316404.25784761</v>
      </c>
      <c r="DA125">
        <f t="shared" si="52"/>
        <v>-48.155000000000001</v>
      </c>
      <c r="DB125">
        <f>IF(BC125&lt;&gt;-999,BC125*$DA125, -999)</f>
        <v>-162993309.90959483</v>
      </c>
      <c r="DC125">
        <f>IF(BD125&lt;&gt;-999,BD125*$DA125, -999)</f>
        <v>-322481994.8619774</v>
      </c>
      <c r="DD125" s="27">
        <f>IF(BE125&lt;&gt;-999,BE125*$DA125, -999)</f>
        <v>-485475304.77157223</v>
      </c>
      <c r="DE125">
        <f t="shared" si="53"/>
        <v>-52.227000000000004</v>
      </c>
      <c r="DF125">
        <f>IF(BF125&lt;&gt;-999,BF125*$DE125, -999)</f>
        <v>-132727700.36362213</v>
      </c>
      <c r="DG125">
        <f>IF(BG125&lt;&gt;-999,BG125*$DE125, -999)</f>
        <v>-262601538.08090767</v>
      </c>
      <c r="DH125" s="27">
        <f>IF(BH125&lt;&gt;-999,BH125*$DE125, -999)</f>
        <v>-395329238.44452983</v>
      </c>
      <c r="DI125">
        <f t="shared" si="54"/>
        <v>-60.94</v>
      </c>
      <c r="DJ125">
        <f>IF(BI125&lt;&gt;-999,BI125*$DI125, -999)</f>
        <v>-185183920.50988406</v>
      </c>
      <c r="DK125">
        <f>IF(BJ125&lt;&gt;-999,BJ125*$DI125, -999)</f>
        <v>-366386070.25826359</v>
      </c>
      <c r="DL125" s="27">
        <f>IF(BK125&lt;&gt;-999,BK125*$DI125, -999)</f>
        <v>-551569980.62356031</v>
      </c>
      <c r="DM125" s="28">
        <f t="shared" si="55"/>
        <v>-2110130856.1584959</v>
      </c>
      <c r="DN125" s="22">
        <f t="shared" si="56"/>
        <v>-17.170000000000002</v>
      </c>
      <c r="DO125">
        <f>IF(AT125&lt;&gt;-999,AT125*$DN125, -999)</f>
        <v>-36096543.464463219</v>
      </c>
      <c r="DP125">
        <f>IF(AU125&lt;&gt;-999,AU125*$DN125, -999)</f>
        <v>-71416951.269502848</v>
      </c>
      <c r="DQ125" s="24">
        <f>IF(AV125&lt;&gt;-999,AV125*$DN125, -999)</f>
        <v>-107513491.87570283</v>
      </c>
      <c r="DR125">
        <f t="shared" si="57"/>
        <v>-19.943000000000001</v>
      </c>
      <c r="DS125">
        <f>IF(AW125&lt;&gt;-999,AW125*$DR125, -999)</f>
        <v>-31479214.072254092</v>
      </c>
      <c r="DT125">
        <f>IF(AX125&lt;&gt;-999,AX125*$DR125, -999)</f>
        <v>-62281574.279325776</v>
      </c>
      <c r="DU125" s="24">
        <f>IF(AY125&lt;&gt;-999,AY125*$DR125, -999)</f>
        <v>-93760791.671460122</v>
      </c>
      <c r="DV125">
        <f t="shared" si="58"/>
        <v>-25.870999999999999</v>
      </c>
      <c r="DW125">
        <f>IF(AZ125&lt;&gt;-999,AZ125*$DV125, -999)</f>
        <v>-48829350.403391108</v>
      </c>
      <c r="DX125">
        <f>IF(BA125&lt;&gt;-999,BA125*$DV125, -999)</f>
        <v>-96608790.678314865</v>
      </c>
      <c r="DY125" s="24">
        <f>IF(BB125&lt;&gt;-999,BB125*$DV125, -999)</f>
        <v>-145438141.08170596</v>
      </c>
      <c r="DZ125">
        <f t="shared" si="59"/>
        <v>-25.245000000000001</v>
      </c>
      <c r="EA125">
        <f>IF(BC125&lt;&gt;-999, BC125*$DZ125, -999)</f>
        <v>-85448366.912422836</v>
      </c>
      <c r="EB125">
        <f>IF(BD125&lt;&gt;-999, BD125*$DZ125, -999)</f>
        <v>-169059453.0223366</v>
      </c>
      <c r="EC125" s="24">
        <f>IF(BE125&lt;&gt;-999, BE125*$DZ125, -999)</f>
        <v>-254507819.93475947</v>
      </c>
      <c r="ED125">
        <f t="shared" si="60"/>
        <v>-29.317</v>
      </c>
      <c r="EE125">
        <f>IF(BF125&lt;&gt;-999,BF125*$ED125, -999)</f>
        <v>-74505102.563048035</v>
      </c>
      <c r="EF125">
        <f>IF(BG125&lt;&gt;-999,BG125*$ED125, -999)</f>
        <v>-147408223.56095448</v>
      </c>
      <c r="EG125" s="24">
        <f>IF(BH125&lt;&gt;-999,BH125*$ED125, -999)</f>
        <v>-221913326.12400255</v>
      </c>
      <c r="EH125">
        <f t="shared" si="61"/>
        <v>-38.03</v>
      </c>
      <c r="EI125">
        <f>IF(BI125&lt;&gt;-999,BI125*$EH125, -999)</f>
        <v>-115565219.8390366</v>
      </c>
      <c r="EJ125">
        <f>IF(BJ125&lt;&gt;-999,BJ125*$EH125, -999)</f>
        <v>-228645589.95605129</v>
      </c>
      <c r="EK125" s="24">
        <f>IF(BK125&lt;&gt;-999,BK125*$EH125, -999)</f>
        <v>-344210803.46429276</v>
      </c>
      <c r="EL125" s="28">
        <f t="shared" si="62"/>
        <v>-1167344374.1519237</v>
      </c>
      <c r="EM125" s="22">
        <f>-17.17-(0.1023*G125)+H125*(100+102.093-66.644-64.243)</f>
        <v>27.579487244959303</v>
      </c>
      <c r="EN125">
        <f>IF(AT125&lt;&gt;-999,AT125*$EM125, -999)</f>
        <v>57980440.306655928</v>
      </c>
      <c r="EO125">
        <f>IF(AU125&lt;&gt;-999,AU125*$EM125, -999)</f>
        <v>114714204.8113648</v>
      </c>
      <c r="EP125" s="23">
        <f>IF(AV125&lt;&gt;-999,AV125*$EM125, -999)</f>
        <v>172694640.52690631</v>
      </c>
      <c r="EQ125">
        <f>-19.943-(0.1023*G125)+H125*(100+102.093-66.644-64.243)</f>
        <v>24.806487244959307</v>
      </c>
      <c r="ER125">
        <f>IF(AW125&lt;&gt;-999,AW125*$EQ125, -999)</f>
        <v>39156030.806032918</v>
      </c>
      <c r="ES125">
        <f>IF(AX125&lt;&gt;-999,AX125*$EQ125, -999)</f>
        <v>77470143.807655841</v>
      </c>
      <c r="ET125" s="23">
        <f>IF(AY125&lt;&gt;-999,AY125*$EQ125, -999)</f>
        <v>116626178.74318618</v>
      </c>
      <c r="EU125">
        <f>-25.871-(0.1023*G125)+H125*(100+102.093-66.644-64.243)</f>
        <v>18.87848724495931</v>
      </c>
      <c r="EV125">
        <f>IF(AZ125&lt;&gt;-999,AZ125*$EU125, -999)</f>
        <v>35631566.957986467</v>
      </c>
      <c r="EW125">
        <f>IF(BA125&lt;&gt;-999,BA125*$EU125, -999)</f>
        <v>70496997.509625107</v>
      </c>
      <c r="EX125" s="23">
        <f>IF(BB125&lt;&gt;-999,BB125*$EU125, -999)</f>
        <v>106128564.46761157</v>
      </c>
      <c r="EY125">
        <f>-25.245-(0.1023*G125)+H125*(100+102.093-66.644-64.243)</f>
        <v>19.504487244959307</v>
      </c>
      <c r="EZ125">
        <f>IF(BC125&lt;&gt;-999, BC125*$EY125, -999)</f>
        <v>66018086.058465198</v>
      </c>
      <c r="FA125">
        <f>IF(BD125&lt;&gt;-999, BD125*$EY125, -999)</f>
        <v>130616674.39548272</v>
      </c>
      <c r="FB125" s="23">
        <f>IF(BE125&lt;&gt;-999, BE125*$EY125, -999)</f>
        <v>196634760.45394793</v>
      </c>
      <c r="FC125">
        <f>-29.317-(0.1023*G125)+H125*(100+102.093-66.644-64.243)</f>
        <v>15.432487244959304</v>
      </c>
      <c r="FD125">
        <f>IF(BF125&lt;&gt;-999,BF125*$FC125, -999)</f>
        <v>39219532.864502624</v>
      </c>
      <c r="FE125">
        <f>IF(BG125&lt;&gt;-999,BG125*$FC125, -999)</f>
        <v>77595781.625218809</v>
      </c>
      <c r="FF125" s="23">
        <f>IF(BH125&lt;&gt;-999,BH125*$FC125, -999)</f>
        <v>116815314.48972145</v>
      </c>
      <c r="FG125">
        <f>-38.03-(0.1023*G125)+H125*(100+102.093-66.644-64.243)</f>
        <v>6.7194872449593035</v>
      </c>
      <c r="FH125">
        <f>IF(BI125&lt;&gt;-999,BI125*$FG125, -999)</f>
        <v>20419117.030484468</v>
      </c>
      <c r="FI125">
        <f>IF(BJ125&lt;&gt;-999,BJ125*$FG125, -999)</f>
        <v>40399188.149510428</v>
      </c>
      <c r="FJ125" s="23">
        <f>IF(BK125&lt;&gt;-999,BK125*$FG125, -999)</f>
        <v>60818304.061412275</v>
      </c>
      <c r="FK125" s="28">
        <f t="shared" si="63"/>
        <v>769717762.74278569</v>
      </c>
      <c r="FL125" s="22">
        <f t="shared" si="66"/>
        <v>10.012280000000011</v>
      </c>
      <c r="FM125">
        <f>IF(AT125&lt;&gt;-999,AT125*$FL125, -999)</f>
        <v>21048846.837412704</v>
      </c>
      <c r="FN125">
        <f>IF(AU125&lt;&gt;-999,AU125*$FL125, -999)</f>
        <v>41645108.494852573</v>
      </c>
      <c r="FO125" s="29">
        <f>IF(AV125&lt;&gt;-999,AV125*$FL125, -999)</f>
        <v>62693953.665536575</v>
      </c>
      <c r="FP125">
        <f t="shared" si="67"/>
        <v>7.2392800000000115</v>
      </c>
      <c r="FQ125">
        <f>IF(AW125&lt;&gt;-999,AW125*$FP125, -999)</f>
        <v>11426908.932908185</v>
      </c>
      <c r="FR125">
        <f>IF(AX125&lt;&gt;-999,AX125*$FP125, -999)</f>
        <v>22608120.896998353</v>
      </c>
      <c r="FS125" s="29">
        <f>IF(AY125&lt;&gt;-999,AY125*$FP125, -999)</f>
        <v>34035031.035018243</v>
      </c>
      <c r="FT125">
        <f t="shared" si="68"/>
        <v>1.3112800000000142</v>
      </c>
      <c r="FU125">
        <f>IF(AZ125&lt;&gt;-999,AZ125*$FT125, -999)</f>
        <v>2474931.4134343239</v>
      </c>
      <c r="FV125">
        <f>IF(BA125&lt;&gt;-999,BA125*$FT125, -999)</f>
        <v>4896647.7925345795</v>
      </c>
      <c r="FW125" s="29">
        <f>IF(BB125&lt;&gt;-999,BB125*$FT125, -999)</f>
        <v>7371579.2059689024</v>
      </c>
      <c r="FX125">
        <f t="shared" si="69"/>
        <v>1.9372800000000119</v>
      </c>
      <c r="FY125">
        <f>IF(BC125&lt;&gt;-999, BC125*$FX125, -999)</f>
        <v>6557235.5813863939</v>
      </c>
      <c r="FZ125">
        <f>IF(BD125&lt;&gt;-999, BD125*$FX125, -999)</f>
        <v>12973479.784159804</v>
      </c>
      <c r="GA125" s="29">
        <f>IF(BE125&lt;&gt;-999, BE125*$FX125, -999)</f>
        <v>19530715.3655462</v>
      </c>
      <c r="GB125">
        <f t="shared" si="70"/>
        <v>-2.1347199999999873</v>
      </c>
      <c r="GC125">
        <f>IF(BF125&lt;&gt;-999,BF125*$GB125, -999)</f>
        <v>-5425095.7650301512</v>
      </c>
      <c r="GD125">
        <f>IF(BG125&lt;&gt;-999,BG125*$GB125, -999)</f>
        <v>-10733543.097862635</v>
      </c>
      <c r="GE125" s="29">
        <f>IF(BH125&lt;&gt;-999,BH125*$GB125, -999)</f>
        <v>-16158638.86289279</v>
      </c>
      <c r="GF125">
        <f t="shared" si="71"/>
        <v>-10.847719999999988</v>
      </c>
      <c r="GG125">
        <f>IF(BI125&lt;&gt;-999,BI125*$GF125, -999)</f>
        <v>-32963953.367139436</v>
      </c>
      <c r="GH125">
        <f>IF(BJ125&lt;&gt;-999,BJ125*$GF125, -999)</f>
        <v>-65219125.403051637</v>
      </c>
      <c r="GI125" s="29">
        <f>IF(BK125&lt;&gt;-999,BK125*$GF125, -999)</f>
        <v>-98183076.964387953</v>
      </c>
      <c r="GJ125" s="30">
        <f t="shared" si="64"/>
        <v>9289563.4447891712</v>
      </c>
    </row>
    <row r="126" spans="1:192">
      <c r="A126" s="48" t="s">
        <v>258</v>
      </c>
      <c r="B126" s="48" t="s">
        <v>259</v>
      </c>
      <c r="C126" s="49">
        <v>2</v>
      </c>
      <c r="D126" s="50">
        <v>0.58799999999999997</v>
      </c>
      <c r="E126" s="49">
        <v>56.587823238223102</v>
      </c>
      <c r="F126" s="49">
        <v>0.79317947980557402</v>
      </c>
      <c r="G126" s="49">
        <v>209.65733437822399</v>
      </c>
      <c r="H126" s="49">
        <v>0.80855004659639895</v>
      </c>
      <c r="I126" s="42">
        <v>15707.9</v>
      </c>
      <c r="J126" s="43">
        <v>-999</v>
      </c>
      <c r="K126" s="43">
        <f t="shared" si="39"/>
        <v>15707.9</v>
      </c>
      <c r="L126" s="43">
        <v>7819.9</v>
      </c>
      <c r="M126" s="43">
        <v>-999</v>
      </c>
      <c r="N126" s="43">
        <f t="shared" si="40"/>
        <v>7819.9</v>
      </c>
      <c r="O126" s="43">
        <v>25203.9</v>
      </c>
      <c r="P126" s="43">
        <v>-999</v>
      </c>
      <c r="Q126" s="43">
        <f t="shared" si="41"/>
        <v>25203.9</v>
      </c>
      <c r="R126" s="43">
        <v>29309.200000000001</v>
      </c>
      <c r="S126" s="43">
        <v>-999</v>
      </c>
      <c r="T126" s="43">
        <f t="shared" si="42"/>
        <v>29309.200000000001</v>
      </c>
      <c r="U126" s="43">
        <v>14591.1</v>
      </c>
      <c r="V126" s="43">
        <v>-999</v>
      </c>
      <c r="W126" s="43">
        <f t="shared" si="43"/>
        <v>14591.1</v>
      </c>
      <c r="X126" s="43">
        <v>47027.7</v>
      </c>
      <c r="Y126" s="43">
        <v>-999</v>
      </c>
      <c r="Z126" s="43">
        <f t="shared" si="44"/>
        <v>47027.7</v>
      </c>
      <c r="AA126" s="22">
        <v>416773.5</v>
      </c>
      <c r="AB126">
        <v>-999</v>
      </c>
      <c r="AC126">
        <v>416773.5</v>
      </c>
      <c r="AD126">
        <v>207483.3</v>
      </c>
      <c r="AE126">
        <v>-999</v>
      </c>
      <c r="AF126">
        <v>207483.3</v>
      </c>
      <c r="AG126">
        <v>668727.9</v>
      </c>
      <c r="AH126">
        <v>-999</v>
      </c>
      <c r="AI126">
        <v>668727.9</v>
      </c>
      <c r="AJ126">
        <v>777652</v>
      </c>
      <c r="AK126">
        <v>-999</v>
      </c>
      <c r="AL126">
        <v>777652</v>
      </c>
      <c r="AM126">
        <v>387140.3</v>
      </c>
      <c r="AN126">
        <v>-999</v>
      </c>
      <c r="AO126">
        <v>387140.3</v>
      </c>
      <c r="AP126">
        <v>1247770.1000000001</v>
      </c>
      <c r="AQ126">
        <v>-999</v>
      </c>
      <c r="AR126">
        <v>1247770.1000000001</v>
      </c>
      <c r="AS126">
        <v>3705547.12</v>
      </c>
      <c r="AT126" s="22">
        <f t="shared" si="77"/>
        <v>693796.37504141242</v>
      </c>
      <c r="AU126">
        <f t="shared" si="77"/>
        <v>-999</v>
      </c>
      <c r="AV126">
        <f t="shared" si="77"/>
        <v>693796.37504141242</v>
      </c>
      <c r="AW126">
        <f t="shared" si="77"/>
        <v>345394.22833176743</v>
      </c>
      <c r="AX126">
        <f t="shared" si="77"/>
        <v>-999</v>
      </c>
      <c r="AY126">
        <f t="shared" si="77"/>
        <v>345394.22833176743</v>
      </c>
      <c r="AZ126">
        <f t="shared" si="77"/>
        <v>1113220.9531293525</v>
      </c>
      <c r="BA126">
        <f t="shared" si="76"/>
        <v>-999</v>
      </c>
      <c r="BB126">
        <f t="shared" si="76"/>
        <v>1113220.9531293525</v>
      </c>
      <c r="BC126">
        <f t="shared" si="76"/>
        <v>1294545.2113526999</v>
      </c>
      <c r="BD126">
        <f t="shared" si="76"/>
        <v>-999</v>
      </c>
      <c r="BE126">
        <f t="shared" si="76"/>
        <v>1294545.2113526999</v>
      </c>
      <c r="BF126">
        <f t="shared" si="76"/>
        <v>644466.44705684239</v>
      </c>
      <c r="BG126">
        <f t="shared" si="76"/>
        <v>-999</v>
      </c>
      <c r="BH126">
        <f t="shared" si="76"/>
        <v>644466.44705684239</v>
      </c>
      <c r="BI126">
        <f t="shared" si="76"/>
        <v>2077143.5138391976</v>
      </c>
      <c r="BJ126">
        <f t="shared" si="75"/>
        <v>-999</v>
      </c>
      <c r="BK126">
        <f t="shared" si="75"/>
        <v>2077143.5138391976</v>
      </c>
      <c r="BL126">
        <f t="shared" si="75"/>
        <v>6168566.7620449625</v>
      </c>
      <c r="BM126" s="22">
        <f>-17.17-(0.1023*E126)+F126*(100-8.576-13.681)</f>
        <v>38.705217981254521</v>
      </c>
      <c r="BN126">
        <f>IF(AT126&lt;&gt;-999,AT126*$BM126, -999)</f>
        <v>26853539.93058208</v>
      </c>
      <c r="BO126">
        <f>IF(AU126&lt;&gt;-999,AU126*$BM126, -999)</f>
        <v>-999</v>
      </c>
      <c r="BP126" s="25">
        <f>IF(AV126&lt;&gt;-999,AV126*$BM126, -999)</f>
        <v>26853539.93058208</v>
      </c>
      <c r="BQ126">
        <f>-19.943-(0.1023*E126)+F126*(100-8.576-13.681)</f>
        <v>35.932217981254524</v>
      </c>
      <c r="BR126">
        <f>IF(AW126&lt;&gt;-999,AW126*$BQ126, -999)</f>
        <v>12410780.701884264</v>
      </c>
      <c r="BS126">
        <f>IF(AX126&lt;&gt;-999,AX126*$BQ126, -999)</f>
        <v>-999</v>
      </c>
      <c r="BT126" s="25">
        <f>IF(AY126&lt;&gt;-999,AY126*$BQ126, -999)</f>
        <v>12410780.701884264</v>
      </c>
      <c r="BU126">
        <f>-25.871-(0.1023*E126)+F126*(100-8.576-13.681)</f>
        <v>30.004217981254527</v>
      </c>
      <c r="BV126">
        <f>IF(AZ126&lt;&gt;-999,AZ126*$BU126, -999)</f>
        <v>33401324.138993021</v>
      </c>
      <c r="BW126">
        <f>IF(BA126&lt;&gt;-999,BA126*$BU126, -999)</f>
        <v>-999</v>
      </c>
      <c r="BX126" s="25">
        <f>IF(BB126&lt;&gt;-999,BB126*$BU126, -999)</f>
        <v>33401324.138993021</v>
      </c>
      <c r="BY126">
        <f>-25.245-(0.1023*E126)+F126*(100-8.576-13.681)</f>
        <v>30.630217981254525</v>
      </c>
      <c r="BZ126">
        <f>IF(BC126&lt;&gt;-999,BC126*$BY126, -999)</f>
        <v>39652202.010322407</v>
      </c>
      <c r="CA126">
        <f>IF(BD126&lt;&gt;-999,BD126*$BY126, -999)</f>
        <v>-999</v>
      </c>
      <c r="CB126" s="25">
        <f>IF(BE126&lt;&gt;-999,BE126*$BY126, -999)</f>
        <v>39652202.010322407</v>
      </c>
      <c r="CC126">
        <f>-29.317-(0.1023*E126)+F126*(100-8.576-13.681)</f>
        <v>26.558217981254522</v>
      </c>
      <c r="CD126">
        <f>IF(BF126&lt;&gt;-999,BF126*$CC126, -999)</f>
        <v>17115880.382540248</v>
      </c>
      <c r="CE126">
        <f>IF(BG126&lt;&gt;-999,BG126*$CC126, -999)</f>
        <v>-999</v>
      </c>
      <c r="CF126" s="25">
        <f>IF(BH126&lt;&gt;-999,BH126*$CC126, -999)</f>
        <v>17115880.382540248</v>
      </c>
      <c r="CG126">
        <f>-38.03-(0.1023*E126)+F126*(100-8.576-13.681)</f>
        <v>17.845217981254521</v>
      </c>
      <c r="CH126">
        <f>IF(BI126&lt;&gt;-999,BI126*$CG126, -999)</f>
        <v>37067078.782809451</v>
      </c>
      <c r="CI126">
        <f>IF(BJ126&lt;&gt;-999,BJ126*$CG126, -999)</f>
        <v>-999</v>
      </c>
      <c r="CJ126" s="25">
        <f>IF(BK126&lt;&gt;-999,BK126*$CG126, -999)</f>
        <v>37067078.782809451</v>
      </c>
      <c r="CK126" s="26">
        <f t="shared" si="45"/>
        <v>166500805.94713145</v>
      </c>
      <c r="CL126">
        <f t="shared" si="46"/>
        <v>-40.825904886791491</v>
      </c>
      <c r="CM126">
        <f t="shared" si="47"/>
        <v>16.4688198974901</v>
      </c>
      <c r="CN126">
        <f t="shared" si="48"/>
        <v>-97.130941939624947</v>
      </c>
      <c r="CO126" s="22">
        <f t="shared" si="49"/>
        <v>-40.08</v>
      </c>
      <c r="CP126">
        <f>IF(AT126&lt;&gt;-999,AT126*$CO126, -999)</f>
        <v>-27807358.711659808</v>
      </c>
      <c r="CQ126">
        <f>IF(AU126&lt;&gt;-999,AU126*$CO126, -999)</f>
        <v>-999</v>
      </c>
      <c r="CR126" s="27">
        <f>IF(AV126&lt;&gt;-999,AV126*$CO126, -999)</f>
        <v>-27807358.711659808</v>
      </c>
      <c r="CS126">
        <f t="shared" si="50"/>
        <v>-42.853000000000002</v>
      </c>
      <c r="CT126">
        <f>IF(AW126&lt;&gt;-999,AW126*$CS126, -999)</f>
        <v>-14801178.86670123</v>
      </c>
      <c r="CU126">
        <f>IF(AX126&lt;&gt;-999,AX126*$CS126, -999)</f>
        <v>-999</v>
      </c>
      <c r="CV126" s="27">
        <f>IF(AY126&lt;&gt;-999,AY126*$CS126, -999)</f>
        <v>-14801178.86670123</v>
      </c>
      <c r="CW126">
        <f t="shared" si="51"/>
        <v>-48.780999999999999</v>
      </c>
      <c r="CX126">
        <f>IF(AZ126&lt;&gt;-999,AZ126*$CO126, -999)</f>
        <v>-44617895.801424451</v>
      </c>
      <c r="CY126">
        <f>IF(BA126&lt;&gt;-999,BA126*$CO126, -999)</f>
        <v>-999</v>
      </c>
      <c r="CZ126" s="27">
        <f>IF(BB126&lt;&gt;-999,BB126*$CO126, -999)</f>
        <v>-44617895.801424451</v>
      </c>
      <c r="DA126">
        <f t="shared" si="52"/>
        <v>-48.155000000000001</v>
      </c>
      <c r="DB126">
        <f>IF(BC126&lt;&gt;-999,BC126*$DA126, -999)</f>
        <v>-62338824.652689263</v>
      </c>
      <c r="DC126">
        <f>IF(BD126&lt;&gt;-999,BD126*$DA126, -999)</f>
        <v>-999</v>
      </c>
      <c r="DD126" s="27">
        <f>IF(BE126&lt;&gt;-999,BE126*$DA126, -999)</f>
        <v>-62338824.652689263</v>
      </c>
      <c r="DE126">
        <f t="shared" si="53"/>
        <v>-52.227000000000004</v>
      </c>
      <c r="DF126">
        <f>IF(BF126&lt;&gt;-999,BF126*$DE126, -999)</f>
        <v>-33658549.130437709</v>
      </c>
      <c r="DG126">
        <f>IF(BG126&lt;&gt;-999,BG126*$DE126, -999)</f>
        <v>-999</v>
      </c>
      <c r="DH126" s="27">
        <f>IF(BH126&lt;&gt;-999,BH126*$DE126, -999)</f>
        <v>-33658549.130437709</v>
      </c>
      <c r="DI126">
        <f t="shared" si="54"/>
        <v>-60.94</v>
      </c>
      <c r="DJ126">
        <f>IF(BI126&lt;&gt;-999,BI126*$DI126, -999)</f>
        <v>-126581125.73336069</v>
      </c>
      <c r="DK126">
        <f>IF(BJ126&lt;&gt;-999,BJ126*$DI126, -999)</f>
        <v>-999</v>
      </c>
      <c r="DL126" s="27">
        <f>IF(BK126&lt;&gt;-999,BK126*$DI126, -999)</f>
        <v>-126581125.73336069</v>
      </c>
      <c r="DM126" s="28">
        <f t="shared" si="55"/>
        <v>-309804932.89627314</v>
      </c>
      <c r="DN126" s="22">
        <f t="shared" si="56"/>
        <v>-17.170000000000002</v>
      </c>
      <c r="DO126">
        <f>IF(AT126&lt;&gt;-999,AT126*$DN126, -999)</f>
        <v>-11912483.759461053</v>
      </c>
      <c r="DP126">
        <f>IF(AU126&lt;&gt;-999,AU126*$DN126, -999)</f>
        <v>-999</v>
      </c>
      <c r="DQ126" s="24">
        <f>IF(AV126&lt;&gt;-999,AV126*$DN126, -999)</f>
        <v>-11912483.759461053</v>
      </c>
      <c r="DR126">
        <f t="shared" si="57"/>
        <v>-19.943000000000001</v>
      </c>
      <c r="DS126">
        <f>IF(AW126&lt;&gt;-999,AW126*$DR126, -999)</f>
        <v>-6888197.0956204385</v>
      </c>
      <c r="DT126">
        <f>IF(AX126&lt;&gt;-999,AX126*$DR126, -999)</f>
        <v>-999</v>
      </c>
      <c r="DU126" s="24">
        <f>IF(AY126&lt;&gt;-999,AY126*$DR126, -999)</f>
        <v>-6888197.0956204385</v>
      </c>
      <c r="DV126">
        <f t="shared" si="58"/>
        <v>-25.870999999999999</v>
      </c>
      <c r="DW126">
        <f>IF(AZ126&lt;&gt;-999,AZ126*$DV126, -999)</f>
        <v>-28800139.278409477</v>
      </c>
      <c r="DX126">
        <f>IF(BA126&lt;&gt;-999,BA126*$DV126, -999)</f>
        <v>-999</v>
      </c>
      <c r="DY126" s="24">
        <f>IF(BB126&lt;&gt;-999,BB126*$DV126, -999)</f>
        <v>-28800139.278409477</v>
      </c>
      <c r="DZ126">
        <f t="shared" si="59"/>
        <v>-25.245000000000001</v>
      </c>
      <c r="EA126">
        <f>IF(BC126&lt;&gt;-999, BC126*$DZ126, -999)</f>
        <v>-32680793.860598911</v>
      </c>
      <c r="EB126">
        <f>IF(BD126&lt;&gt;-999, BD126*$DZ126, -999)</f>
        <v>-999</v>
      </c>
      <c r="EC126" s="24">
        <f>IF(BE126&lt;&gt;-999, BE126*$DZ126, -999)</f>
        <v>-32680793.860598911</v>
      </c>
      <c r="ED126">
        <f t="shared" si="60"/>
        <v>-29.317</v>
      </c>
      <c r="EE126">
        <f>IF(BF126&lt;&gt;-999,BF126*$ED126, -999)</f>
        <v>-18893822.828365449</v>
      </c>
      <c r="EF126">
        <f>IF(BG126&lt;&gt;-999,BG126*$ED126, -999)</f>
        <v>-999</v>
      </c>
      <c r="EG126" s="24">
        <f>IF(BH126&lt;&gt;-999,BH126*$ED126, -999)</f>
        <v>-18893822.828365449</v>
      </c>
      <c r="EH126">
        <f t="shared" si="61"/>
        <v>-38.03</v>
      </c>
      <c r="EI126">
        <f>IF(BI126&lt;&gt;-999,BI126*$EH126, -999)</f>
        <v>-78993767.831304684</v>
      </c>
      <c r="EJ126">
        <f>IF(BJ126&lt;&gt;-999,BJ126*$EH126, -999)</f>
        <v>-999</v>
      </c>
      <c r="EK126" s="24">
        <f>IF(BK126&lt;&gt;-999,BK126*$EH126, -999)</f>
        <v>-78993767.831304684</v>
      </c>
      <c r="EL126" s="28">
        <f t="shared" si="62"/>
        <v>-178169204.65376002</v>
      </c>
      <c r="EM126" s="22">
        <f>-17.17-(0.1023*G126)+H126*(100+102.093-66.644-64.243)</f>
        <v>18.955669311050883</v>
      </c>
      <c r="EN126">
        <f>IF(AT126&lt;&gt;-999,AT126*$EM126, -999)</f>
        <v>13151374.654490851</v>
      </c>
      <c r="EO126">
        <f>IF(AU126&lt;&gt;-999,AU126*$EM126, -999)</f>
        <v>-999</v>
      </c>
      <c r="EP126" s="23">
        <f>IF(AV126&lt;&gt;-999,AV126*$EM126, -999)</f>
        <v>13151374.654490851</v>
      </c>
      <c r="EQ126">
        <f>-19.943-(0.1023*G126)+H126*(100+102.093-66.644-64.243)</f>
        <v>16.18266931105088</v>
      </c>
      <c r="ER126">
        <f>IF(AW126&lt;&gt;-999,AW126*$EQ126, -999)</f>
        <v>5589400.579038593</v>
      </c>
      <c r="ES126">
        <f>IF(AX126&lt;&gt;-999,AX126*$EQ126, -999)</f>
        <v>-999</v>
      </c>
      <c r="ET126" s="23">
        <f>IF(AY126&lt;&gt;-999,AY126*$EQ126, -999)</f>
        <v>5589400.579038593</v>
      </c>
      <c r="EU126">
        <f>-25.871-(0.1023*G126)+H126*(100+102.093-66.644-64.243)</f>
        <v>10.254669311050883</v>
      </c>
      <c r="EV126">
        <f>IF(AZ126&lt;&gt;-999,AZ126*$EU126, -999)</f>
        <v>11415712.744474385</v>
      </c>
      <c r="EW126">
        <f>IF(BA126&lt;&gt;-999,BA126*$EU126, -999)</f>
        <v>-999</v>
      </c>
      <c r="EX126" s="23">
        <f>IF(BB126&lt;&gt;-999,BB126*$EU126, -999)</f>
        <v>11415712.744474385</v>
      </c>
      <c r="EY126">
        <f>-25.245-(0.1023*G126)+H126*(100+102.093-66.644-64.243)</f>
        <v>10.880669311050887</v>
      </c>
      <c r="EZ126">
        <f>IF(BC126&lt;&gt;-999, BC126*$EY126, -999)</f>
        <v>14085518.352933208</v>
      </c>
      <c r="FA126">
        <f>IF(BD126&lt;&gt;-999, BD126*$EY126, -999)</f>
        <v>-999</v>
      </c>
      <c r="FB126" s="23">
        <f>IF(BE126&lt;&gt;-999, BE126*$EY126, -999)</f>
        <v>14085518.352933208</v>
      </c>
      <c r="FC126">
        <f>-29.317-(0.1023*G126)+H126*(100+102.093-66.644-64.243)</f>
        <v>6.8086693110508847</v>
      </c>
      <c r="FD126">
        <f>IF(BF126&lt;&gt;-999,BF126*$FC126, -999)</f>
        <v>4387958.9200779228</v>
      </c>
      <c r="FE126">
        <f>IF(BG126&lt;&gt;-999,BG126*$FC126, -999)</f>
        <v>-999</v>
      </c>
      <c r="FF126" s="23">
        <f>IF(BH126&lt;&gt;-999,BH126*$FC126, -999)</f>
        <v>4387958.9200779228</v>
      </c>
      <c r="FG126">
        <f>-38.03-(0.1023*G126)+H126*(100+102.093-66.644-64.243)</f>
        <v>-1.9043306889491163</v>
      </c>
      <c r="FH126">
        <f>IF(BI126&lt;&gt;-999,BI126*$FG126, -999)</f>
        <v>-3955568.1387555874</v>
      </c>
      <c r="FI126">
        <f>IF(BJ126&lt;&gt;-999,BJ126*$FG126, -999)</f>
        <v>-999</v>
      </c>
      <c r="FJ126" s="23">
        <f>IF(BK126&lt;&gt;-999,BK126*$FG126, -999)</f>
        <v>-3955568.1387555874</v>
      </c>
      <c r="FK126" s="28">
        <f t="shared" si="63"/>
        <v>44674397.112259366</v>
      </c>
      <c r="FL126" s="22">
        <f t="shared" si="66"/>
        <v>10.012280000000011</v>
      </c>
      <c r="FM126">
        <f>IF(AT126&lt;&gt;-999,AT126*$FL126, -999)</f>
        <v>6946483.569899641</v>
      </c>
      <c r="FN126">
        <f>IF(AU126&lt;&gt;-999,AU126*$FL126, -999)</f>
        <v>-999</v>
      </c>
      <c r="FO126" s="29">
        <f>IF(AV126&lt;&gt;-999,AV126*$FL126, -999)</f>
        <v>6946483.569899641</v>
      </c>
      <c r="FP126">
        <f t="shared" si="67"/>
        <v>7.2392800000000115</v>
      </c>
      <c r="FQ126">
        <f>IF(AW126&lt;&gt;-999,AW126*$FP126, -999)</f>
        <v>2500405.5292776013</v>
      </c>
      <c r="FR126">
        <f>IF(AX126&lt;&gt;-999,AX126*$FP126, -999)</f>
        <v>-999</v>
      </c>
      <c r="FS126" s="29">
        <f>IF(AY126&lt;&gt;-999,AY126*$FP126, -999)</f>
        <v>2500405.5292776013</v>
      </c>
      <c r="FT126">
        <f t="shared" si="68"/>
        <v>1.3112800000000142</v>
      </c>
      <c r="FU126">
        <f>IF(AZ126&lt;&gt;-999,AZ126*$FT126, -999)</f>
        <v>1459744.3714194733</v>
      </c>
      <c r="FV126">
        <f>IF(BA126&lt;&gt;-999,BA126*$FT126, -999)</f>
        <v>-999</v>
      </c>
      <c r="FW126" s="29">
        <f>IF(BB126&lt;&gt;-999,BB126*$FT126, -999)</f>
        <v>1459744.3714194733</v>
      </c>
      <c r="FX126">
        <f t="shared" si="69"/>
        <v>1.9372800000000119</v>
      </c>
      <c r="FY126">
        <f>IF(BC126&lt;&gt;-999, BC126*$FX126, -999)</f>
        <v>2507896.5470493739</v>
      </c>
      <c r="FZ126">
        <f>IF(BD126&lt;&gt;-999, BD126*$FX126, -999)</f>
        <v>-999</v>
      </c>
      <c r="GA126" s="29">
        <f>IF(BE126&lt;&gt;-999, BE126*$FX126, -999)</f>
        <v>2507896.5470493739</v>
      </c>
      <c r="GB126">
        <f t="shared" si="70"/>
        <v>-2.1347199999999873</v>
      </c>
      <c r="GC126">
        <f>IF(BF126&lt;&gt;-999,BF126*$GB126, -999)</f>
        <v>-1375755.4138611744</v>
      </c>
      <c r="GD126">
        <f>IF(BG126&lt;&gt;-999,BG126*$GB126, -999)</f>
        <v>-999</v>
      </c>
      <c r="GE126" s="29">
        <f>IF(BH126&lt;&gt;-999,BH126*$GB126, -999)</f>
        <v>-1375755.4138611744</v>
      </c>
      <c r="GF126">
        <f t="shared" si="71"/>
        <v>-10.847719999999988</v>
      </c>
      <c r="GG126">
        <f>IF(BI126&lt;&gt;-999,BI126*$GF126, -999)</f>
        <v>-22532271.237943716</v>
      </c>
      <c r="GH126">
        <f>IF(BJ126&lt;&gt;-999,BJ126*$GF126, -999)</f>
        <v>-999</v>
      </c>
      <c r="GI126" s="29">
        <f>IF(BK126&lt;&gt;-999,BK126*$GF126, -999)</f>
        <v>-22532271.237943716</v>
      </c>
      <c r="GJ126" s="30">
        <f t="shared" si="64"/>
        <v>-10493496.634158803</v>
      </c>
    </row>
    <row r="127" spans="1:192">
      <c r="A127" s="49" t="s">
        <v>161</v>
      </c>
      <c r="B127" s="49" t="s">
        <v>260</v>
      </c>
      <c r="C127" s="49">
        <v>7</v>
      </c>
      <c r="D127" s="50">
        <v>0.57999999999999996</v>
      </c>
      <c r="E127" s="49">
        <v>33.597351948940101</v>
      </c>
      <c r="F127" s="49">
        <v>0.79708574933609</v>
      </c>
      <c r="G127" s="49">
        <v>58.043021201611403</v>
      </c>
      <c r="H127" s="49">
        <v>0.81930880719235599</v>
      </c>
      <c r="I127" s="42">
        <v>13869.4</v>
      </c>
      <c r="J127" s="43">
        <v>10451.4</v>
      </c>
      <c r="K127" s="43">
        <f t="shared" si="39"/>
        <v>24320.799999999999</v>
      </c>
      <c r="L127" s="43">
        <v>11611.7</v>
      </c>
      <c r="M127" s="43">
        <v>8750.1</v>
      </c>
      <c r="N127" s="43">
        <f t="shared" si="40"/>
        <v>20361.800000000003</v>
      </c>
      <c r="O127" s="43">
        <v>27784.7</v>
      </c>
      <c r="P127" s="43">
        <v>20937.400000000001</v>
      </c>
      <c r="Q127" s="43">
        <f t="shared" si="41"/>
        <v>48722.100000000006</v>
      </c>
      <c r="R127" s="43">
        <v>16275.7</v>
      </c>
      <c r="S127" s="43">
        <v>12264.7</v>
      </c>
      <c r="T127" s="43">
        <f t="shared" si="42"/>
        <v>28540.400000000001</v>
      </c>
      <c r="U127" s="43">
        <v>13626.3</v>
      </c>
      <c r="V127" s="43">
        <v>10268.200000000001</v>
      </c>
      <c r="W127" s="43">
        <f t="shared" si="43"/>
        <v>23894.5</v>
      </c>
      <c r="X127" s="43">
        <v>32605.200000000001</v>
      </c>
      <c r="Y127" s="43">
        <v>24570</v>
      </c>
      <c r="Z127" s="43">
        <f t="shared" si="44"/>
        <v>57175.199999999997</v>
      </c>
      <c r="AA127" s="22">
        <v>208873.2</v>
      </c>
      <c r="AB127">
        <v>105640.8</v>
      </c>
      <c r="AC127">
        <v>314514</v>
      </c>
      <c r="AD127">
        <v>174872.2</v>
      </c>
      <c r="AE127">
        <v>88444.3</v>
      </c>
      <c r="AF127">
        <v>263316.5</v>
      </c>
      <c r="AG127">
        <v>418436.8</v>
      </c>
      <c r="AH127">
        <v>211630.9</v>
      </c>
      <c r="AI127">
        <v>630067.69999999995</v>
      </c>
      <c r="AJ127">
        <v>245112.1</v>
      </c>
      <c r="AK127">
        <v>123969.2</v>
      </c>
      <c r="AL127">
        <v>369081.3</v>
      </c>
      <c r="AM127">
        <v>205212</v>
      </c>
      <c r="AN127">
        <v>103789.2</v>
      </c>
      <c r="AO127">
        <v>309001.2</v>
      </c>
      <c r="AP127">
        <v>491034.5</v>
      </c>
      <c r="AQ127">
        <v>248348.3</v>
      </c>
      <c r="AR127">
        <v>739382.7</v>
      </c>
      <c r="AS127">
        <v>2625363.46</v>
      </c>
      <c r="AT127" s="22">
        <f t="shared" si="77"/>
        <v>347707.97328356997</v>
      </c>
      <c r="AU127">
        <f t="shared" si="77"/>
        <v>175858.59968657998</v>
      </c>
      <c r="AV127">
        <f t="shared" si="77"/>
        <v>523566.57297014998</v>
      </c>
      <c r="AW127">
        <f t="shared" si="77"/>
        <v>291107.036449095</v>
      </c>
      <c r="AX127">
        <f t="shared" si="77"/>
        <v>147231.8531122425</v>
      </c>
      <c r="AY127">
        <f t="shared" si="77"/>
        <v>438338.88956133748</v>
      </c>
      <c r="AZ127">
        <f t="shared" si="77"/>
        <v>696565.24472868</v>
      </c>
      <c r="BA127">
        <f t="shared" si="76"/>
        <v>352298.67366027751</v>
      </c>
      <c r="BB127">
        <f t="shared" si="76"/>
        <v>1048863.9183889574</v>
      </c>
      <c r="BC127">
        <f t="shared" si="76"/>
        <v>408034.30750464753</v>
      </c>
      <c r="BD127">
        <f t="shared" si="76"/>
        <v>206369.60261817</v>
      </c>
      <c r="BE127">
        <f t="shared" si="76"/>
        <v>614403.9101228175</v>
      </c>
      <c r="BF127">
        <f t="shared" si="76"/>
        <v>341613.2304837</v>
      </c>
      <c r="BG127">
        <f t="shared" si="76"/>
        <v>172776.26991267002</v>
      </c>
      <c r="BH127">
        <f t="shared" si="76"/>
        <v>514389.50039637007</v>
      </c>
      <c r="BI127">
        <f t="shared" si="76"/>
        <v>817417.50883938756</v>
      </c>
      <c r="BJ127">
        <f t="shared" si="75"/>
        <v>413421.55940264248</v>
      </c>
      <c r="BK127">
        <f t="shared" si="75"/>
        <v>1230838.9017735824</v>
      </c>
      <c r="BL127">
        <f t="shared" si="75"/>
        <v>4370401.7930942839</v>
      </c>
      <c r="BM127" s="22">
        <f>-17.17-(0.1023*E127)+F127*(100-8.576-13.681)</f>
        <v>41.36082830625908</v>
      </c>
      <c r="BN127">
        <f>IF(AT127&lt;&gt;-999,AT127*$BM127, -999)</f>
        <v>14381489.783699056</v>
      </c>
      <c r="BO127">
        <f>IF(AU127&lt;&gt;-999,AU127*$BM127, -999)</f>
        <v>7273657.3478157818</v>
      </c>
      <c r="BP127" s="25">
        <f>IF(AV127&lt;&gt;-999,AV127*$BM127, -999)</f>
        <v>21655147.13151484</v>
      </c>
      <c r="BQ127">
        <f>-19.943-(0.1023*E127)+F127*(100-8.576-13.681)</f>
        <v>38.587828306259084</v>
      </c>
      <c r="BR127">
        <f>IF(AW127&lt;&gt;-999,AW127*$BQ127, -999)</f>
        <v>11233188.341241583</v>
      </c>
      <c r="BS127">
        <f>IF(AX127&lt;&gt;-999,AX127*$BQ127, -999)</f>
        <v>5681357.4691075711</v>
      </c>
      <c r="BT127" s="25">
        <f>IF(AY127&lt;&gt;-999,AY127*$BQ127, -999)</f>
        <v>16914545.810349151</v>
      </c>
      <c r="BU127">
        <f>-25.871-(0.1023*E127)+F127*(100-8.576-13.681)</f>
        <v>32.659828306259087</v>
      </c>
      <c r="BV127">
        <f>IF(AZ127&lt;&gt;-999,AZ127*$BU127, -999)</f>
        <v>22749701.29694603</v>
      </c>
      <c r="BW127">
        <f>IF(BA127&lt;&gt;-999,BA127*$BU127, -999)</f>
        <v>11506014.194267463</v>
      </c>
      <c r="BX127" s="25">
        <f>IF(BB127&lt;&gt;-999,BB127*$BU127, -999)</f>
        <v>34255715.491213493</v>
      </c>
      <c r="BY127">
        <f>-25.245-(0.1023*E127)+F127*(100-8.576-13.681)</f>
        <v>33.285828306259077</v>
      </c>
      <c r="BZ127">
        <f>IF(BC127&lt;&gt;-999,BC127*$BY127, -999)</f>
        <v>13581759.902663017</v>
      </c>
      <c r="CA127">
        <f>IF(BD127&lt;&gt;-999,BD127*$BY127, -999)</f>
        <v>6869183.1603793204</v>
      </c>
      <c r="CB127" s="25">
        <f>IF(BE127&lt;&gt;-999,BE127*$BY127, -999)</f>
        <v>20450943.063042335</v>
      </c>
      <c r="CC127">
        <f>-29.317-(0.1023*E127)+F127*(100-8.576-13.681)</f>
        <v>29.213828306259082</v>
      </c>
      <c r="CD127">
        <f>IF(BF127&lt;&gt;-999,BF127*$CC127, -999)</f>
        <v>9979830.2624973226</v>
      </c>
      <c r="CE127">
        <f>IF(BG127&lt;&gt;-999,BG127*$CC127, -999)</f>
        <v>5047456.2846246185</v>
      </c>
      <c r="CF127" s="25">
        <f>IF(BH127&lt;&gt;-999,BH127*$CC127, -999)</f>
        <v>15027286.547121944</v>
      </c>
      <c r="CG127">
        <f>-38.03-(0.1023*E127)+F127*(100-8.576-13.681)</f>
        <v>20.500828306259081</v>
      </c>
      <c r="CH127">
        <f>IF(BI127&lt;&gt;-999,BI127*$CG127, -999)</f>
        <v>16757736.003246298</v>
      </c>
      <c r="CI127">
        <f>IF(BJ127&lt;&gt;-999,BJ127*$CG127, -999)</f>
        <v>8475484.4074194636</v>
      </c>
      <c r="CJ127" s="25">
        <f>IF(BK127&lt;&gt;-999,BK127*$CG127, -999)</f>
        <v>25233216.9979247</v>
      </c>
      <c r="CK127" s="26">
        <f t="shared" si="45"/>
        <v>133536855.04116647</v>
      </c>
      <c r="CL127">
        <f t="shared" si="46"/>
        <v>-43.467410377752365</v>
      </c>
      <c r="CM127">
        <f t="shared" si="47"/>
        <v>13.546530767039311</v>
      </c>
      <c r="CN127">
        <f t="shared" si="48"/>
        <v>-99.49651394308178</v>
      </c>
      <c r="CO127" s="22">
        <f t="shared" si="49"/>
        <v>-40.08</v>
      </c>
      <c r="CP127">
        <f>IF(AT127&lt;&gt;-999,AT127*$CO127, -999)</f>
        <v>-13936135.569205483</v>
      </c>
      <c r="CQ127">
        <f>IF(AU127&lt;&gt;-999,AU127*$CO127, -999)</f>
        <v>-7048412.6754381256</v>
      </c>
      <c r="CR127" s="27">
        <f>IF(AV127&lt;&gt;-999,AV127*$CO127, -999)</f>
        <v>-20984548.24464361</v>
      </c>
      <c r="CS127">
        <f t="shared" si="50"/>
        <v>-42.853000000000002</v>
      </c>
      <c r="CT127">
        <f>IF(AW127&lt;&gt;-999,AW127*$CS127, -999)</f>
        <v>-12474809.832953069</v>
      </c>
      <c r="CU127">
        <f>IF(AX127&lt;&gt;-999,AX127*$CS127, -999)</f>
        <v>-6309326.6014189282</v>
      </c>
      <c r="CV127" s="27">
        <f>IF(AY127&lt;&gt;-999,AY127*$CS127, -999)</f>
        <v>-18784136.434371997</v>
      </c>
      <c r="CW127">
        <f t="shared" si="51"/>
        <v>-48.780999999999999</v>
      </c>
      <c r="CX127">
        <f>IF(AZ127&lt;&gt;-999,AZ127*$CO127, -999)</f>
        <v>-27918335.008725494</v>
      </c>
      <c r="CY127">
        <f>IF(BA127&lt;&gt;-999,BA127*$CO127, -999)</f>
        <v>-14120130.840303922</v>
      </c>
      <c r="CZ127" s="27">
        <f>IF(BB127&lt;&gt;-999,BB127*$CO127, -999)</f>
        <v>-42038465.849029407</v>
      </c>
      <c r="DA127">
        <f t="shared" si="52"/>
        <v>-48.155000000000001</v>
      </c>
      <c r="DB127">
        <f>IF(BC127&lt;&gt;-999,BC127*$DA127, -999)</f>
        <v>-19648892.077886302</v>
      </c>
      <c r="DC127">
        <f>IF(BD127&lt;&gt;-999,BD127*$DA127, -999)</f>
        <v>-9937728.2140779775</v>
      </c>
      <c r="DD127" s="27">
        <f>IF(BE127&lt;&gt;-999,BE127*$DA127, -999)</f>
        <v>-29586620.291964278</v>
      </c>
      <c r="DE127">
        <f t="shared" si="53"/>
        <v>-52.227000000000004</v>
      </c>
      <c r="DF127">
        <f>IF(BF127&lt;&gt;-999,BF127*$DE127, -999)</f>
        <v>-17841434.1884722</v>
      </c>
      <c r="DG127">
        <f>IF(BG127&lt;&gt;-999,BG127*$DE127, -999)</f>
        <v>-9023586.2487290185</v>
      </c>
      <c r="DH127" s="27">
        <f>IF(BH127&lt;&gt;-999,BH127*$DE127, -999)</f>
        <v>-26865020.437201221</v>
      </c>
      <c r="DI127">
        <f t="shared" si="54"/>
        <v>-60.94</v>
      </c>
      <c r="DJ127">
        <f>IF(BI127&lt;&gt;-999,BI127*$DI127, -999)</f>
        <v>-49813422.988672279</v>
      </c>
      <c r="DK127">
        <f>IF(BJ127&lt;&gt;-999,BJ127*$DI127, -999)</f>
        <v>-25193909.829997033</v>
      </c>
      <c r="DL127" s="27">
        <f>IF(BK127&lt;&gt;-999,BK127*$DI127, -999)</f>
        <v>-75007322.674082115</v>
      </c>
      <c r="DM127" s="28">
        <f t="shared" si="55"/>
        <v>-213266113.93129265</v>
      </c>
      <c r="DN127" s="22">
        <f t="shared" si="56"/>
        <v>-17.170000000000002</v>
      </c>
      <c r="DO127">
        <f>IF(AT127&lt;&gt;-999,AT127*$DN127, -999)</f>
        <v>-5970145.9012788972</v>
      </c>
      <c r="DP127">
        <f>IF(AU127&lt;&gt;-999,AU127*$DN127, -999)</f>
        <v>-3019492.1566185788</v>
      </c>
      <c r="DQ127" s="24">
        <f>IF(AV127&lt;&gt;-999,AV127*$DN127, -999)</f>
        <v>-8989638.0578974765</v>
      </c>
      <c r="DR127">
        <f t="shared" si="57"/>
        <v>-19.943000000000001</v>
      </c>
      <c r="DS127">
        <f>IF(AW127&lt;&gt;-999,AW127*$DR127, -999)</f>
        <v>-5805547.6279043024</v>
      </c>
      <c r="DT127">
        <f>IF(AX127&lt;&gt;-999,AX127*$DR127, -999)</f>
        <v>-2936244.8466174523</v>
      </c>
      <c r="DU127" s="24">
        <f>IF(AY127&lt;&gt;-999,AY127*$DR127, -999)</f>
        <v>-8741792.4745217543</v>
      </c>
      <c r="DV127">
        <f t="shared" si="58"/>
        <v>-25.870999999999999</v>
      </c>
      <c r="DW127">
        <f>IF(AZ127&lt;&gt;-999,AZ127*$DV127, -999)</f>
        <v>-18020839.446375679</v>
      </c>
      <c r="DX127">
        <f>IF(BA127&lt;&gt;-999,BA127*$DV127, -999)</f>
        <v>-9114318.9862650391</v>
      </c>
      <c r="DY127" s="24">
        <f>IF(BB127&lt;&gt;-999,BB127*$DV127, -999)</f>
        <v>-27135158.432640716</v>
      </c>
      <c r="DZ127">
        <f t="shared" si="59"/>
        <v>-25.245000000000001</v>
      </c>
      <c r="EA127">
        <f>IF(BC127&lt;&gt;-999, BC127*$DZ127, -999)</f>
        <v>-10300826.092954827</v>
      </c>
      <c r="EB127">
        <f>IF(BD127&lt;&gt;-999, BD127*$DZ127, -999)</f>
        <v>-5209800.6180957016</v>
      </c>
      <c r="EC127" s="24">
        <f>IF(BE127&lt;&gt;-999, BE127*$DZ127, -999)</f>
        <v>-15510626.711050529</v>
      </c>
      <c r="ED127">
        <f t="shared" si="60"/>
        <v>-29.317</v>
      </c>
      <c r="EE127">
        <f>IF(BF127&lt;&gt;-999,BF127*$ED127, -999)</f>
        <v>-10015075.078090632</v>
      </c>
      <c r="EF127">
        <f>IF(BG127&lt;&gt;-999,BG127*$ED127, -999)</f>
        <v>-5065281.9050297467</v>
      </c>
      <c r="EG127" s="24">
        <f>IF(BH127&lt;&gt;-999,BH127*$ED127, -999)</f>
        <v>-15080356.983120382</v>
      </c>
      <c r="EH127">
        <f t="shared" si="61"/>
        <v>-38.03</v>
      </c>
      <c r="EI127">
        <f>IF(BI127&lt;&gt;-999,BI127*$EH127, -999)</f>
        <v>-31086387.86116191</v>
      </c>
      <c r="EJ127">
        <f>IF(BJ127&lt;&gt;-999,BJ127*$EH127, -999)</f>
        <v>-15722421.904082494</v>
      </c>
      <c r="EK127" s="24">
        <f>IF(BK127&lt;&gt;-999,BK127*$EH127, -999)</f>
        <v>-46808803.434449345</v>
      </c>
      <c r="EL127" s="28">
        <f t="shared" si="62"/>
        <v>-122266376.0936802</v>
      </c>
      <c r="EM127" s="22">
        <f>-17.17-(0.1023*G127)+H127*(100+102.093-66.644-64.243)</f>
        <v>35.231901856014062</v>
      </c>
      <c r="EN127">
        <f>IF(AT127&lt;&gt;-999,AT127*$EM127, -999)</f>
        <v>12250413.189280296</v>
      </c>
      <c r="EO127">
        <f>IF(AU127&lt;&gt;-999,AU127*$EM127, -999)</f>
        <v>6195832.9246936515</v>
      </c>
      <c r="EP127" s="23">
        <f>IF(AV127&lt;&gt;-999,AV127*$EM127, -999)</f>
        <v>18446246.113973949</v>
      </c>
      <c r="EQ127">
        <f>-19.943-(0.1023*G127)+H127*(100+102.093-66.644-64.243)</f>
        <v>32.458901856014066</v>
      </c>
      <c r="ER127">
        <f>IF(AW127&lt;&gt;-999,AW127*$EQ127, -999)</f>
        <v>9449014.7256962843</v>
      </c>
      <c r="ES127">
        <f>IF(AX127&lt;&gt;-999,AX127*$EQ127, -999)</f>
        <v>4778984.2702493584</v>
      </c>
      <c r="ET127" s="23">
        <f>IF(AY127&lt;&gt;-999,AY127*$EQ127, -999)</f>
        <v>14227998.995945642</v>
      </c>
      <c r="EU127">
        <f>-25.871-(0.1023*G127)+H127*(100+102.093-66.644-64.243)</f>
        <v>26.530901856014069</v>
      </c>
      <c r="EV127">
        <f>IF(AZ127&lt;&gt;-999,AZ127*$EU127, -999)</f>
        <v>18480504.144207031</v>
      </c>
      <c r="EW127">
        <f>IF(BA127&lt;&gt;-999,BA127*$EU127, -999)</f>
        <v>9346801.5348847508</v>
      </c>
      <c r="EX127" s="23">
        <f>IF(BB127&lt;&gt;-999,BB127*$EU127, -999)</f>
        <v>27827305.679091778</v>
      </c>
      <c r="EY127">
        <f>-25.245-(0.1023*G127)+H127*(100+102.093-66.644-64.243)</f>
        <v>27.156901856014066</v>
      </c>
      <c r="EZ127">
        <f>IF(BC127&lt;&gt;-999, BC127*$EY127, -999)</f>
        <v>11080947.642790377</v>
      </c>
      <c r="FA127">
        <f>IF(BD127&lt;&gt;-999, BD127*$EY127, -999)</f>
        <v>5604359.0443662666</v>
      </c>
      <c r="FB127" s="23">
        <f>IF(BE127&lt;&gt;-999, BE127*$EY127, -999)</f>
        <v>16685306.687156642</v>
      </c>
      <c r="FC127">
        <f>-29.317-(0.1023*G127)+H127*(100+102.093-66.644-64.243)</f>
        <v>23.084901856014064</v>
      </c>
      <c r="FD127">
        <f>IF(BF127&lt;&gt;-999,BF127*$FC127, -999)</f>
        <v>7886107.8984321263</v>
      </c>
      <c r="FE127">
        <f>IF(BG127&lt;&gt;-999,BG127*$FC127, -999)</f>
        <v>3988523.233982183</v>
      </c>
      <c r="FF127" s="23">
        <f>IF(BH127&lt;&gt;-999,BH127*$FC127, -999)</f>
        <v>11874631.132414311</v>
      </c>
      <c r="FG127">
        <f>-38.03-(0.1023*G127)+H127*(100+102.093-66.644-64.243)</f>
        <v>14.371901856014063</v>
      </c>
      <c r="FH127">
        <f>IF(BI127&lt;&gt;-999,BI127*$FG127, -999)</f>
        <v>11747844.212427186</v>
      </c>
      <c r="FI127">
        <f>IF(BJ127&lt;&gt;-999,BJ127*$FG127, -999)</f>
        <v>5941654.0768950656</v>
      </c>
      <c r="FJ127" s="23">
        <f>IF(BK127&lt;&gt;-999,BK127*$FG127, -999)</f>
        <v>17689495.896854062</v>
      </c>
      <c r="FK127" s="28">
        <f t="shared" si="63"/>
        <v>106750984.50543639</v>
      </c>
      <c r="FL127" s="22">
        <f t="shared" si="66"/>
        <v>10.012280000000011</v>
      </c>
      <c r="FM127">
        <f>IF(AT127&lt;&gt;-999,AT127*$FL127, -999)</f>
        <v>3481349.5867476258</v>
      </c>
      <c r="FN127">
        <f>IF(AU127&lt;&gt;-999,AU127*$FL127, -999)</f>
        <v>1760745.5404699531</v>
      </c>
      <c r="FO127" s="29">
        <f>IF(AV127&lt;&gt;-999,AV127*$FL127, -999)</f>
        <v>5242095.1272175787</v>
      </c>
      <c r="FP127">
        <f t="shared" si="67"/>
        <v>7.2392800000000115</v>
      </c>
      <c r="FQ127">
        <f>IF(AW127&lt;&gt;-999,AW127*$FP127, -999)</f>
        <v>2107405.3468252076</v>
      </c>
      <c r="FR127">
        <f>IF(AX127&lt;&gt;-999,AX127*$FP127, -999)</f>
        <v>1065852.6095983966</v>
      </c>
      <c r="FS127" s="29">
        <f>IF(AY127&lt;&gt;-999,AY127*$FP127, -999)</f>
        <v>3173257.9564236044</v>
      </c>
      <c r="FT127">
        <f t="shared" si="68"/>
        <v>1.3112800000000142</v>
      </c>
      <c r="FU127">
        <f>IF(AZ127&lt;&gt;-999,AZ127*$FT127, -999)</f>
        <v>913392.07410783344</v>
      </c>
      <c r="FV127">
        <f>IF(BA127&lt;&gt;-999,BA127*$FT127, -999)</f>
        <v>461962.20479725371</v>
      </c>
      <c r="FW127" s="29">
        <f>IF(BB127&lt;&gt;-999,BB127*$FT127, -999)</f>
        <v>1375354.2789050869</v>
      </c>
      <c r="FX127">
        <f t="shared" si="69"/>
        <v>1.9372800000000119</v>
      </c>
      <c r="FY127">
        <f>IF(BC127&lt;&gt;-999, BC127*$FX127, -999)</f>
        <v>790476.70324260846</v>
      </c>
      <c r="FZ127">
        <f>IF(BD127&lt;&gt;-999, BD127*$FX127, -999)</f>
        <v>399795.70376013085</v>
      </c>
      <c r="GA127" s="29">
        <f>IF(BE127&lt;&gt;-999, BE127*$FX127, -999)</f>
        <v>1190272.4070027391</v>
      </c>
      <c r="GB127">
        <f t="shared" si="70"/>
        <v>-2.1347199999999873</v>
      </c>
      <c r="GC127">
        <f>IF(BF127&lt;&gt;-999,BF127*$GB127, -999)</f>
        <v>-729248.59537815966</v>
      </c>
      <c r="GD127">
        <f>IF(BG127&lt;&gt;-999,BG127*$GB127, -999)</f>
        <v>-368828.95890797273</v>
      </c>
      <c r="GE127" s="29">
        <f>IF(BH127&lt;&gt;-999,BH127*$GB127, -999)</f>
        <v>-1098077.5542861326</v>
      </c>
      <c r="GF127">
        <f t="shared" si="71"/>
        <v>-10.847719999999988</v>
      </c>
      <c r="GG127">
        <f>IF(BI127&lt;&gt;-999,BI127*$GF127, -999)</f>
        <v>-8867116.2589871921</v>
      </c>
      <c r="GH127">
        <f>IF(BJ127&lt;&gt;-999,BJ127*$GF127, -999)</f>
        <v>-4484681.3183632279</v>
      </c>
      <c r="GI127" s="29">
        <f>IF(BK127&lt;&gt;-999,BK127*$GF127, -999)</f>
        <v>-13351795.771547312</v>
      </c>
      <c r="GJ127" s="30">
        <f t="shared" si="64"/>
        <v>-3468893.556284437</v>
      </c>
    </row>
    <row r="128" spans="1:192">
      <c r="A128" s="48" t="s">
        <v>153</v>
      </c>
      <c r="B128" s="48" t="s">
        <v>261</v>
      </c>
      <c r="C128" s="49">
        <v>100</v>
      </c>
      <c r="D128" s="50">
        <v>0.57599999999999996</v>
      </c>
      <c r="E128" s="49">
        <v>186.30015996751601</v>
      </c>
      <c r="F128" s="49">
        <v>0.77462245525725903</v>
      </c>
      <c r="G128" s="49">
        <v>67.210909654020597</v>
      </c>
      <c r="H128" s="49">
        <v>0.81866177056521805</v>
      </c>
      <c r="I128" s="42">
        <v>199469.6</v>
      </c>
      <c r="J128" s="43">
        <v>18446</v>
      </c>
      <c r="K128" s="43">
        <f t="shared" si="39"/>
        <v>217915.6</v>
      </c>
      <c r="L128" s="43">
        <v>143692.5</v>
      </c>
      <c r="M128" s="43">
        <v>13288</v>
      </c>
      <c r="N128" s="43">
        <f t="shared" si="40"/>
        <v>156980.5</v>
      </c>
      <c r="O128" s="43">
        <v>229062.3</v>
      </c>
      <c r="P128" s="43">
        <v>21182.6</v>
      </c>
      <c r="Q128" s="43">
        <f t="shared" si="41"/>
        <v>250244.9</v>
      </c>
      <c r="R128" s="43">
        <v>269364.8</v>
      </c>
      <c r="S128" s="43">
        <v>24909.599999999999</v>
      </c>
      <c r="T128" s="43">
        <f t="shared" si="42"/>
        <v>294274.39999999997</v>
      </c>
      <c r="U128" s="43">
        <v>194043.1</v>
      </c>
      <c r="V128" s="43">
        <v>17944.2</v>
      </c>
      <c r="W128" s="43">
        <f t="shared" si="43"/>
        <v>211987.30000000002</v>
      </c>
      <c r="X128" s="43">
        <v>309327</v>
      </c>
      <c r="Y128" s="43">
        <v>28605.1</v>
      </c>
      <c r="Z128" s="43">
        <f t="shared" si="44"/>
        <v>337932.1</v>
      </c>
      <c r="AA128" s="22">
        <v>3378030.8</v>
      </c>
      <c r="AB128">
        <v>233594.4</v>
      </c>
      <c r="AC128">
        <v>3611625.3</v>
      </c>
      <c r="AD128">
        <v>2433442.2000000002</v>
      </c>
      <c r="AE128">
        <v>168275.1</v>
      </c>
      <c r="AF128">
        <v>2601717.2999999998</v>
      </c>
      <c r="AG128">
        <v>3879186.3</v>
      </c>
      <c r="AH128">
        <v>268249.8</v>
      </c>
      <c r="AI128">
        <v>4147436.2</v>
      </c>
      <c r="AJ128">
        <v>4561710.9000000004</v>
      </c>
      <c r="AK128">
        <v>315447.09999999998</v>
      </c>
      <c r="AL128">
        <v>4877158.0999999996</v>
      </c>
      <c r="AM128">
        <v>3286133.4</v>
      </c>
      <c r="AN128">
        <v>227239.6</v>
      </c>
      <c r="AO128">
        <v>3513373</v>
      </c>
      <c r="AP128">
        <v>5238474</v>
      </c>
      <c r="AQ128">
        <v>362246</v>
      </c>
      <c r="AR128">
        <v>5600720</v>
      </c>
      <c r="AS128">
        <v>24352029.82</v>
      </c>
      <c r="AT128" s="22">
        <f t="shared" si="77"/>
        <v>5623355.4288318297</v>
      </c>
      <c r="AU128">
        <f t="shared" si="77"/>
        <v>388860.97112693998</v>
      </c>
      <c r="AV128">
        <f t="shared" si="77"/>
        <v>6012216.5664272178</v>
      </c>
      <c r="AW128">
        <f t="shared" si="77"/>
        <v>4050913.451149845</v>
      </c>
      <c r="AX128">
        <f t="shared" si="77"/>
        <v>280124.94649907248</v>
      </c>
      <c r="AY128">
        <f t="shared" si="77"/>
        <v>4331038.3976489166</v>
      </c>
      <c r="AZ128">
        <f t="shared" si="77"/>
        <v>6457621.2092426922</v>
      </c>
      <c r="BA128">
        <f t="shared" si="76"/>
        <v>446551.27748185501</v>
      </c>
      <c r="BB128">
        <f t="shared" si="76"/>
        <v>6904172.6531929951</v>
      </c>
      <c r="BC128">
        <f t="shared" si="76"/>
        <v>7593809.3146682782</v>
      </c>
      <c r="BD128">
        <f t="shared" si="76"/>
        <v>525119.89005377248</v>
      </c>
      <c r="BE128">
        <f t="shared" si="76"/>
        <v>8118929.3711904967</v>
      </c>
      <c r="BF128">
        <f t="shared" si="76"/>
        <v>5470375.2537589651</v>
      </c>
      <c r="BG128">
        <f t="shared" si="76"/>
        <v>378282.23422521004</v>
      </c>
      <c r="BH128">
        <f t="shared" si="76"/>
        <v>5848657.4879841749</v>
      </c>
      <c r="BI128">
        <f t="shared" si="76"/>
        <v>8720406.3404911496</v>
      </c>
      <c r="BJ128">
        <f t="shared" si="75"/>
        <v>603025.29233085003</v>
      </c>
      <c r="BK128">
        <f t="shared" si="75"/>
        <v>9323431.6328219995</v>
      </c>
      <c r="BL128">
        <f t="shared" si="75"/>
        <v>40538445.97609105</v>
      </c>
      <c r="BM128" s="22">
        <f>-17.17-(0.1023*E128)+F128*(100-8.576-13.681)</f>
        <v>23.992967174388205</v>
      </c>
      <c r="BN128">
        <f>IF(AT128&lt;&gt;-999,AT128*$BM128, -999)</f>
        <v>134920982.21387979</v>
      </c>
      <c r="BO128">
        <f>IF(AU128&lt;&gt;-999,AU128*$BM128, -999)</f>
        <v>9329928.5156493913</v>
      </c>
      <c r="BP128" s="25">
        <f>IF(AV128&lt;&gt;-999,AV128*$BM128, -999)</f>
        <v>144250914.72360119</v>
      </c>
      <c r="BQ128">
        <f>-19.943-(0.1023*E128)+F128*(100-8.576-13.681)</f>
        <v>21.219967174388209</v>
      </c>
      <c r="BR128">
        <f>IF(AW128&lt;&gt;-999,AW128*$BQ128, -999)</f>
        <v>85960250.459687367</v>
      </c>
      <c r="BS128">
        <f>IF(AX128&lt;&gt;-999,AX128*$BQ128, -999)</f>
        <v>5944242.1694375714</v>
      </c>
      <c r="BT128" s="25">
        <f>IF(AY128&lt;&gt;-999,AY128*$BQ128, -999)</f>
        <v>91904492.629124925</v>
      </c>
      <c r="BU128">
        <f>-25.871-(0.1023*E128)+F128*(100-8.576-13.681)</f>
        <v>15.291967174388212</v>
      </c>
      <c r="BV128">
        <f>IF(AZ128&lt;&gt;-999,AZ128*$BU128, -999)</f>
        <v>98749731.556372359</v>
      </c>
      <c r="BW128">
        <f>IF(BA128&lt;&gt;-999,BA128*$BU128, -999)</f>
        <v>6828647.4769336488</v>
      </c>
      <c r="BX128" s="25">
        <f>IF(BB128&lt;&gt;-999,BB128*$BU128, -999)</f>
        <v>105578381.57893606</v>
      </c>
      <c r="BY128">
        <f>-25.245-(0.1023*E128)+F128*(100-8.576-13.681)</f>
        <v>15.917967174388203</v>
      </c>
      <c r="BZ128">
        <f>IF(BC128&lt;&gt;-999,BC128*$BY128, -999)</f>
        <v>120878007.39945303</v>
      </c>
      <c r="CA128">
        <f>IF(BD128&lt;&gt;-999,BD128*$BY128, -999)</f>
        <v>8358841.1724942923</v>
      </c>
      <c r="CB128" s="25">
        <f>IF(BE128&lt;&gt;-999,BE128*$BY128, -999)</f>
        <v>129236851.22178657</v>
      </c>
      <c r="CC128">
        <f>-29.317-(0.1023*E128)+F128*(100-8.576-13.681)</f>
        <v>11.845967174388207</v>
      </c>
      <c r="CD128">
        <f>IF(BF128&lt;&gt;-999,BF128*$CC128, -999)</f>
        <v>64801885.687614255</v>
      </c>
      <c r="CE128">
        <f>IF(BG128&lt;&gt;-999,BG128*$CC128, -999)</f>
        <v>4481118.9292860692</v>
      </c>
      <c r="CF128" s="25">
        <f>IF(BH128&lt;&gt;-999,BH128*$CC128, -999)</f>
        <v>69283004.616900325</v>
      </c>
      <c r="CG128">
        <f>-38.03-(0.1023*E128)+F128*(100-8.576-13.681)</f>
        <v>3.1329671743882059</v>
      </c>
      <c r="CH128">
        <f>IF(BI128&lt;&gt;-999,BI128*$CG128, -999)</f>
        <v>27320746.81208555</v>
      </c>
      <c r="CI128">
        <f>IF(BJ128&lt;&gt;-999,BJ128*$CG128, -999)</f>
        <v>1889258.446198405</v>
      </c>
      <c r="CJ128" s="25">
        <f>IF(BK128&lt;&gt;-999,BK128*$CG128, -999)</f>
        <v>29210005.258283958</v>
      </c>
      <c r="CK128" s="26">
        <f t="shared" si="45"/>
        <v>569463650.028633</v>
      </c>
      <c r="CL128">
        <f t="shared" si="46"/>
        <v>-25.206759132973545</v>
      </c>
      <c r="CM128">
        <f t="shared" si="47"/>
        <v>33.460530579028564</v>
      </c>
      <c r="CN128">
        <f t="shared" si="48"/>
        <v>-82.860651938298972</v>
      </c>
      <c r="CO128" s="22">
        <f t="shared" si="49"/>
        <v>-40.08</v>
      </c>
      <c r="CP128">
        <f>IF(AT128&lt;&gt;-999,AT128*$CO128, -999)</f>
        <v>-225384085.58757973</v>
      </c>
      <c r="CQ128">
        <f>IF(AU128&lt;&gt;-999,AU128*$CO128, -999)</f>
        <v>-15585547.722767754</v>
      </c>
      <c r="CR128" s="27">
        <f>IF(AV128&lt;&gt;-999,AV128*$CO128, -999)</f>
        <v>-240969639.98240289</v>
      </c>
      <c r="CS128">
        <f t="shared" si="50"/>
        <v>-42.853000000000002</v>
      </c>
      <c r="CT128">
        <f>IF(AW128&lt;&gt;-999,AW128*$CS128, -999)</f>
        <v>-173593794.12212431</v>
      </c>
      <c r="CU128">
        <f>IF(AX128&lt;&gt;-999,AX128*$CS128, -999)</f>
        <v>-12004194.332324753</v>
      </c>
      <c r="CV128" s="27">
        <f>IF(AY128&lt;&gt;-999,AY128*$CS128, -999)</f>
        <v>-185597988.45444903</v>
      </c>
      <c r="CW128">
        <f t="shared" si="51"/>
        <v>-48.780999999999999</v>
      </c>
      <c r="CX128">
        <f>IF(AZ128&lt;&gt;-999,AZ128*$CO128, -999)</f>
        <v>-258821458.06644708</v>
      </c>
      <c r="CY128">
        <f>IF(BA128&lt;&gt;-999,BA128*$CO128, -999)</f>
        <v>-17897775.201472748</v>
      </c>
      <c r="CZ128" s="27">
        <f>IF(BB128&lt;&gt;-999,BB128*$CO128, -999)</f>
        <v>-276719239.93997526</v>
      </c>
      <c r="DA128">
        <f t="shared" si="52"/>
        <v>-48.155000000000001</v>
      </c>
      <c r="DB128">
        <f>IF(BC128&lt;&gt;-999,BC128*$DA128, -999)</f>
        <v>-365679887.54785097</v>
      </c>
      <c r="DC128">
        <f>IF(BD128&lt;&gt;-999,BD128*$DA128, -999)</f>
        <v>-25287148.305539414</v>
      </c>
      <c r="DD128" s="27">
        <f>IF(BE128&lt;&gt;-999,BE128*$DA128, -999)</f>
        <v>-390967043.86967838</v>
      </c>
      <c r="DE128">
        <f t="shared" si="53"/>
        <v>-52.227000000000004</v>
      </c>
      <c r="DF128">
        <f>IF(BF128&lt;&gt;-999,BF128*$DE128, -999)</f>
        <v>-285701288.37806946</v>
      </c>
      <c r="DG128">
        <f>IF(BG128&lt;&gt;-999,BG128*$DE128, -999)</f>
        <v>-19756546.246880047</v>
      </c>
      <c r="DH128" s="27">
        <f>IF(BH128&lt;&gt;-999,BH128*$DE128, -999)</f>
        <v>-305457834.62494951</v>
      </c>
      <c r="DI128">
        <f t="shared" si="54"/>
        <v>-60.94</v>
      </c>
      <c r="DJ128">
        <f>IF(BI128&lt;&gt;-999,BI128*$DI128, -999)</f>
        <v>-531421562.38953066</v>
      </c>
      <c r="DK128">
        <f>IF(BJ128&lt;&gt;-999,BJ128*$DI128, -999)</f>
        <v>-36748361.314641997</v>
      </c>
      <c r="DL128" s="27">
        <f>IF(BK128&lt;&gt;-999,BK128*$DI128, -999)</f>
        <v>-568169923.70417261</v>
      </c>
      <c r="DM128" s="28">
        <f t="shared" si="55"/>
        <v>-1967881670.5756278</v>
      </c>
      <c r="DN128" s="22">
        <f t="shared" si="56"/>
        <v>-17.170000000000002</v>
      </c>
      <c r="DO128">
        <f>IF(AT128&lt;&gt;-999,AT128*$DN128, -999)</f>
        <v>-96553012.713042527</v>
      </c>
      <c r="DP128">
        <f>IF(AU128&lt;&gt;-999,AU128*$DN128, -999)</f>
        <v>-6676742.8742495598</v>
      </c>
      <c r="DQ128" s="24">
        <f>IF(AV128&lt;&gt;-999,AV128*$DN128, -999)</f>
        <v>-103229758.44555534</v>
      </c>
      <c r="DR128">
        <f t="shared" si="57"/>
        <v>-19.943000000000001</v>
      </c>
      <c r="DS128">
        <f>IF(AW128&lt;&gt;-999,AW128*$DR128, -999)</f>
        <v>-80787366.956281364</v>
      </c>
      <c r="DT128">
        <f>IF(AX128&lt;&gt;-999,AX128*$DR128, -999)</f>
        <v>-5586531.808031003</v>
      </c>
      <c r="DU128" s="24">
        <f>IF(AY128&lt;&gt;-999,AY128*$DR128, -999)</f>
        <v>-86373898.764312357</v>
      </c>
      <c r="DV128">
        <f t="shared" si="58"/>
        <v>-25.870999999999999</v>
      </c>
      <c r="DW128">
        <f>IF(AZ128&lt;&gt;-999,AZ128*$DV128, -999)</f>
        <v>-167065118.30431768</v>
      </c>
      <c r="DX128">
        <f>IF(BA128&lt;&gt;-999,BA128*$DV128, -999)</f>
        <v>-11552728.09973307</v>
      </c>
      <c r="DY128" s="24">
        <f>IF(BB128&lt;&gt;-999,BB128*$DV128, -999)</f>
        <v>-178617850.71075597</v>
      </c>
      <c r="DZ128">
        <f t="shared" si="59"/>
        <v>-25.245000000000001</v>
      </c>
      <c r="EA128">
        <f>IF(BC128&lt;&gt;-999, BC128*$DZ128, -999)</f>
        <v>-191705716.1488007</v>
      </c>
      <c r="EB128">
        <f>IF(BD128&lt;&gt;-999, BD128*$DZ128, -999)</f>
        <v>-13256651.624407487</v>
      </c>
      <c r="EC128" s="24">
        <f>IF(BE128&lt;&gt;-999, BE128*$DZ128, -999)</f>
        <v>-204962371.9757041</v>
      </c>
      <c r="ED128">
        <f t="shared" si="60"/>
        <v>-29.317</v>
      </c>
      <c r="EE128">
        <f>IF(BF128&lt;&gt;-999,BF128*$ED128, -999)</f>
        <v>-160374991.31445158</v>
      </c>
      <c r="EF128">
        <f>IF(BG128&lt;&gt;-999,BG128*$ED128, -999)</f>
        <v>-11090100.260780483</v>
      </c>
      <c r="EG128" s="24">
        <f>IF(BH128&lt;&gt;-999,BH128*$ED128, -999)</f>
        <v>-171465091.57523206</v>
      </c>
      <c r="EH128">
        <f t="shared" si="61"/>
        <v>-38.03</v>
      </c>
      <c r="EI128">
        <f>IF(BI128&lt;&gt;-999,BI128*$EH128, -999)</f>
        <v>-331637053.12887841</v>
      </c>
      <c r="EJ128">
        <f>IF(BJ128&lt;&gt;-999,BJ128*$EH128, -999)</f>
        <v>-22933051.867342226</v>
      </c>
      <c r="EK128" s="24">
        <f>IF(BK128&lt;&gt;-999,BK128*$EH128, -999)</f>
        <v>-354570104.99622065</v>
      </c>
      <c r="EL128" s="28">
        <f t="shared" si="62"/>
        <v>-1099219076.4677804</v>
      </c>
      <c r="EM128" s="22">
        <f>-17.17-(0.1023*G128)+H128*(100+102.093-66.644-64.243)</f>
        <v>34.247953977260622</v>
      </c>
      <c r="EN128">
        <f>IF(AT128&lt;&gt;-999,AT128*$EM128, -999)</f>
        <v>192588417.92441118</v>
      </c>
      <c r="EO128">
        <f>IF(AU128&lt;&gt;-999,AU128*$EM128, -999)</f>
        <v>13317692.642708313</v>
      </c>
      <c r="EP128" s="23">
        <f>IF(AV128&lt;&gt;-999,AV128*$EM128, -999)</f>
        <v>205906116.26832324</v>
      </c>
      <c r="EQ128">
        <f>-19.943-(0.1023*G128)+H128*(100+102.093-66.644-64.243)</f>
        <v>31.474953977260618</v>
      </c>
      <c r="ER128">
        <f>IF(AW128&lt;&gt;-999,AW128*$EQ128, -999)</f>
        <v>127502314.44080736</v>
      </c>
      <c r="ES128">
        <f>IF(AX128&lt;&gt;-999,AX128*$EQ128, -999)</f>
        <v>8816919.7989408989</v>
      </c>
      <c r="ET128" s="23">
        <f>IF(AY128&lt;&gt;-999,AY128*$EQ128, -999)</f>
        <v>136319234.23974821</v>
      </c>
      <c r="EU128">
        <f>-25.871-(0.1023*G128)+H128*(100+102.093-66.644-64.243)</f>
        <v>25.546953977260621</v>
      </c>
      <c r="EV128">
        <f>IF(AZ128&lt;&gt;-999,AZ128*$EU128, -999)</f>
        <v>164972551.83510515</v>
      </c>
      <c r="EW128">
        <f>IF(BA128&lt;&gt;-999,BA128*$EU128, -999)</f>
        <v>11408024.934315886</v>
      </c>
      <c r="EX128" s="23">
        <f>IF(BB128&lt;&gt;-999,BB128*$EU128, -999)</f>
        <v>176380581.02218279</v>
      </c>
      <c r="EY128">
        <f>-25.245-(0.1023*G128)+H128*(100+102.093-66.644-64.243)</f>
        <v>26.172953977260619</v>
      </c>
      <c r="EZ128">
        <f>IF(BC128&lt;&gt;-999, BC128*$EY128, -999)</f>
        <v>198752421.70490584</v>
      </c>
      <c r="FA128">
        <f>IF(BD128&lt;&gt;-999, BD128*$EY128, -999)</f>
        <v>13743938.714921543</v>
      </c>
      <c r="FB128" s="23">
        <f>IF(BE128&lt;&gt;-999, BE128*$EY128, -999)</f>
        <v>212496364.77679837</v>
      </c>
      <c r="FC128">
        <f>-29.317-(0.1023*G128)+H128*(100+102.093-66.644-64.243)</f>
        <v>22.100953977260623</v>
      </c>
      <c r="FD128">
        <f>IF(BF128&lt;&gt;-999,BF128*$FC128, -999)</f>
        <v>120900511.7216723</v>
      </c>
      <c r="FE128">
        <f>IF(BG128&lt;&gt;-999,BG128*$FC128, -999)</f>
        <v>8360398.2490266906</v>
      </c>
      <c r="FF128" s="23">
        <f>IF(BH128&lt;&gt;-999,BH128*$FC128, -999)</f>
        <v>129260909.97069897</v>
      </c>
      <c r="FG128">
        <f>-38.03-(0.1023*G128)+H128*(100+102.093-66.644-64.243)</f>
        <v>13.387953977260622</v>
      </c>
      <c r="FH128">
        <f>IF(BI128&lt;&gt;-999,BI128*$FG128, -999)</f>
        <v>116748398.74950723</v>
      </c>
      <c r="FI128">
        <f>IF(BJ128&lt;&gt;-999,BJ128*$FG128, -999)</f>
        <v>8073274.8608495528</v>
      </c>
      <c r="FJ128" s="23">
        <f>IF(BK128&lt;&gt;-999,BK128*$FG128, -999)</f>
        <v>124821673.61035678</v>
      </c>
      <c r="FK128" s="28">
        <f t="shared" si="63"/>
        <v>985184879.88810837</v>
      </c>
      <c r="FL128" s="22">
        <f t="shared" si="66"/>
        <v>10.012280000000011</v>
      </c>
      <c r="FM128">
        <f>IF(AT128&lt;&gt;-999,AT128*$FL128, -999)</f>
        <v>56302609.092984416</v>
      </c>
      <c r="FN128">
        <f>IF(AU128&lt;&gt;-999,AU128*$FL128, -999)</f>
        <v>3893384.9239948429</v>
      </c>
      <c r="FO128" s="29">
        <f>IF(AV128&lt;&gt;-999,AV128*$FL128, -999)</f>
        <v>60195995.683707975</v>
      </c>
      <c r="FP128">
        <f t="shared" si="67"/>
        <v>7.2392800000000115</v>
      </c>
      <c r="FQ128">
        <f>IF(AW128&lt;&gt;-999,AW128*$FP128, -999)</f>
        <v>29325696.728640098</v>
      </c>
      <c r="FR128">
        <f>IF(AX128&lt;&gt;-999,AX128*$FP128, -999)</f>
        <v>2027902.9226918085</v>
      </c>
      <c r="FS128" s="29">
        <f>IF(AY128&lt;&gt;-999,AY128*$FP128, -999)</f>
        <v>31353599.651331898</v>
      </c>
      <c r="FT128">
        <f t="shared" si="68"/>
        <v>1.3112800000000142</v>
      </c>
      <c r="FU128">
        <f>IF(AZ128&lt;&gt;-999,AZ128*$FT128, -999)</f>
        <v>8467749.53925585</v>
      </c>
      <c r="FV128">
        <f>IF(BA128&lt;&gt;-999,BA128*$FT128, -999)</f>
        <v>585553.75913641322</v>
      </c>
      <c r="FW128" s="29">
        <f>IF(BB128&lt;&gt;-999,BB128*$FT128, -999)</f>
        <v>9053303.5166790094</v>
      </c>
      <c r="FX128">
        <f t="shared" si="69"/>
        <v>1.9372800000000119</v>
      </c>
      <c r="FY128">
        <f>IF(BC128&lt;&gt;-999, BC128*$FX128, -999)</f>
        <v>14711334.909120653</v>
      </c>
      <c r="FZ128">
        <f>IF(BD128&lt;&gt;-999, BD128*$FX128, -999)</f>
        <v>1017304.2606033786</v>
      </c>
      <c r="GA128" s="29">
        <f>IF(BE128&lt;&gt;-999, BE128*$FX128, -999)</f>
        <v>15728639.492220022</v>
      </c>
      <c r="GB128">
        <f t="shared" si="70"/>
        <v>-2.1347199999999873</v>
      </c>
      <c r="GC128">
        <f>IF(BF128&lt;&gt;-999,BF128*$GB128, -999)</f>
        <v>-11677719.461704269</v>
      </c>
      <c r="GD128">
        <f>IF(BG128&lt;&gt;-999,BG128*$GB128, -999)</f>
        <v>-807526.65104523557</v>
      </c>
      <c r="GE128" s="29">
        <f>IF(BH128&lt;&gt;-999,BH128*$GB128, -999)</f>
        <v>-12485246.112749504</v>
      </c>
      <c r="GF128">
        <f t="shared" si="71"/>
        <v>-10.847719999999988</v>
      </c>
      <c r="GG128">
        <f>IF(BI128&lt;&gt;-999,BI128*$GF128, -999)</f>
        <v>-94596526.267872557</v>
      </c>
      <c r="GH128">
        <f>IF(BJ128&lt;&gt;-999,BJ128*$GF128, -999)</f>
        <v>-6541449.5241232011</v>
      </c>
      <c r="GI128" s="29">
        <f>IF(BK128&lt;&gt;-999,BK128*$GF128, -999)</f>
        <v>-101137975.79199575</v>
      </c>
      <c r="GJ128" s="30">
        <f t="shared" si="64"/>
        <v>2708316.4391936362</v>
      </c>
    </row>
    <row r="129" spans="1:192">
      <c r="A129" s="48" t="s">
        <v>160</v>
      </c>
      <c r="B129" s="48" t="s">
        <v>262</v>
      </c>
      <c r="C129" s="49">
        <v>164</v>
      </c>
      <c r="D129" s="50">
        <v>0.56799999999999995</v>
      </c>
      <c r="E129" s="49">
        <v>184.25576246073999</v>
      </c>
      <c r="F129" s="49">
        <v>0.78266569345017001</v>
      </c>
      <c r="G129" s="49">
        <v>117.93878013817201</v>
      </c>
      <c r="H129" s="49">
        <v>0.81508157583248597</v>
      </c>
      <c r="I129" s="42">
        <v>136863</v>
      </c>
      <c r="J129" s="43">
        <v>79502.3</v>
      </c>
      <c r="K129" s="43">
        <f t="shared" si="39"/>
        <v>216365.3</v>
      </c>
      <c r="L129" s="43">
        <v>62305.7</v>
      </c>
      <c r="M129" s="43">
        <v>36192.699999999997</v>
      </c>
      <c r="N129" s="43">
        <f t="shared" si="40"/>
        <v>98498.4</v>
      </c>
      <c r="O129" s="43">
        <v>155852.9</v>
      </c>
      <c r="P129" s="43">
        <v>90533.2</v>
      </c>
      <c r="Q129" s="43">
        <f t="shared" si="41"/>
        <v>246386.09999999998</v>
      </c>
      <c r="R129" s="43">
        <v>110378.9</v>
      </c>
      <c r="S129" s="43">
        <v>64117.9</v>
      </c>
      <c r="T129" s="43">
        <f t="shared" si="42"/>
        <v>174496.8</v>
      </c>
      <c r="U129" s="43">
        <v>50249</v>
      </c>
      <c r="V129" s="43">
        <v>29189.1</v>
      </c>
      <c r="W129" s="43">
        <f t="shared" si="43"/>
        <v>79438.100000000006</v>
      </c>
      <c r="X129" s="43">
        <v>125694.1</v>
      </c>
      <c r="Y129" s="43">
        <v>73014.3</v>
      </c>
      <c r="Z129" s="43">
        <f t="shared" si="44"/>
        <v>198708.40000000002</v>
      </c>
      <c r="AA129" s="22">
        <v>1568805.9</v>
      </c>
      <c r="AB129">
        <v>823711.4</v>
      </c>
      <c r="AC129">
        <v>2392517.4</v>
      </c>
      <c r="AD129">
        <v>714185.1</v>
      </c>
      <c r="AE129">
        <v>374987.4</v>
      </c>
      <c r="AF129">
        <v>1089172.5</v>
      </c>
      <c r="AG129">
        <v>1786478.7</v>
      </c>
      <c r="AH129">
        <v>938001.9</v>
      </c>
      <c r="AI129">
        <v>2724480.5</v>
      </c>
      <c r="AJ129">
        <v>1265229.1000000001</v>
      </c>
      <c r="AK129">
        <v>664316.5</v>
      </c>
      <c r="AL129">
        <v>1929545.6</v>
      </c>
      <c r="AM129">
        <v>575984.4</v>
      </c>
      <c r="AN129">
        <v>302424.2</v>
      </c>
      <c r="AO129">
        <v>878408.6</v>
      </c>
      <c r="AP129">
        <v>1440780.3</v>
      </c>
      <c r="AQ129">
        <v>756490.8</v>
      </c>
      <c r="AR129">
        <v>2197271.1</v>
      </c>
      <c r="AS129">
        <v>11211395.66</v>
      </c>
      <c r="AT129" s="22">
        <f t="shared" si="77"/>
        <v>2611566.8260184024</v>
      </c>
      <c r="AU129">
        <f t="shared" si="77"/>
        <v>1371219.5794605149</v>
      </c>
      <c r="AV129">
        <f t="shared" si="77"/>
        <v>3982786.5719473646</v>
      </c>
      <c r="AW129">
        <f t="shared" si="77"/>
        <v>1188892.8482463225</v>
      </c>
      <c r="AX129">
        <f t="shared" si="77"/>
        <v>624235.70310061506</v>
      </c>
      <c r="AY129">
        <f t="shared" si="77"/>
        <v>1813128.5513469374</v>
      </c>
      <c r="AZ129">
        <f t="shared" si="77"/>
        <v>2973923.3568081823</v>
      </c>
      <c r="BA129">
        <f t="shared" si="76"/>
        <v>1561477.2004505026</v>
      </c>
      <c r="BB129">
        <f t="shared" si="76"/>
        <v>4535400.390790238</v>
      </c>
      <c r="BC129">
        <f t="shared" si="76"/>
        <v>2106207.2400882225</v>
      </c>
      <c r="BD129">
        <f t="shared" si="76"/>
        <v>1105877.3640363377</v>
      </c>
      <c r="BE129">
        <f t="shared" si="76"/>
        <v>3212084.60412456</v>
      </c>
      <c r="BF129">
        <f t="shared" si="76"/>
        <v>958832.28852219007</v>
      </c>
      <c r="BG129">
        <f t="shared" si="76"/>
        <v>503440.87060429499</v>
      </c>
      <c r="BH129">
        <f t="shared" si="76"/>
        <v>1462273.159126485</v>
      </c>
      <c r="BI129">
        <f t="shared" si="76"/>
        <v>2398444.5972958426</v>
      </c>
      <c r="BJ129">
        <f t="shared" si="75"/>
        <v>1259318.4902403301</v>
      </c>
      <c r="BK129">
        <f t="shared" si="75"/>
        <v>3657763.0875361725</v>
      </c>
      <c r="BL129">
        <f t="shared" si="75"/>
        <v>18663436.298284378</v>
      </c>
      <c r="BM129" s="22">
        <f>-17.17-(0.1023*E129)+F129*(100-8.576-13.681)</f>
        <v>24.827414506162874</v>
      </c>
      <c r="BN129">
        <f>IF(AT129&lt;&gt;-999,AT129*$BM129, -999)</f>
        <v>64838452.100103021</v>
      </c>
      <c r="BO129">
        <f>IF(AU129&lt;&gt;-999,AU129*$BM129, -999)</f>
        <v>34043836.878232546</v>
      </c>
      <c r="BP129" s="25">
        <f>IF(AV129&lt;&gt;-999,AV129*$BM129, -999)</f>
        <v>98882293.111316711</v>
      </c>
      <c r="BQ129">
        <f>-19.943-(0.1023*E129)+F129*(100-8.576-13.681)</f>
        <v>22.054414506162871</v>
      </c>
      <c r="BR129">
        <f>IF(AW129&lt;&gt;-999,AW129*$BQ129, -999)</f>
        <v>26220335.678636987</v>
      </c>
      <c r="BS129">
        <f>IF(AX129&lt;&gt;-999,AX129*$BQ129, -999)</f>
        <v>13767152.945726983</v>
      </c>
      <c r="BT129" s="25">
        <f>IF(AY129&lt;&gt;-999,AY129*$BQ129, -999)</f>
        <v>39987488.624363966</v>
      </c>
      <c r="BU129">
        <f>-25.871-(0.1023*E129)+F129*(100-8.576-13.681)</f>
        <v>16.126414506162874</v>
      </c>
      <c r="BV129">
        <f>IF(AZ129&lt;&gt;-999,AZ129*$BU129, -999)</f>
        <v>47958720.761448063</v>
      </c>
      <c r="BW129">
        <f>IF(BA129&lt;&gt;-999,BA129*$BU129, -999)</f>
        <v>25181028.576387577</v>
      </c>
      <c r="BX129" s="25">
        <f>IF(BB129&lt;&gt;-999,BB129*$BU129, -999)</f>
        <v>73139746.653296456</v>
      </c>
      <c r="BY129">
        <f>-25.245-(0.1023*E129)+F129*(100-8.576-13.681)</f>
        <v>16.752414506162872</v>
      </c>
      <c r="BZ129">
        <f>IF(BC129&lt;&gt;-999,BC129*$BY129, -999)</f>
        <v>35284056.721839204</v>
      </c>
      <c r="CA129">
        <f>IF(BD129&lt;&gt;-999,BD129*$BY129, -999)</f>
        <v>18526115.995319501</v>
      </c>
      <c r="CB129" s="25">
        <f>IF(BE129&lt;&gt;-999,BE129*$BY129, -999)</f>
        <v>53810172.717158705</v>
      </c>
      <c r="CC129">
        <f>-29.317-(0.1023*E129)+F129*(100-8.576-13.681)</f>
        <v>12.680414506162869</v>
      </c>
      <c r="CD129">
        <f>IF(BF129&lt;&gt;-999,BF129*$CC129, -999)</f>
        <v>12158390.86035412</v>
      </c>
      <c r="CE129">
        <f>IF(BG129&lt;&gt;-999,BG129*$CC129, -999)</f>
        <v>6383838.9186059656</v>
      </c>
      <c r="CF129" s="25">
        <f>IF(BH129&lt;&gt;-999,BH129*$CC129, -999)</f>
        <v>18542229.778960086</v>
      </c>
      <c r="CG129">
        <f>-38.03-(0.1023*E129)+F129*(100-8.576-13.681)</f>
        <v>3.9674145061628749</v>
      </c>
      <c r="CH129">
        <f>IF(BI129&lt;&gt;-999,BI129*$CG129, -999)</f>
        <v>9515623.8875395004</v>
      </c>
      <c r="CI129">
        <f>IF(BJ129&lt;&gt;-999,BJ129*$CG129, -999)</f>
        <v>4996238.446058617</v>
      </c>
      <c r="CJ129" s="25">
        <f>IF(BK129&lt;&gt;-999,BK129*$CG129, -999)</f>
        <v>14511862.333598116</v>
      </c>
      <c r="CK129" s="26">
        <f t="shared" si="45"/>
        <v>298873793.21869403</v>
      </c>
      <c r="CL129">
        <f t="shared" si="46"/>
        <v>-24.986204614308853</v>
      </c>
      <c r="CM129">
        <f t="shared" si="47"/>
        <v>33.078177637669022</v>
      </c>
      <c r="CN129">
        <f t="shared" si="48"/>
        <v>-82.047604358468405</v>
      </c>
      <c r="CO129" s="22">
        <f t="shared" si="49"/>
        <v>-40.08</v>
      </c>
      <c r="CP129">
        <f>IF(AT129&lt;&gt;-999,AT129*$CO129, -999)</f>
        <v>-104671598.38681756</v>
      </c>
      <c r="CQ129">
        <f>IF(AU129&lt;&gt;-999,AU129*$CO129, -999)</f>
        <v>-54958480.744777434</v>
      </c>
      <c r="CR129" s="27">
        <f>IF(AV129&lt;&gt;-999,AV129*$CO129, -999)</f>
        <v>-159630085.80365038</v>
      </c>
      <c r="CS129">
        <f t="shared" si="50"/>
        <v>-42.853000000000002</v>
      </c>
      <c r="CT129">
        <f>IF(AW129&lt;&gt;-999,AW129*$CS129, -999)</f>
        <v>-50947625.225899659</v>
      </c>
      <c r="CU129">
        <f>IF(AX129&lt;&gt;-999,AX129*$CS129, -999)</f>
        <v>-26750372.584970657</v>
      </c>
      <c r="CV129" s="27">
        <f>IF(AY129&lt;&gt;-999,AY129*$CS129, -999)</f>
        <v>-77697997.81087032</v>
      </c>
      <c r="CW129">
        <f t="shared" si="51"/>
        <v>-48.780999999999999</v>
      </c>
      <c r="CX129">
        <f>IF(AZ129&lt;&gt;-999,AZ129*$CO129, -999)</f>
        <v>-119194848.14087194</v>
      </c>
      <c r="CY129">
        <f>IF(BA129&lt;&gt;-999,BA129*$CO129, -999)</f>
        <v>-62584006.194056138</v>
      </c>
      <c r="CZ129" s="27">
        <f>IF(BB129&lt;&gt;-999,BB129*$CO129, -999)</f>
        <v>-181778847.66287273</v>
      </c>
      <c r="DA129">
        <f t="shared" si="52"/>
        <v>-48.155000000000001</v>
      </c>
      <c r="DB129">
        <f>IF(BC129&lt;&gt;-999,BC129*$DA129, -999)</f>
        <v>-101424409.64644836</v>
      </c>
      <c r="DC129">
        <f>IF(BD129&lt;&gt;-999,BD129*$DA129, -999)</f>
        <v>-53253524.465169847</v>
      </c>
      <c r="DD129" s="27">
        <f>IF(BE129&lt;&gt;-999,BE129*$DA129, -999)</f>
        <v>-154677934.11161819</v>
      </c>
      <c r="DE129">
        <f t="shared" si="53"/>
        <v>-52.227000000000004</v>
      </c>
      <c r="DF129">
        <f>IF(BF129&lt;&gt;-999,BF129*$DE129, -999)</f>
        <v>-50076933.932648428</v>
      </c>
      <c r="DG129">
        <f>IF(BG129&lt;&gt;-999,BG129*$DE129, -999)</f>
        <v>-26293206.349050518</v>
      </c>
      <c r="DH129" s="27">
        <f>IF(BH129&lt;&gt;-999,BH129*$DE129, -999)</f>
        <v>-76370140.281698942</v>
      </c>
      <c r="DI129">
        <f t="shared" si="54"/>
        <v>-60.94</v>
      </c>
      <c r="DJ129">
        <f>IF(BI129&lt;&gt;-999,BI129*$DI129, -999)</f>
        <v>-146161213.75920865</v>
      </c>
      <c r="DK129">
        <f>IF(BJ129&lt;&gt;-999,BJ129*$DI129, -999)</f>
        <v>-76742868.795245707</v>
      </c>
      <c r="DL129" s="27">
        <f>IF(BK129&lt;&gt;-999,BK129*$DI129, -999)</f>
        <v>-222904082.55445436</v>
      </c>
      <c r="DM129" s="28">
        <f t="shared" si="55"/>
        <v>-873059088.22516489</v>
      </c>
      <c r="DN129" s="22">
        <f t="shared" si="56"/>
        <v>-17.170000000000002</v>
      </c>
      <c r="DO129">
        <f>IF(AT129&lt;&gt;-999,AT129*$DN129, -999)</f>
        <v>-44840602.402735971</v>
      </c>
      <c r="DP129">
        <f>IF(AU129&lt;&gt;-999,AU129*$DN129, -999)</f>
        <v>-23543840.179337043</v>
      </c>
      <c r="DQ129" s="24">
        <f>IF(AV129&lt;&gt;-999,AV129*$DN129, -999)</f>
        <v>-68384445.440336257</v>
      </c>
      <c r="DR129">
        <f t="shared" si="57"/>
        <v>-19.943000000000001</v>
      </c>
      <c r="DS129">
        <f>IF(AW129&lt;&gt;-999,AW129*$DR129, -999)</f>
        <v>-23710090.072576411</v>
      </c>
      <c r="DT129">
        <f>IF(AX129&lt;&gt;-999,AX129*$DR129, -999)</f>
        <v>-12449132.626935568</v>
      </c>
      <c r="DU129" s="24">
        <f>IF(AY129&lt;&gt;-999,AY129*$DR129, -999)</f>
        <v>-36159222.699511975</v>
      </c>
      <c r="DV129">
        <f t="shared" si="58"/>
        <v>-25.870999999999999</v>
      </c>
      <c r="DW129">
        <f>IF(AZ129&lt;&gt;-999,AZ129*$DV129, -999)</f>
        <v>-76938371.163984478</v>
      </c>
      <c r="DX129">
        <f>IF(BA129&lt;&gt;-999,BA129*$DV129, -999)</f>
        <v>-40396976.652854949</v>
      </c>
      <c r="DY129" s="24">
        <f>IF(BB129&lt;&gt;-999,BB129*$DV129, -999)</f>
        <v>-117335343.51013424</v>
      </c>
      <c r="DZ129">
        <f t="shared" si="59"/>
        <v>-25.245000000000001</v>
      </c>
      <c r="EA129">
        <f>IF(BC129&lt;&gt;-999, BC129*$DZ129, -999)</f>
        <v>-53171201.77602718</v>
      </c>
      <c r="EB129">
        <f>IF(BD129&lt;&gt;-999, BD129*$DZ129, -999)</f>
        <v>-27917874.055097345</v>
      </c>
      <c r="EC129" s="24">
        <f>IF(BE129&lt;&gt;-999, BE129*$DZ129, -999)</f>
        <v>-81089075.831124514</v>
      </c>
      <c r="ED129">
        <f t="shared" si="60"/>
        <v>-29.317</v>
      </c>
      <c r="EE129">
        <f>IF(BF129&lt;&gt;-999,BF129*$ED129, -999)</f>
        <v>-28110086.202605046</v>
      </c>
      <c r="EF129">
        <f>IF(BG129&lt;&gt;-999,BG129*$ED129, -999)</f>
        <v>-14759376.003506117</v>
      </c>
      <c r="EG129" s="24">
        <f>IF(BH129&lt;&gt;-999,BH129*$ED129, -999)</f>
        <v>-42869462.206111163</v>
      </c>
      <c r="EH129">
        <f t="shared" si="61"/>
        <v>-38.03</v>
      </c>
      <c r="EI129">
        <f>IF(BI129&lt;&gt;-999,BI129*$EH129, -999)</f>
        <v>-91212848.035160899</v>
      </c>
      <c r="EJ129">
        <f>IF(BJ129&lt;&gt;-999,BJ129*$EH129, -999)</f>
        <v>-47891882.183839753</v>
      </c>
      <c r="EK129" s="24">
        <f>IF(BK129&lt;&gt;-999,BK129*$EH129, -999)</f>
        <v>-139104730.21900064</v>
      </c>
      <c r="EL129" s="28">
        <f t="shared" si="62"/>
        <v>-484942279.90621883</v>
      </c>
      <c r="EM129" s="22">
        <f>-17.17-(0.1023*G129)+H129*(100+102.093-66.644-64.243)</f>
        <v>28.803561480593011</v>
      </c>
      <c r="EN129">
        <f>IF(AT129&lt;&gt;-999,AT129*$EM129, -999)</f>
        <v>75222425.633898199</v>
      </c>
      <c r="EO129">
        <f>IF(AU129&lt;&gt;-999,AU129*$EM129, -999)</f>
        <v>39496007.460383832</v>
      </c>
      <c r="EP129" s="23">
        <f>IF(AV129&lt;&gt;-999,AV129*$EM129, -999)</f>
        <v>114718437.88916619</v>
      </c>
      <c r="EQ129">
        <f>-19.943-(0.1023*G129)+H129*(100+102.093-66.644-64.243)</f>
        <v>26.030561480593015</v>
      </c>
      <c r="ER129">
        <f>IF(AW129&lt;&gt;-999,AW129*$EQ129, -999)</f>
        <v>30947548.38011324</v>
      </c>
      <c r="ES129">
        <f>IF(AX129&lt;&gt;-999,AX129*$EQ129, -999)</f>
        <v>16249205.847941767</v>
      </c>
      <c r="ET129" s="23">
        <f>IF(AY129&lt;&gt;-999,AY129*$EQ129, -999)</f>
        <v>47196754.228055</v>
      </c>
      <c r="EU129">
        <f>-25.871-(0.1023*G129)+H129*(100+102.093-66.644-64.243)</f>
        <v>20.102561480593018</v>
      </c>
      <c r="EV129">
        <f>IF(AZ129&lt;&gt;-999,AZ129*$EU129, -999)</f>
        <v>59783477.118808053</v>
      </c>
      <c r="EW129">
        <f>IF(BA129&lt;&gt;-999,BA129*$EU129, -999)</f>
        <v>31389691.422600497</v>
      </c>
      <c r="EX129" s="23">
        <f>IF(BB129&lt;&gt;-999,BB129*$EU129, -999)</f>
        <v>91173165.194966361</v>
      </c>
      <c r="EY129">
        <f>-25.245-(0.1023*G129)+H129*(100+102.093-66.644-64.243)</f>
        <v>20.728561480593015</v>
      </c>
      <c r="EZ129">
        <f>IF(BC129&lt;&gt;-999, BC129*$EY129, -999)</f>
        <v>43658646.267038852</v>
      </c>
      <c r="FA129">
        <f>IF(BD129&lt;&gt;-999, BD129*$EY129, -999)</f>
        <v>22923246.930423368</v>
      </c>
      <c r="FB129" s="23">
        <f>IF(BE129&lt;&gt;-999, BE129*$EY129, -999)</f>
        <v>66581893.197462216</v>
      </c>
      <c r="FC129">
        <f>-29.317-(0.1023*G129)+H129*(100+102.093-66.644-64.243)</f>
        <v>16.656561480593012</v>
      </c>
      <c r="FD129">
        <f>IF(BF129&lt;&gt;-999,BF129*$FC129, -999)</f>
        <v>15970848.963347556</v>
      </c>
      <c r="FE129">
        <f>IF(BG129&lt;&gt;-999,BG129*$FC129, -999)</f>
        <v>8385593.8130637109</v>
      </c>
      <c r="FF129" s="23">
        <f>IF(BH129&lt;&gt;-999,BH129*$FC129, -999)</f>
        <v>24356442.776411265</v>
      </c>
      <c r="FG129">
        <f>-38.03-(0.1023*G129)+H129*(100+102.093-66.644-64.243)</f>
        <v>7.9435614805930115</v>
      </c>
      <c r="FH129">
        <f>IF(BI129&lt;&gt;-999,BI129*$FG129, -999)</f>
        <v>19052192.116415672</v>
      </c>
      <c r="FI129">
        <f>IF(BJ129&lt;&gt;-999,BJ129*$FG129, -999)</f>
        <v>10003473.850871632</v>
      </c>
      <c r="FJ129" s="23">
        <f>IF(BK129&lt;&gt;-999,BK129*$FG129, -999)</f>
        <v>29055665.967287302</v>
      </c>
      <c r="FK129" s="28">
        <f t="shared" si="63"/>
        <v>373082359.25334835</v>
      </c>
      <c r="FL129" s="22">
        <f t="shared" si="66"/>
        <v>10.012280000000011</v>
      </c>
      <c r="FM129">
        <f>IF(AT129&lt;&gt;-999,AT129*$FL129, -999)</f>
        <v>26147738.300807558</v>
      </c>
      <c r="FN129">
        <f>IF(AU129&lt;&gt;-999,AU129*$FL129, -999)</f>
        <v>13729034.37104094</v>
      </c>
      <c r="FO129" s="29">
        <f>IF(AV129&lt;&gt;-999,AV129*$FL129, -999)</f>
        <v>39876774.338577203</v>
      </c>
      <c r="FP129">
        <f t="shared" si="67"/>
        <v>7.2392800000000115</v>
      </c>
      <c r="FQ129">
        <f>IF(AW129&lt;&gt;-999,AW129*$FP129, -999)</f>
        <v>8606728.2184526511</v>
      </c>
      <c r="FR129">
        <f>IF(AX129&lt;&gt;-999,AX129*$FP129, -999)</f>
        <v>4519017.0407422278</v>
      </c>
      <c r="FS129" s="29">
        <f>IF(AY129&lt;&gt;-999,AY129*$FP129, -999)</f>
        <v>13125745.259194879</v>
      </c>
      <c r="FT129">
        <f t="shared" si="68"/>
        <v>1.3112800000000142</v>
      </c>
      <c r="FU129">
        <f>IF(AZ129&lt;&gt;-999,AZ129*$FT129, -999)</f>
        <v>3899646.2193154758</v>
      </c>
      <c r="FV129">
        <f>IF(BA129&lt;&gt;-999,BA129*$FT129, -999)</f>
        <v>2047533.8234067571</v>
      </c>
      <c r="FW129" s="29">
        <f>IF(BB129&lt;&gt;-999,BB129*$FT129, -999)</f>
        <v>5947179.8244354874</v>
      </c>
      <c r="FX129">
        <f t="shared" si="69"/>
        <v>1.9372800000000119</v>
      </c>
      <c r="FY129">
        <f>IF(BC129&lt;&gt;-999, BC129*$FX129, -999)</f>
        <v>4080313.1620781366</v>
      </c>
      <c r="FZ129">
        <f>IF(BD129&lt;&gt;-999, BD129*$FX129, -999)</f>
        <v>2142394.0998003297</v>
      </c>
      <c r="GA129" s="29">
        <f>IF(BE129&lt;&gt;-999, BE129*$FX129, -999)</f>
        <v>6222707.2618784662</v>
      </c>
      <c r="GB129">
        <f t="shared" si="70"/>
        <v>-2.1347199999999873</v>
      </c>
      <c r="GC129">
        <f>IF(BF129&lt;&gt;-999,BF129*$GB129, -999)</f>
        <v>-2046838.4629540774</v>
      </c>
      <c r="GD129">
        <f>IF(BG129&lt;&gt;-999,BG129*$GB129, -999)</f>
        <v>-1074705.2952963943</v>
      </c>
      <c r="GE129" s="29">
        <f>IF(BH129&lt;&gt;-999,BH129*$GB129, -999)</f>
        <v>-3121543.7582504717</v>
      </c>
      <c r="GF129">
        <f t="shared" si="71"/>
        <v>-10.847719999999988</v>
      </c>
      <c r="GG129">
        <f>IF(BI129&lt;&gt;-999,BI129*$GF129, -999)</f>
        <v>-26017655.426978029</v>
      </c>
      <c r="GH129">
        <f>IF(BJ129&lt;&gt;-999,BJ129*$GF129, -999)</f>
        <v>-13660734.372949818</v>
      </c>
      <c r="GI129" s="29">
        <f>IF(BK129&lt;&gt;-999,BK129*$GF129, -999)</f>
        <v>-39678389.799927846</v>
      </c>
      <c r="GJ129" s="30">
        <f t="shared" si="64"/>
        <v>22372473.125907719</v>
      </c>
    </row>
    <row r="130" spans="1:192">
      <c r="A130" s="48" t="s">
        <v>161</v>
      </c>
      <c r="B130" s="48" t="s">
        <v>263</v>
      </c>
      <c r="C130" s="49">
        <v>58</v>
      </c>
      <c r="D130" s="50">
        <v>0.56699999999999995</v>
      </c>
      <c r="E130" s="49">
        <v>112.692322362689</v>
      </c>
      <c r="F130" s="49">
        <v>0.79154421243541895</v>
      </c>
      <c r="G130" s="49">
        <v>80.999255008748804</v>
      </c>
      <c r="H130" s="49">
        <v>0.81705090911071798</v>
      </c>
      <c r="I130" s="42">
        <v>41721.4</v>
      </c>
      <c r="J130" s="43">
        <v>-999</v>
      </c>
      <c r="K130" s="43">
        <f t="shared" ref="K130:K174" si="78">IF(J130&lt;&gt;-999, I130+J130, I130)</f>
        <v>41721.4</v>
      </c>
      <c r="L130" s="43">
        <v>49892.7</v>
      </c>
      <c r="M130" s="43">
        <v>-999</v>
      </c>
      <c r="N130" s="43">
        <f t="shared" ref="N130:N174" si="79">IF(M130&lt;&gt;-999, L130+M130, L130)</f>
        <v>49892.7</v>
      </c>
      <c r="O130" s="43">
        <v>47188.6</v>
      </c>
      <c r="P130" s="43">
        <v>-999</v>
      </c>
      <c r="Q130" s="43">
        <f t="shared" ref="Q130:Q174" si="80">IF(P130&lt;&gt;-999, O130+P130, O130)</f>
        <v>47188.6</v>
      </c>
      <c r="R130" s="43">
        <v>8217.5</v>
      </c>
      <c r="S130" s="43">
        <v>-999</v>
      </c>
      <c r="T130" s="43">
        <f t="shared" ref="T130:T174" si="81">IF(S130&lt;&gt;-999, R130+S130, R130)</f>
        <v>8217.5</v>
      </c>
      <c r="U130" s="43">
        <v>9827</v>
      </c>
      <c r="V130" s="43">
        <v>-999</v>
      </c>
      <c r="W130" s="43">
        <f t="shared" ref="W130:W174" si="82">IF(V130&lt;&gt;-999, U130+V130, U130)</f>
        <v>9827</v>
      </c>
      <c r="X130" s="43">
        <v>9294.4</v>
      </c>
      <c r="Y130" s="43">
        <v>-999</v>
      </c>
      <c r="Z130" s="43">
        <f t="shared" ref="Z130:Z174" si="83">IF(Y130&lt;&gt;-999, X130+Y130, X130)</f>
        <v>9294.4</v>
      </c>
      <c r="AA130" s="22">
        <v>106320.9</v>
      </c>
      <c r="AB130">
        <v>-999</v>
      </c>
      <c r="AC130">
        <v>106320.9</v>
      </c>
      <c r="AD130">
        <v>127144.4</v>
      </c>
      <c r="AE130">
        <v>-999</v>
      </c>
      <c r="AF130">
        <v>127144.4</v>
      </c>
      <c r="AG130">
        <v>120253.2</v>
      </c>
      <c r="AH130">
        <v>-999</v>
      </c>
      <c r="AI130">
        <v>120253.2</v>
      </c>
      <c r="AJ130">
        <v>20941.2</v>
      </c>
      <c r="AK130">
        <v>-999</v>
      </c>
      <c r="AL130">
        <v>20941.2</v>
      </c>
      <c r="AM130">
        <v>25042.7</v>
      </c>
      <c r="AN130">
        <v>-999</v>
      </c>
      <c r="AO130">
        <v>25042.7</v>
      </c>
      <c r="AP130">
        <v>23685.4</v>
      </c>
      <c r="AQ130">
        <v>-999</v>
      </c>
      <c r="AR130">
        <v>23685.4</v>
      </c>
      <c r="AS130">
        <v>423387.81</v>
      </c>
      <c r="AT130" s="22">
        <f t="shared" si="77"/>
        <v>176990.75159802751</v>
      </c>
      <c r="AU130">
        <f t="shared" si="77"/>
        <v>-999</v>
      </c>
      <c r="AV130">
        <f t="shared" si="77"/>
        <v>176990.75159802751</v>
      </c>
      <c r="AW130">
        <f t="shared" si="77"/>
        <v>211655.30876319</v>
      </c>
      <c r="AX130">
        <f t="shared" si="77"/>
        <v>-999</v>
      </c>
      <c r="AY130">
        <f t="shared" si="77"/>
        <v>211655.30876319</v>
      </c>
      <c r="AZ130">
        <f t="shared" si="77"/>
        <v>200183.63510907002</v>
      </c>
      <c r="BA130">
        <f t="shared" si="76"/>
        <v>-999</v>
      </c>
      <c r="BB130">
        <f t="shared" si="76"/>
        <v>200183.63510907002</v>
      </c>
      <c r="BC130">
        <f t="shared" si="76"/>
        <v>34860.490527870003</v>
      </c>
      <c r="BD130">
        <f t="shared" si="76"/>
        <v>-999</v>
      </c>
      <c r="BE130">
        <f t="shared" si="76"/>
        <v>34860.490527870003</v>
      </c>
      <c r="BF130">
        <f t="shared" si="76"/>
        <v>41688.193902082501</v>
      </c>
      <c r="BG130">
        <f t="shared" si="76"/>
        <v>-999</v>
      </c>
      <c r="BH130">
        <f t="shared" si="76"/>
        <v>41688.193902082501</v>
      </c>
      <c r="BI130">
        <f t="shared" si="76"/>
        <v>39428.717664165</v>
      </c>
      <c r="BJ130">
        <f t="shared" si="75"/>
        <v>-999</v>
      </c>
      <c r="BK130">
        <f t="shared" si="75"/>
        <v>39428.717664165</v>
      </c>
      <c r="BL130">
        <f t="shared" si="75"/>
        <v>704807.11421124975</v>
      </c>
      <c r="BM130" s="22">
        <f>-17.17-(0.1023*E130)+F130*(100-8.576-13.681)</f>
        <v>32.838597129663697</v>
      </c>
      <c r="BN130">
        <f>IF(AT130&lt;&gt;-999,AT130*$BM130, -999)</f>
        <v>5812127.9874040065</v>
      </c>
      <c r="BO130">
        <f>IF(AU130&lt;&gt;-999,AU130*$BM130, -999)</f>
        <v>-999</v>
      </c>
      <c r="BP130" s="25">
        <f>IF(AV130&lt;&gt;-999,AV130*$BM130, -999)</f>
        <v>5812127.9874040065</v>
      </c>
      <c r="BQ130">
        <f>-19.943-(0.1023*E130)+F130*(100-8.576-13.681)</f>
        <v>30.065597129663697</v>
      </c>
      <c r="BR130">
        <f>IF(AW130&lt;&gt;-999,AW130*$BQ130, -999)</f>
        <v>6363543.243628649</v>
      </c>
      <c r="BS130">
        <f>IF(AX130&lt;&gt;-999,AX130*$BQ130, -999)</f>
        <v>-999</v>
      </c>
      <c r="BT130" s="25">
        <f>IF(AY130&lt;&gt;-999,AY130*$BQ130, -999)</f>
        <v>6363543.243628649</v>
      </c>
      <c r="BU130">
        <f>-25.871-(0.1023*E130)+F130*(100-8.576-13.681)</f>
        <v>24.137597129663696</v>
      </c>
      <c r="BV130">
        <f>IF(AZ130&lt;&gt;-999,AZ130*$BU130, -999)</f>
        <v>4831951.9362143334</v>
      </c>
      <c r="BW130">
        <f>IF(BA130&lt;&gt;-999,BA130*$BU130, -999)</f>
        <v>-999</v>
      </c>
      <c r="BX130" s="25">
        <f>IF(BB130&lt;&gt;-999,BB130*$BU130, -999)</f>
        <v>4831951.9362143334</v>
      </c>
      <c r="BY130">
        <f>-25.245-(0.1023*E130)+F130*(100-8.576-13.681)</f>
        <v>24.763597129663701</v>
      </c>
      <c r="BZ130">
        <f>IF(BC130&lt;&gt;-999,BC130*$BY130, -999)</f>
        <v>863271.14317463024</v>
      </c>
      <c r="CA130">
        <f>IF(BD130&lt;&gt;-999,BD130*$BY130, -999)</f>
        <v>-999</v>
      </c>
      <c r="CB130" s="25">
        <f>IF(BE130&lt;&gt;-999,BE130*$BY130, -999)</f>
        <v>863271.14317463024</v>
      </c>
      <c r="CC130">
        <f>-29.317-(0.1023*E130)+F130*(100-8.576-13.681)</f>
        <v>20.691597129663698</v>
      </c>
      <c r="CD130">
        <f>IF(BF130&lt;&gt;-999,BF130*$CC130, -999)</f>
        <v>862595.31328519399</v>
      </c>
      <c r="CE130">
        <f>IF(BG130&lt;&gt;-999,BG130*$CC130, -999)</f>
        <v>-999</v>
      </c>
      <c r="CF130" s="25">
        <f>IF(BH130&lt;&gt;-999,BH130*$CC130, -999)</f>
        <v>862595.31328519399</v>
      </c>
      <c r="CG130">
        <f>-38.03-(0.1023*E130)+F130*(100-8.576-13.681)</f>
        <v>11.978597129663697</v>
      </c>
      <c r="CH130">
        <f>IF(BI130&lt;&gt;-999,BI130*$CG130, -999)</f>
        <v>472300.72423828719</v>
      </c>
      <c r="CI130">
        <f>IF(BJ130&lt;&gt;-999,BJ130*$CG130, -999)</f>
        <v>-999</v>
      </c>
      <c r="CJ130" s="25">
        <f>IF(BK130&lt;&gt;-999,BK130*$CG130, -999)</f>
        <v>472300.72423828719</v>
      </c>
      <c r="CK130" s="26">
        <f t="shared" ref="CK130:CK174" si="84">BP130+BT130+BX130+CB130+CF130+CJ130</f>
        <v>19205790.347945102</v>
      </c>
      <c r="CL130">
        <f t="shared" ref="CL130:CL174" si="85">((-55.825+0.1023*$E130)/$F130)+8.576+13.681</f>
        <v>-33.705225137122099</v>
      </c>
      <c r="CM130">
        <f t="shared" ref="CM130:CM174" si="86">((-10.38+0.1023*$E130)/$F130)+8.576+13.681</f>
        <v>23.707865990377996</v>
      </c>
      <c r="CN130">
        <f t="shared" ref="CN130:CN174" si="87">((-100.485+0.1023*$E130)/$F130)+8.576+13.681</f>
        <v>-90.12658391705726</v>
      </c>
      <c r="CO130" s="22">
        <f t="shared" ref="CO130:CO174" si="88">-17.17-22.91</f>
        <v>-40.08</v>
      </c>
      <c r="CP130">
        <f>IF(AT130&lt;&gt;-999,AT130*$CO130, -999)</f>
        <v>-7093789.324048942</v>
      </c>
      <c r="CQ130">
        <f>IF(AU130&lt;&gt;-999,AU130*$CO130, -999)</f>
        <v>-999</v>
      </c>
      <c r="CR130" s="27">
        <f>IF(AV130&lt;&gt;-999,AV130*$CO130, -999)</f>
        <v>-7093789.324048942</v>
      </c>
      <c r="CS130">
        <f t="shared" ref="CS130:CS174" si="89">-19.943-22.91</f>
        <v>-42.853000000000002</v>
      </c>
      <c r="CT130">
        <f>IF(AW130&lt;&gt;-999,AW130*$CS130, -999)</f>
        <v>-9070064.9464289807</v>
      </c>
      <c r="CU130">
        <f>IF(AX130&lt;&gt;-999,AX130*$CS130, -999)</f>
        <v>-999</v>
      </c>
      <c r="CV130" s="27">
        <f>IF(AY130&lt;&gt;-999,AY130*$CS130, -999)</f>
        <v>-9070064.9464289807</v>
      </c>
      <c r="CW130">
        <f t="shared" ref="CW130:CW174" si="90">-25.871-22.91</f>
        <v>-48.780999999999999</v>
      </c>
      <c r="CX130">
        <f>IF(AZ130&lt;&gt;-999,AZ130*$CO130, -999)</f>
        <v>-8023360.0951715261</v>
      </c>
      <c r="CY130">
        <f>IF(BA130&lt;&gt;-999,BA130*$CO130, -999)</f>
        <v>-999</v>
      </c>
      <c r="CZ130" s="27">
        <f>IF(BB130&lt;&gt;-999,BB130*$CO130, -999)</f>
        <v>-8023360.0951715261</v>
      </c>
      <c r="DA130">
        <f t="shared" ref="DA130:DA174" si="91">-25.245-22.91</f>
        <v>-48.155000000000001</v>
      </c>
      <c r="DB130">
        <f>IF(BC130&lt;&gt;-999,BC130*$DA130, -999)</f>
        <v>-1678706.9213695801</v>
      </c>
      <c r="DC130">
        <f>IF(BD130&lt;&gt;-999,BD130*$DA130, -999)</f>
        <v>-999</v>
      </c>
      <c r="DD130" s="27">
        <f>IF(BE130&lt;&gt;-999,BE130*$DA130, -999)</f>
        <v>-1678706.9213695801</v>
      </c>
      <c r="DE130">
        <f t="shared" ref="DE130:DE174" si="92">-29.317-22.91</f>
        <v>-52.227000000000004</v>
      </c>
      <c r="DF130">
        <f>IF(BF130&lt;&gt;-999,BF130*$DE130, -999)</f>
        <v>-2177249.3029240631</v>
      </c>
      <c r="DG130">
        <f>IF(BG130&lt;&gt;-999,BG130*$DE130, -999)</f>
        <v>-999</v>
      </c>
      <c r="DH130" s="27">
        <f>IF(BH130&lt;&gt;-999,BH130*$DE130, -999)</f>
        <v>-2177249.3029240631</v>
      </c>
      <c r="DI130">
        <f t="shared" ref="DI130:DI174" si="93">-38.03-22.91</f>
        <v>-60.94</v>
      </c>
      <c r="DJ130">
        <f>IF(BI130&lt;&gt;-999,BI130*$DI130, -999)</f>
        <v>-2402786.0544542149</v>
      </c>
      <c r="DK130">
        <f>IF(BJ130&lt;&gt;-999,BJ130*$DI130, -999)</f>
        <v>-999</v>
      </c>
      <c r="DL130" s="27">
        <f>IF(BK130&lt;&gt;-999,BK130*$DI130, -999)</f>
        <v>-2402786.0544542149</v>
      </c>
      <c r="DM130" s="28">
        <f t="shared" ref="DM130:DM174" si="94">CR130+CV130+CZ130+DD130+DH130+DL130</f>
        <v>-30445956.644397303</v>
      </c>
      <c r="DN130" s="22">
        <f t="shared" ref="DN130:DN174" si="95">-17.17</f>
        <v>-17.170000000000002</v>
      </c>
      <c r="DO130">
        <f>IF(AT130&lt;&gt;-999,AT130*$DN130, -999)</f>
        <v>-3038931.2049381328</v>
      </c>
      <c r="DP130">
        <f>IF(AU130&lt;&gt;-999,AU130*$DN130, -999)</f>
        <v>-999</v>
      </c>
      <c r="DQ130" s="24">
        <f>IF(AV130&lt;&gt;-999,AV130*$DN130, -999)</f>
        <v>-3038931.2049381328</v>
      </c>
      <c r="DR130">
        <f t="shared" ref="DR130:DR174" si="96">-19.943</f>
        <v>-19.943000000000001</v>
      </c>
      <c r="DS130">
        <f>IF(AW130&lt;&gt;-999,AW130*$DR130, -999)</f>
        <v>-4221041.8226642981</v>
      </c>
      <c r="DT130">
        <f>IF(AX130&lt;&gt;-999,AX130*$DR130, -999)</f>
        <v>-999</v>
      </c>
      <c r="DU130" s="24">
        <f>IF(AY130&lt;&gt;-999,AY130*$DR130, -999)</f>
        <v>-4221041.8226642981</v>
      </c>
      <c r="DV130">
        <f t="shared" ref="DV130:DV174" si="97">-25.871</f>
        <v>-25.870999999999999</v>
      </c>
      <c r="DW130">
        <f>IF(AZ130&lt;&gt;-999,AZ130*$DV130, -999)</f>
        <v>-5178950.8239067504</v>
      </c>
      <c r="DX130">
        <f>IF(BA130&lt;&gt;-999,BA130*$DV130, -999)</f>
        <v>-999</v>
      </c>
      <c r="DY130" s="24">
        <f>IF(BB130&lt;&gt;-999,BB130*$DV130, -999)</f>
        <v>-5178950.8239067504</v>
      </c>
      <c r="DZ130">
        <f t="shared" ref="DZ130:DZ174" si="98">-25.245</f>
        <v>-25.245000000000001</v>
      </c>
      <c r="EA130">
        <f>IF(BC130&lt;&gt;-999, BC130*$DZ130, -999)</f>
        <v>-880053.08337607828</v>
      </c>
      <c r="EB130">
        <f>IF(BD130&lt;&gt;-999, BD130*$DZ130, -999)</f>
        <v>-999</v>
      </c>
      <c r="EC130" s="24">
        <f>IF(BE130&lt;&gt;-999, BE130*$DZ130, -999)</f>
        <v>-880053.08337607828</v>
      </c>
      <c r="ED130">
        <f t="shared" ref="ED130:ED174" si="99">-29.317</f>
        <v>-29.317</v>
      </c>
      <c r="EE130">
        <f>IF(BF130&lt;&gt;-999,BF130*$ED130, -999)</f>
        <v>-1222172.7806273527</v>
      </c>
      <c r="EF130">
        <f>IF(BG130&lt;&gt;-999,BG130*$ED130, -999)</f>
        <v>-999</v>
      </c>
      <c r="EG130" s="24">
        <f>IF(BH130&lt;&gt;-999,BH130*$ED130, -999)</f>
        <v>-1222172.7806273527</v>
      </c>
      <c r="EH130">
        <f t="shared" ref="EH130:EH174" si="100">-38.03</f>
        <v>-38.03</v>
      </c>
      <c r="EI130">
        <f>IF(BI130&lt;&gt;-999,BI130*$EH130, -999)</f>
        <v>-1499474.1327681951</v>
      </c>
      <c r="EJ130">
        <f>IF(BJ130&lt;&gt;-999,BJ130*$EH130, -999)</f>
        <v>-999</v>
      </c>
      <c r="EK130" s="24">
        <f>IF(BK130&lt;&gt;-999,BK130*$EH130, -999)</f>
        <v>-1499474.1327681951</v>
      </c>
      <c r="EL130" s="28">
        <f t="shared" ref="EL130:EL174" si="101">DQ130+DU130+DY130+EC130+EG130+EK130</f>
        <v>-16040623.848280806</v>
      </c>
      <c r="EM130" s="22">
        <f>-17.17-(0.1023*G130)+H130*(100+102.093-66.644-64.243)</f>
        <v>32.722703246742796</v>
      </c>
      <c r="EN130">
        <f>IF(AT130&lt;&gt;-999,AT130*$EM130, -999)</f>
        <v>5791615.8419602225</v>
      </c>
      <c r="EO130">
        <f>IF(AU130&lt;&gt;-999,AU130*$EM130, -999)</f>
        <v>-999</v>
      </c>
      <c r="EP130" s="23">
        <f>IF(AV130&lt;&gt;-999,AV130*$EM130, -999)</f>
        <v>5791615.8419602225</v>
      </c>
      <c r="EQ130">
        <f>-19.943-(0.1023*G130)+H130*(100+102.093-66.644-64.243)</f>
        <v>29.949703246742796</v>
      </c>
      <c r="ER130">
        <f>IF(AW130&lt;&gt;-999,AW130*$EQ130, -999)</f>
        <v>6339013.6880552601</v>
      </c>
      <c r="ES130">
        <f>IF(AX130&lt;&gt;-999,AX130*$EQ130, -999)</f>
        <v>-999</v>
      </c>
      <c r="ET130" s="23">
        <f>IF(AY130&lt;&gt;-999,AY130*$EQ130, -999)</f>
        <v>6339013.6880552601</v>
      </c>
      <c r="EU130">
        <f>-25.871-(0.1023*G130)+H130*(100+102.093-66.644-64.243)</f>
        <v>24.021703246742803</v>
      </c>
      <c r="EV130">
        <f>IF(AZ130&lt;&gt;-999,AZ130*$EU130, -999)</f>
        <v>4808751.8774443241</v>
      </c>
      <c r="EW130">
        <f>IF(BA130&lt;&gt;-999,BA130*$EU130, -999)</f>
        <v>-999</v>
      </c>
      <c r="EX130" s="23">
        <f>IF(BB130&lt;&gt;-999,BB130*$EU130, -999)</f>
        <v>4808751.8774443241</v>
      </c>
      <c r="EY130">
        <f>-25.245-(0.1023*G130)+H130*(100+102.093-66.644-64.243)</f>
        <v>24.647703246742793</v>
      </c>
      <c r="EZ130">
        <f>IF(BC130&lt;&gt;-999, BC130*$EY130, -999)</f>
        <v>859231.02556682786</v>
      </c>
      <c r="FA130">
        <f>IF(BD130&lt;&gt;-999, BD130*$EY130, -999)</f>
        <v>-999</v>
      </c>
      <c r="FB130" s="23">
        <f>IF(BE130&lt;&gt;-999, BE130*$EY130, -999)</f>
        <v>859231.02556682786</v>
      </c>
      <c r="FC130">
        <f>-29.317-(0.1023*G130)+H130*(100+102.093-66.644-64.243)</f>
        <v>20.575703246742798</v>
      </c>
      <c r="FD130">
        <f>IF(BF130&lt;&gt;-999,BF130*$FC130, -999)</f>
        <v>857763.90662192227</v>
      </c>
      <c r="FE130">
        <f>IF(BG130&lt;&gt;-999,BG130*$FC130, -999)</f>
        <v>-999</v>
      </c>
      <c r="FF130" s="23">
        <f>IF(BH130&lt;&gt;-999,BH130*$FC130, -999)</f>
        <v>857763.90662192227</v>
      </c>
      <c r="FG130">
        <f>-38.03-(0.1023*G130)+H130*(100+102.093-66.644-64.243)</f>
        <v>11.862703246742797</v>
      </c>
      <c r="FH130">
        <f>IF(BI130&lt;&gt;-999,BI130*$FG130, -999)</f>
        <v>467731.17704959522</v>
      </c>
      <c r="FI130">
        <f>IF(BJ130&lt;&gt;-999,BJ130*$FG130, -999)</f>
        <v>-999</v>
      </c>
      <c r="FJ130" s="23">
        <f>IF(BK130&lt;&gt;-999,BK130*$FG130, -999)</f>
        <v>467731.17704959522</v>
      </c>
      <c r="FK130" s="28">
        <f t="shared" ref="FK130:FK174" si="102">EP130+ET130+EX130+FB130+FF130+FJ130</f>
        <v>19124107.516698152</v>
      </c>
      <c r="FL130" s="22">
        <f t="shared" si="66"/>
        <v>10.012280000000011</v>
      </c>
      <c r="FM130">
        <f>IF(AT130&lt;&gt;-999,AT130*$FL130, -999)</f>
        <v>1772080.9624099007</v>
      </c>
      <c r="FN130">
        <f>IF(AU130&lt;&gt;-999,AU130*$FL130, -999)</f>
        <v>-999</v>
      </c>
      <c r="FO130" s="29">
        <f>IF(AV130&lt;&gt;-999,AV130*$FL130, -999)</f>
        <v>1772080.9624099007</v>
      </c>
      <c r="FP130">
        <f t="shared" si="67"/>
        <v>7.2392800000000115</v>
      </c>
      <c r="FQ130">
        <f>IF(AW130&lt;&gt;-999,AW130*$FP130, -999)</f>
        <v>1532232.0436231885</v>
      </c>
      <c r="FR130">
        <f>IF(AX130&lt;&gt;-999,AX130*$FP130, -999)</f>
        <v>-999</v>
      </c>
      <c r="FS130" s="29">
        <f>IF(AY130&lt;&gt;-999,AY130*$FP130, -999)</f>
        <v>1532232.0436231885</v>
      </c>
      <c r="FT130">
        <f t="shared" si="68"/>
        <v>1.3112800000000142</v>
      </c>
      <c r="FU130">
        <f>IF(AZ130&lt;&gt;-999,AZ130*$FT130, -999)</f>
        <v>262496.79704582418</v>
      </c>
      <c r="FV130">
        <f>IF(BA130&lt;&gt;-999,BA130*$FT130, -999)</f>
        <v>-999</v>
      </c>
      <c r="FW130" s="29">
        <f>IF(BB130&lt;&gt;-999,BB130*$FT130, -999)</f>
        <v>262496.79704582418</v>
      </c>
      <c r="FX130">
        <f t="shared" si="69"/>
        <v>1.9372800000000119</v>
      </c>
      <c r="FY130">
        <f>IF(BC130&lt;&gt;-999, BC130*$FX130, -999)</f>
        <v>67534.53108983241</v>
      </c>
      <c r="FZ130">
        <f>IF(BD130&lt;&gt;-999, BD130*$FX130, -999)</f>
        <v>-999</v>
      </c>
      <c r="GA130" s="29">
        <f>IF(BE130&lt;&gt;-999, BE130*$FX130, -999)</f>
        <v>67534.53108983241</v>
      </c>
      <c r="GB130">
        <f t="shared" si="70"/>
        <v>-2.1347199999999873</v>
      </c>
      <c r="GC130">
        <f>IF(BF130&lt;&gt;-999,BF130*$GB130, -999)</f>
        <v>-88992.621286653026</v>
      </c>
      <c r="GD130">
        <f>IF(BG130&lt;&gt;-999,BG130*$GB130, -999)</f>
        <v>-999</v>
      </c>
      <c r="GE130" s="29">
        <f>IF(BH130&lt;&gt;-999,BH130*$GB130, -999)</f>
        <v>-88992.621286653026</v>
      </c>
      <c r="GF130">
        <f t="shared" si="71"/>
        <v>-10.847719999999988</v>
      </c>
      <c r="GG130">
        <f>IF(BI130&lt;&gt;-999,BI130*$GF130, -999)</f>
        <v>-427711.68917991547</v>
      </c>
      <c r="GH130">
        <f>IF(BJ130&lt;&gt;-999,BJ130*$GF130, -999)</f>
        <v>-999</v>
      </c>
      <c r="GI130" s="29">
        <f>IF(BK130&lt;&gt;-999,BK130*$GF130, -999)</f>
        <v>-427711.68917991547</v>
      </c>
      <c r="GJ130" s="30">
        <f t="shared" ref="GJ130:GJ174" si="103">FO130+FS130+FW130+GA130+GE130+GI130</f>
        <v>3117640.0237021772</v>
      </c>
    </row>
    <row r="131" spans="1:192">
      <c r="A131" s="48" t="s">
        <v>178</v>
      </c>
      <c r="B131" s="48" t="s">
        <v>217</v>
      </c>
      <c r="C131" s="49">
        <v>168</v>
      </c>
      <c r="D131" s="50">
        <v>0.56200000000000006</v>
      </c>
      <c r="E131" s="49">
        <v>179.693861351967</v>
      </c>
      <c r="F131" s="49">
        <v>0.77230540130204195</v>
      </c>
      <c r="G131" s="49">
        <v>147.72963613805101</v>
      </c>
      <c r="H131" s="49">
        <v>0.81300105645250897</v>
      </c>
      <c r="I131" s="42">
        <v>39033.599999999999</v>
      </c>
      <c r="J131" s="43">
        <v>-999</v>
      </c>
      <c r="K131" s="43">
        <f t="shared" si="78"/>
        <v>39033.599999999999</v>
      </c>
      <c r="L131" s="43">
        <v>23488.1</v>
      </c>
      <c r="M131" s="43">
        <v>-999</v>
      </c>
      <c r="N131" s="43">
        <f t="shared" si="79"/>
        <v>23488.1</v>
      </c>
      <c r="O131" s="43">
        <v>32660.799999999999</v>
      </c>
      <c r="P131" s="43">
        <v>-999</v>
      </c>
      <c r="Q131" s="43">
        <f t="shared" si="80"/>
        <v>32660.799999999999</v>
      </c>
      <c r="R131" s="43">
        <v>24376</v>
      </c>
      <c r="S131" s="43">
        <v>-999</v>
      </c>
      <c r="T131" s="43">
        <f t="shared" si="81"/>
        <v>24376</v>
      </c>
      <c r="U131" s="43">
        <v>14668</v>
      </c>
      <c r="V131" s="43">
        <v>-999</v>
      </c>
      <c r="W131" s="43">
        <f t="shared" si="82"/>
        <v>14668</v>
      </c>
      <c r="X131" s="43">
        <v>20396.3</v>
      </c>
      <c r="Y131" s="43">
        <v>-999</v>
      </c>
      <c r="Z131" s="43">
        <f t="shared" si="83"/>
        <v>20396.3</v>
      </c>
      <c r="AA131" s="22">
        <v>445135.5</v>
      </c>
      <c r="AB131">
        <v>-999</v>
      </c>
      <c r="AC131">
        <v>445135.5</v>
      </c>
      <c r="AD131">
        <v>267856.09999999998</v>
      </c>
      <c r="AE131">
        <v>-999</v>
      </c>
      <c r="AF131">
        <v>267856.09999999998</v>
      </c>
      <c r="AG131">
        <v>372460.7</v>
      </c>
      <c r="AH131">
        <v>-999</v>
      </c>
      <c r="AI131">
        <v>372460.7</v>
      </c>
      <c r="AJ131">
        <v>277982.09999999998</v>
      </c>
      <c r="AK131">
        <v>-999</v>
      </c>
      <c r="AL131">
        <v>277982.09999999998</v>
      </c>
      <c r="AM131">
        <v>167273.20000000001</v>
      </c>
      <c r="AN131">
        <v>-999</v>
      </c>
      <c r="AO131">
        <v>167273.20000000001</v>
      </c>
      <c r="AP131">
        <v>232597.5</v>
      </c>
      <c r="AQ131">
        <v>-999</v>
      </c>
      <c r="AR131">
        <v>232597.5</v>
      </c>
      <c r="AS131">
        <v>1763305.18</v>
      </c>
      <c r="AT131" s="22">
        <f t="shared" si="77"/>
        <v>741010.15612136247</v>
      </c>
      <c r="AU131">
        <f t="shared" si="77"/>
        <v>-999</v>
      </c>
      <c r="AV131">
        <f t="shared" si="77"/>
        <v>741010.15612136247</v>
      </c>
      <c r="AW131">
        <f t="shared" si="77"/>
        <v>445895.89120404742</v>
      </c>
      <c r="AX131">
        <f t="shared" si="77"/>
        <v>-999</v>
      </c>
      <c r="AY131">
        <f t="shared" si="77"/>
        <v>445895.89120404742</v>
      </c>
      <c r="AZ131">
        <f t="shared" si="77"/>
        <v>620029.54483763257</v>
      </c>
      <c r="BA131">
        <f t="shared" si="76"/>
        <v>-999</v>
      </c>
      <c r="BB131">
        <f t="shared" si="76"/>
        <v>620029.54483763257</v>
      </c>
      <c r="BC131">
        <f t="shared" si="76"/>
        <v>462752.48619789747</v>
      </c>
      <c r="BD131">
        <f t="shared" si="76"/>
        <v>-999</v>
      </c>
      <c r="BE131">
        <f t="shared" si="76"/>
        <v>462752.48619789747</v>
      </c>
      <c r="BF131">
        <f t="shared" si="76"/>
        <v>278457.09912357002</v>
      </c>
      <c r="BG131">
        <f t="shared" si="76"/>
        <v>-999</v>
      </c>
      <c r="BH131">
        <f t="shared" si="76"/>
        <v>278457.09912357002</v>
      </c>
      <c r="BI131">
        <f t="shared" si="76"/>
        <v>387201.44717381248</v>
      </c>
      <c r="BJ131">
        <f t="shared" si="75"/>
        <v>-999</v>
      </c>
      <c r="BK131">
        <f t="shared" si="75"/>
        <v>387201.44717381248</v>
      </c>
      <c r="BL131">
        <f t="shared" si="75"/>
        <v>2935346.7578330804</v>
      </c>
      <c r="BM131" s="22">
        <f>-17.17-(0.1023*E131)+F131*(100-8.576-13.681)</f>
        <v>24.488656797118431</v>
      </c>
      <c r="BN131">
        <f>IF(AT131&lt;&gt;-999,AT131*$BM131, -999)</f>
        <v>18146343.396435194</v>
      </c>
      <c r="BO131">
        <f>IF(AU131&lt;&gt;-999,AU131*$BM131, -999)</f>
        <v>-999</v>
      </c>
      <c r="BP131" s="25">
        <f>IF(AV131&lt;&gt;-999,AV131*$BM131, -999)</f>
        <v>18146343.396435194</v>
      </c>
      <c r="BQ131">
        <f>-19.943-(0.1023*E131)+F131*(100-8.576-13.681)</f>
        <v>21.715656797118427</v>
      </c>
      <c r="BR131">
        <f>IF(AW131&lt;&gt;-999,AW131*$BQ131, -999)</f>
        <v>9682922.1406323519</v>
      </c>
      <c r="BS131">
        <f>IF(AX131&lt;&gt;-999,AX131*$BQ131, -999)</f>
        <v>-999</v>
      </c>
      <c r="BT131" s="25">
        <f>IF(AY131&lt;&gt;-999,AY131*$BQ131, -999)</f>
        <v>9682922.1406323519</v>
      </c>
      <c r="BU131">
        <f>-25.871-(0.1023*E131)+F131*(100-8.576-13.681)</f>
        <v>15.78765679711843</v>
      </c>
      <c r="BV131">
        <f>IF(AZ131&lt;&gt;-999,AZ131*$BU131, -999)</f>
        <v>9788813.6579700969</v>
      </c>
      <c r="BW131">
        <f>IF(BA131&lt;&gt;-999,BA131*$BU131, -999)</f>
        <v>-999</v>
      </c>
      <c r="BX131" s="25">
        <f>IF(BB131&lt;&gt;-999,BB131*$BU131, -999)</f>
        <v>9788813.6579700969</v>
      </c>
      <c r="BY131">
        <f>-25.245-(0.1023*E131)+F131*(100-8.576-13.681)</f>
        <v>16.413656797118428</v>
      </c>
      <c r="BZ131">
        <f>IF(BC131&lt;&gt;-999,BC131*$BY131, -999)</f>
        <v>7595460.4904655712</v>
      </c>
      <c r="CA131">
        <f>IF(BD131&lt;&gt;-999,BD131*$BY131, -999)</f>
        <v>-999</v>
      </c>
      <c r="CB131" s="25">
        <f>IF(BE131&lt;&gt;-999,BE131*$BY131, -999)</f>
        <v>7595460.4904655712</v>
      </c>
      <c r="CC131">
        <f>-29.317-(0.1023*E131)+F131*(100-8.576-13.681)</f>
        <v>12.341656797118425</v>
      </c>
      <c r="CD131">
        <f>IF(BF131&lt;&gt;-999,BF131*$CC131, -999)</f>
        <v>3436621.9501042869</v>
      </c>
      <c r="CE131">
        <f>IF(BG131&lt;&gt;-999,BG131*$CC131, -999)</f>
        <v>-999</v>
      </c>
      <c r="CF131" s="25">
        <f>IF(BH131&lt;&gt;-999,BH131*$CC131, -999)</f>
        <v>3436621.9501042869</v>
      </c>
      <c r="CG131">
        <f>-38.03-(0.1023*E131)+F131*(100-8.576-13.681)</f>
        <v>3.6286567971184311</v>
      </c>
      <c r="CH131">
        <f>IF(BI131&lt;&gt;-999,BI131*$CG131, -999)</f>
        <v>1405021.1631413479</v>
      </c>
      <c r="CI131">
        <f>IF(BJ131&lt;&gt;-999,BJ131*$CG131, -999)</f>
        <v>-999</v>
      </c>
      <c r="CJ131" s="25">
        <f>IF(BK131&lt;&gt;-999,BK131*$CG131, -999)</f>
        <v>1405021.1631413479</v>
      </c>
      <c r="CK131" s="26">
        <f t="shared" si="84"/>
        <v>50055182.798748858</v>
      </c>
      <c r="CL131">
        <f t="shared" si="85"/>
        <v>-26.224232839455979</v>
      </c>
      <c r="CM131">
        <f t="shared" si="86"/>
        <v>32.619069205801708</v>
      </c>
      <c r="CN131">
        <f t="shared" si="87"/>
        <v>-84.051097606563658</v>
      </c>
      <c r="CO131" s="22">
        <f t="shared" si="88"/>
        <v>-40.08</v>
      </c>
      <c r="CP131">
        <f>IF(AT131&lt;&gt;-999,AT131*$CO131, -999)</f>
        <v>-29699687.057344206</v>
      </c>
      <c r="CQ131">
        <f>IF(AU131&lt;&gt;-999,AU131*$CO131, -999)</f>
        <v>-999</v>
      </c>
      <c r="CR131" s="27">
        <f>IF(AV131&lt;&gt;-999,AV131*$CO131, -999)</f>
        <v>-29699687.057344206</v>
      </c>
      <c r="CS131">
        <f t="shared" si="89"/>
        <v>-42.853000000000002</v>
      </c>
      <c r="CT131">
        <f>IF(AW131&lt;&gt;-999,AW131*$CS131, -999)</f>
        <v>-19107976.625767045</v>
      </c>
      <c r="CU131">
        <f>IF(AX131&lt;&gt;-999,AX131*$CS131, -999)</f>
        <v>-999</v>
      </c>
      <c r="CV131" s="27">
        <f>IF(AY131&lt;&gt;-999,AY131*$CS131, -999)</f>
        <v>-19107976.625767045</v>
      </c>
      <c r="CW131">
        <f t="shared" si="90"/>
        <v>-48.780999999999999</v>
      </c>
      <c r="CX131">
        <f>IF(AZ131&lt;&gt;-999,AZ131*$CO131, -999)</f>
        <v>-24850784.15709231</v>
      </c>
      <c r="CY131">
        <f>IF(BA131&lt;&gt;-999,BA131*$CO131, -999)</f>
        <v>-999</v>
      </c>
      <c r="CZ131" s="27">
        <f>IF(BB131&lt;&gt;-999,BB131*$CO131, -999)</f>
        <v>-24850784.15709231</v>
      </c>
      <c r="DA131">
        <f t="shared" si="91"/>
        <v>-48.155000000000001</v>
      </c>
      <c r="DB131">
        <f>IF(BC131&lt;&gt;-999,BC131*$DA131, -999)</f>
        <v>-22283845.972859751</v>
      </c>
      <c r="DC131">
        <f>IF(BD131&lt;&gt;-999,BD131*$DA131, -999)</f>
        <v>-999</v>
      </c>
      <c r="DD131" s="27">
        <f>IF(BE131&lt;&gt;-999,BE131*$DA131, -999)</f>
        <v>-22283845.972859751</v>
      </c>
      <c r="DE131">
        <f t="shared" si="92"/>
        <v>-52.227000000000004</v>
      </c>
      <c r="DF131">
        <f>IF(BF131&lt;&gt;-999,BF131*$DE131, -999)</f>
        <v>-14542978.915926693</v>
      </c>
      <c r="DG131">
        <f>IF(BG131&lt;&gt;-999,BG131*$DE131, -999)</f>
        <v>-999</v>
      </c>
      <c r="DH131" s="27">
        <f>IF(BH131&lt;&gt;-999,BH131*$DE131, -999)</f>
        <v>-14542978.915926693</v>
      </c>
      <c r="DI131">
        <f t="shared" si="93"/>
        <v>-60.94</v>
      </c>
      <c r="DJ131">
        <f>IF(BI131&lt;&gt;-999,BI131*$DI131, -999)</f>
        <v>-23596056.190772131</v>
      </c>
      <c r="DK131">
        <f>IF(BJ131&lt;&gt;-999,BJ131*$DI131, -999)</f>
        <v>-999</v>
      </c>
      <c r="DL131" s="27">
        <f>IF(BK131&lt;&gt;-999,BK131*$DI131, -999)</f>
        <v>-23596056.190772131</v>
      </c>
      <c r="DM131" s="28">
        <f t="shared" si="94"/>
        <v>-134081328.91976213</v>
      </c>
      <c r="DN131" s="22">
        <f t="shared" si="95"/>
        <v>-17.170000000000002</v>
      </c>
      <c r="DO131">
        <f>IF(AT131&lt;&gt;-999,AT131*$DN131, -999)</f>
        <v>-12723144.380603794</v>
      </c>
      <c r="DP131">
        <f>IF(AU131&lt;&gt;-999,AU131*$DN131, -999)</f>
        <v>-999</v>
      </c>
      <c r="DQ131" s="24">
        <f>IF(AV131&lt;&gt;-999,AV131*$DN131, -999)</f>
        <v>-12723144.380603794</v>
      </c>
      <c r="DR131">
        <f t="shared" si="96"/>
        <v>-19.943000000000001</v>
      </c>
      <c r="DS131">
        <f>IF(AW131&lt;&gt;-999,AW131*$DR131, -999)</f>
        <v>-8892501.7582823187</v>
      </c>
      <c r="DT131">
        <f>IF(AX131&lt;&gt;-999,AX131*$DR131, -999)</f>
        <v>-999</v>
      </c>
      <c r="DU131" s="24">
        <f>IF(AY131&lt;&gt;-999,AY131*$DR131, -999)</f>
        <v>-8892501.7582823187</v>
      </c>
      <c r="DV131">
        <f t="shared" si="97"/>
        <v>-25.870999999999999</v>
      </c>
      <c r="DW131">
        <f>IF(AZ131&lt;&gt;-999,AZ131*$DV131, -999)</f>
        <v>-16040784.354494391</v>
      </c>
      <c r="DX131">
        <f>IF(BA131&lt;&gt;-999,BA131*$DV131, -999)</f>
        <v>-999</v>
      </c>
      <c r="DY131" s="24">
        <f>IF(BB131&lt;&gt;-999,BB131*$DV131, -999)</f>
        <v>-16040784.354494391</v>
      </c>
      <c r="DZ131">
        <f t="shared" si="98"/>
        <v>-25.245000000000001</v>
      </c>
      <c r="EA131">
        <f>IF(BC131&lt;&gt;-999, BC131*$DZ131, -999)</f>
        <v>-11682186.514065921</v>
      </c>
      <c r="EB131">
        <f>IF(BD131&lt;&gt;-999, BD131*$DZ131, -999)</f>
        <v>-999</v>
      </c>
      <c r="EC131" s="24">
        <f>IF(BE131&lt;&gt;-999, BE131*$DZ131, -999)</f>
        <v>-11682186.514065921</v>
      </c>
      <c r="ED131">
        <f t="shared" si="99"/>
        <v>-29.317</v>
      </c>
      <c r="EE131">
        <f>IF(BF131&lt;&gt;-999,BF131*$ED131, -999)</f>
        <v>-8163526.7750057019</v>
      </c>
      <c r="EF131">
        <f>IF(BG131&lt;&gt;-999,BG131*$ED131, -999)</f>
        <v>-999</v>
      </c>
      <c r="EG131" s="24">
        <f>IF(BH131&lt;&gt;-999,BH131*$ED131, -999)</f>
        <v>-8163526.7750057019</v>
      </c>
      <c r="EH131">
        <f t="shared" si="100"/>
        <v>-38.03</v>
      </c>
      <c r="EI131">
        <f>IF(BI131&lt;&gt;-999,BI131*$EH131, -999)</f>
        <v>-14725271.036020089</v>
      </c>
      <c r="EJ131">
        <f>IF(BJ131&lt;&gt;-999,BJ131*$EH131, -999)</f>
        <v>-999</v>
      </c>
      <c r="EK131" s="24">
        <f>IF(BK131&lt;&gt;-999,BK131*$EH131, -999)</f>
        <v>-14725271.036020089</v>
      </c>
      <c r="EL131" s="28">
        <f t="shared" si="101"/>
        <v>-72227414.818472207</v>
      </c>
      <c r="EM131" s="22">
        <f>-17.17-(0.1023*G131)+H131*(100+102.093-66.644-64.243)</f>
        <v>25.607811448834745</v>
      </c>
      <c r="EN131">
        <f>IF(AT131&lt;&gt;-999,AT131*$EM131, -999)</f>
        <v>18975648.359627448</v>
      </c>
      <c r="EO131">
        <f>IF(AU131&lt;&gt;-999,AU131*$EM131, -999)</f>
        <v>-999</v>
      </c>
      <c r="EP131" s="23">
        <f>IF(AV131&lt;&gt;-999,AV131*$EM131, -999)</f>
        <v>18975648.359627448</v>
      </c>
      <c r="EQ131">
        <f>-19.943-(0.1023*G131)+H131*(100+102.093-66.644-64.243)</f>
        <v>22.834811448834749</v>
      </c>
      <c r="ER131">
        <f>IF(AW131&lt;&gt;-999,AW131*$EQ131, -999)</f>
        <v>10181948.601454556</v>
      </c>
      <c r="ES131">
        <f>IF(AX131&lt;&gt;-999,AX131*$EQ131, -999)</f>
        <v>-999</v>
      </c>
      <c r="ET131" s="23">
        <f>IF(AY131&lt;&gt;-999,AY131*$EQ131, -999)</f>
        <v>10181948.601454556</v>
      </c>
      <c r="EU131">
        <f>-25.871-(0.1023*G131)+H131*(100+102.093-66.644-64.243)</f>
        <v>16.906811448834752</v>
      </c>
      <c r="EV131">
        <f>IF(AZ131&lt;&gt;-999,AZ131*$EU131, -999)</f>
        <v>10482722.607276686</v>
      </c>
      <c r="EW131">
        <f>IF(BA131&lt;&gt;-999,BA131*$EU131, -999)</f>
        <v>-999</v>
      </c>
      <c r="EX131" s="23">
        <f>IF(BB131&lt;&gt;-999,BB131*$EU131, -999)</f>
        <v>10482722.607276686</v>
      </c>
      <c r="EY131">
        <f>-25.245-(0.1023*G131)+H131*(100+102.093-66.644-64.243)</f>
        <v>17.532811448834742</v>
      </c>
      <c r="EZ131">
        <f>IF(BC131&lt;&gt;-999, BC131*$EY131, -999)</f>
        <v>8113352.0879872376</v>
      </c>
      <c r="FA131">
        <f>IF(BD131&lt;&gt;-999, BD131*$EY131, -999)</f>
        <v>-999</v>
      </c>
      <c r="FB131" s="23">
        <f>IF(BE131&lt;&gt;-999, BE131*$EY131, -999)</f>
        <v>8113352.0879872376</v>
      </c>
      <c r="FC131">
        <f>-29.317-(0.1023*G131)+H131*(100+102.093-66.644-64.243)</f>
        <v>13.460811448834747</v>
      </c>
      <c r="FD131">
        <f>IF(BF131&lt;&gt;-999,BF131*$FC131, -999)</f>
        <v>3748258.5078918631</v>
      </c>
      <c r="FE131">
        <f>IF(BG131&lt;&gt;-999,BG131*$FC131, -999)</f>
        <v>-999</v>
      </c>
      <c r="FF131" s="23">
        <f>IF(BH131&lt;&gt;-999,BH131*$FC131, -999)</f>
        <v>3748258.5078918631</v>
      </c>
      <c r="FG131">
        <f>-38.03-(0.1023*G131)+H131*(100+102.093-66.644-64.243)</f>
        <v>4.7478114488347458</v>
      </c>
      <c r="FH131">
        <f>IF(BI131&lt;&gt;-999,BI131*$FG131, -999)</f>
        <v>1838359.4638972089</v>
      </c>
      <c r="FI131">
        <f>IF(BJ131&lt;&gt;-999,BJ131*$FG131, -999)</f>
        <v>-999</v>
      </c>
      <c r="FJ131" s="23">
        <f>IF(BK131&lt;&gt;-999,BK131*$FG131, -999)</f>
        <v>1838359.4638972089</v>
      </c>
      <c r="FK131" s="28">
        <f t="shared" si="102"/>
        <v>53340289.628134996</v>
      </c>
      <c r="FL131" s="22">
        <f t="shared" ref="FL131:FL174" si="104">-17.17+0.435*(100+83.36-27.092-93.78)</f>
        <v>10.012280000000011</v>
      </c>
      <c r="FM131">
        <f>IF(AT131&lt;&gt;-999,AT131*$FL131, -999)</f>
        <v>7419201.1659308029</v>
      </c>
      <c r="FN131">
        <f>IF(AU131&lt;&gt;-999,AU131*$FL131, -999)</f>
        <v>-999</v>
      </c>
      <c r="FO131" s="29">
        <f>IF(AV131&lt;&gt;-999,AV131*$FL131, -999)</f>
        <v>7419201.1659308029</v>
      </c>
      <c r="FP131">
        <f t="shared" ref="FP131:FP174" si="105">-19.943+0.435*(100+83.36-27.092-93.78)</f>
        <v>7.2392800000000115</v>
      </c>
      <c r="FQ131">
        <f>IF(AW131&lt;&gt;-999,AW131*$FP131, -999)</f>
        <v>3227965.2072756416</v>
      </c>
      <c r="FR131">
        <f>IF(AX131&lt;&gt;-999,AX131*$FP131, -999)</f>
        <v>-999</v>
      </c>
      <c r="FS131" s="29">
        <f>IF(AY131&lt;&gt;-999,AY131*$FP131, -999)</f>
        <v>3227965.2072756416</v>
      </c>
      <c r="FT131">
        <f t="shared" ref="FT131:FT174" si="106">-25.871+0.435*(100+83.36-27.092-93.78)</f>
        <v>1.3112800000000142</v>
      </c>
      <c r="FU131">
        <f>IF(AZ131&lt;&gt;-999,AZ131*$FT131, -999)</f>
        <v>813032.3415546997</v>
      </c>
      <c r="FV131">
        <f>IF(BA131&lt;&gt;-999,BA131*$FT131, -999)</f>
        <v>-999</v>
      </c>
      <c r="FW131" s="29">
        <f>IF(BB131&lt;&gt;-999,BB131*$FT131, -999)</f>
        <v>813032.3415546997</v>
      </c>
      <c r="FX131">
        <f t="shared" ref="FX131:FX174" si="107">-25.245+0.435*(100+83.36-27.092-93.78)</f>
        <v>1.9372800000000119</v>
      </c>
      <c r="FY131">
        <f>IF(BC131&lt;&gt;-999, BC131*$FX131, -999)</f>
        <v>896481.1364614683</v>
      </c>
      <c r="FZ131">
        <f>IF(BD131&lt;&gt;-999, BD131*$FX131, -999)</f>
        <v>-999</v>
      </c>
      <c r="GA131" s="29">
        <f>IF(BE131&lt;&gt;-999, BE131*$FX131, -999)</f>
        <v>896481.1364614683</v>
      </c>
      <c r="GB131">
        <f t="shared" ref="GB131:GB174" si="108">-29.317+0.435*(100+83.36-27.092-93.78)</f>
        <v>-2.1347199999999873</v>
      </c>
      <c r="GC131">
        <f>IF(BF131&lt;&gt;-999,BF131*$GB131, -999)</f>
        <v>-594427.93864106387</v>
      </c>
      <c r="GD131">
        <f>IF(BG131&lt;&gt;-999,BG131*$GB131, -999)</f>
        <v>-999</v>
      </c>
      <c r="GE131" s="29">
        <f>IF(BH131&lt;&gt;-999,BH131*$GB131, -999)</f>
        <v>-594427.93864106387</v>
      </c>
      <c r="GF131">
        <f t="shared" ref="GF131:GF174" si="109">-38.03+0.435*(100+83.36-27.092-93.78)</f>
        <v>-10.847719999999988</v>
      </c>
      <c r="GG131">
        <f>IF(BI131&lt;&gt;-999,BI131*$GF131, -999)</f>
        <v>-4200252.8825363042</v>
      </c>
      <c r="GH131">
        <f>IF(BJ131&lt;&gt;-999,BJ131*$GF131, -999)</f>
        <v>-999</v>
      </c>
      <c r="GI131" s="29">
        <f>IF(BK131&lt;&gt;-999,BK131*$GF131, -999)</f>
        <v>-4200252.8825363042</v>
      </c>
      <c r="GJ131" s="30">
        <f t="shared" si="103"/>
        <v>7561999.0300452439</v>
      </c>
    </row>
    <row r="132" spans="1:192">
      <c r="A132" s="48" t="s">
        <v>161</v>
      </c>
      <c r="B132" s="48" t="s">
        <v>264</v>
      </c>
      <c r="C132" s="49">
        <v>41</v>
      </c>
      <c r="D132" s="50">
        <v>0.56100000000000005</v>
      </c>
      <c r="E132" s="49">
        <v>44.053796586441599</v>
      </c>
      <c r="F132" s="49">
        <v>0.79281211077882696</v>
      </c>
      <c r="G132" s="49">
        <v>216.96200217146401</v>
      </c>
      <c r="H132" s="49">
        <v>0.80583148203939603</v>
      </c>
      <c r="I132" s="42">
        <v>16026.8</v>
      </c>
      <c r="J132" s="43">
        <v>50454.7</v>
      </c>
      <c r="K132" s="43">
        <f t="shared" si="78"/>
        <v>66481.5</v>
      </c>
      <c r="L132" s="43">
        <v>14297</v>
      </c>
      <c r="M132" s="43">
        <v>45009.1</v>
      </c>
      <c r="N132" s="43">
        <f t="shared" si="79"/>
        <v>59306.1</v>
      </c>
      <c r="O132" s="43">
        <v>32916.400000000001</v>
      </c>
      <c r="P132" s="43">
        <v>103625.5</v>
      </c>
      <c r="Q132" s="43">
        <f t="shared" si="80"/>
        <v>136541.9</v>
      </c>
      <c r="R132" s="43">
        <v>15834.4</v>
      </c>
      <c r="S132" s="43">
        <v>49848.800000000003</v>
      </c>
      <c r="T132" s="43">
        <f t="shared" si="81"/>
        <v>65683.199999999997</v>
      </c>
      <c r="U132" s="43">
        <v>14125.3</v>
      </c>
      <c r="V132" s="43">
        <v>44468.6</v>
      </c>
      <c r="W132" s="43">
        <f t="shared" si="82"/>
        <v>58593.899999999994</v>
      </c>
      <c r="X132" s="43">
        <v>32521.1</v>
      </c>
      <c r="Y132" s="43">
        <v>102381.2</v>
      </c>
      <c r="Z132" s="43">
        <f t="shared" si="83"/>
        <v>134902.29999999999</v>
      </c>
      <c r="AA132" s="22">
        <v>221844.2</v>
      </c>
      <c r="AB132">
        <v>336451.1</v>
      </c>
      <c r="AC132">
        <v>558295.4</v>
      </c>
      <c r="AD132">
        <v>197900.4</v>
      </c>
      <c r="AE132">
        <v>300137.59999999998</v>
      </c>
      <c r="AF132">
        <v>498038</v>
      </c>
      <c r="AG132">
        <v>455631.1</v>
      </c>
      <c r="AH132">
        <v>691014.6</v>
      </c>
      <c r="AI132">
        <v>1146645.7</v>
      </c>
      <c r="AJ132">
        <v>219180.3</v>
      </c>
      <c r="AK132">
        <v>332410.90000000002</v>
      </c>
      <c r="AL132">
        <v>551591.19999999995</v>
      </c>
      <c r="AM132">
        <v>195524</v>
      </c>
      <c r="AN132">
        <v>296533.5</v>
      </c>
      <c r="AO132">
        <v>492057.5</v>
      </c>
      <c r="AP132">
        <v>450159.8</v>
      </c>
      <c r="AQ132">
        <v>682716.7</v>
      </c>
      <c r="AR132">
        <v>1132876.5</v>
      </c>
      <c r="AS132">
        <v>4379504.38</v>
      </c>
      <c r="AT132" s="22">
        <f t="shared" si="77"/>
        <v>369300.595608795</v>
      </c>
      <c r="AU132">
        <f t="shared" si="77"/>
        <v>560084.92276667245</v>
      </c>
      <c r="AV132">
        <f t="shared" si="77"/>
        <v>929385.68484391505</v>
      </c>
      <c r="AW132">
        <f t="shared" si="77"/>
        <v>329441.72347629</v>
      </c>
      <c r="AX132">
        <f t="shared" si="77"/>
        <v>499634.40308375994</v>
      </c>
      <c r="AY132">
        <f t="shared" si="77"/>
        <v>829076.12656004995</v>
      </c>
      <c r="AZ132">
        <f t="shared" si="77"/>
        <v>758482.01849717251</v>
      </c>
      <c r="BA132">
        <f t="shared" si="76"/>
        <v>1150321.2766183349</v>
      </c>
      <c r="BB132">
        <f t="shared" si="76"/>
        <v>1908803.2951155074</v>
      </c>
      <c r="BC132">
        <f t="shared" si="76"/>
        <v>364866.04263584246</v>
      </c>
      <c r="BD132">
        <f t="shared" si="76"/>
        <v>553359.2645507775</v>
      </c>
      <c r="BE132">
        <f t="shared" si="76"/>
        <v>918225.30718661984</v>
      </c>
      <c r="BF132">
        <f t="shared" si="76"/>
        <v>325485.76728989999</v>
      </c>
      <c r="BG132">
        <f t="shared" si="76"/>
        <v>493634.71376741253</v>
      </c>
      <c r="BH132">
        <f t="shared" si="76"/>
        <v>819120.48105731246</v>
      </c>
      <c r="BI132">
        <f t="shared" si="76"/>
        <v>749374.03032910498</v>
      </c>
      <c r="BJ132">
        <f t="shared" si="75"/>
        <v>1136507.8913132325</v>
      </c>
      <c r="BK132">
        <f t="shared" si="75"/>
        <v>1885881.9216423375</v>
      </c>
      <c r="BL132">
        <f t="shared" si="75"/>
        <v>7290492.9495805008</v>
      </c>
      <c r="BM132" s="22">
        <f>-17.17-(0.1023*E132)+F132*(100-8.576-13.681)</f>
        <v>39.958888537485379</v>
      </c>
      <c r="BN132">
        <f>IF(AT132&lt;&gt;-999,AT132*$BM132, -999)</f>
        <v>14756841.336758802</v>
      </c>
      <c r="BO132">
        <f>IF(AU132&lt;&gt;-999,AU132*$BM132, -999)</f>
        <v>22380371.000359572</v>
      </c>
      <c r="BP132" s="25">
        <f>IF(AV132&lt;&gt;-999,AV132*$BM132, -999)</f>
        <v>37137218.989012517</v>
      </c>
      <c r="BQ132">
        <f>-19.943-(0.1023*E132)+F132*(100-8.576-13.681)</f>
        <v>37.185888537485376</v>
      </c>
      <c r="BR132">
        <f>IF(AW132&lt;&gt;-999,AW132*$BQ132, -999)</f>
        <v>12250583.2087864</v>
      </c>
      <c r="BS132">
        <f>IF(AX132&lt;&gt;-999,AX132*$BQ132, -999)</f>
        <v>18579349.222565737</v>
      </c>
      <c r="BT132" s="25">
        <f>IF(AY132&lt;&gt;-999,AY132*$BQ132, -999)</f>
        <v>30829932.431352135</v>
      </c>
      <c r="BU132">
        <f>-25.871-(0.1023*E132)+F132*(100-8.576-13.681)</f>
        <v>31.257888537485378</v>
      </c>
      <c r="BV132">
        <f>IF(AZ132&lt;&gt;-999,AZ132*$BU132, -999)</f>
        <v>23708546.391871542</v>
      </c>
      <c r="BW132">
        <f>IF(BA132&lt;&gt;-999,BA132*$BU132, -999)</f>
        <v>35956614.246833801</v>
      </c>
      <c r="BX132" s="25">
        <f>IF(BB132&lt;&gt;-999,BB132*$BU132, -999)</f>
        <v>59665160.638705343</v>
      </c>
      <c r="BY132">
        <f>-25.245-(0.1023*E132)+F132*(100-8.576-13.681)</f>
        <v>31.883888537485376</v>
      </c>
      <c r="BZ132">
        <f>IF(BC132&lt;&gt;-999,BC132*$BY132, -999)</f>
        <v>11633348.234514588</v>
      </c>
      <c r="CA132">
        <f>IF(BD132&lt;&gt;-999,BD132*$BY132, -999)</f>
        <v>17643245.112121873</v>
      </c>
      <c r="CB132" s="25">
        <f>IF(BE132&lt;&gt;-999,BE132*$BY132, -999)</f>
        <v>29276593.346636456</v>
      </c>
      <c r="CC132">
        <f>-29.317-(0.1023*E132)+F132*(100-8.576-13.681)</f>
        <v>27.811888537485373</v>
      </c>
      <c r="CD132">
        <f>IF(BF132&lt;&gt;-999,BF132*$CC132, -999)</f>
        <v>9052373.8804046009</v>
      </c>
      <c r="CE132">
        <f>IF(BG132&lt;&gt;-999,BG132*$CC132, -999)</f>
        <v>13728913.637532774</v>
      </c>
      <c r="CF132" s="25">
        <f>IF(BH132&lt;&gt;-999,BH132*$CC132, -999)</f>
        <v>22781287.517937373</v>
      </c>
      <c r="CG132">
        <f>-38.03-(0.1023*E132)+F132*(100-8.576-13.681)</f>
        <v>19.098888537485372</v>
      </c>
      <c r="CH132">
        <f>IF(BI132&lt;&gt;-999,BI132*$CG132, -999)</f>
        <v>14312211.078141758</v>
      </c>
      <c r="CI132">
        <f>IF(BJ132&lt;&gt;-999,BJ132*$CG132, -999)</f>
        <v>21706037.538163967</v>
      </c>
      <c r="CJ132" s="25">
        <f>IF(BK132&lt;&gt;-999,BK132*$CG132, -999)</f>
        <v>36018248.616305724</v>
      </c>
      <c r="CK132" s="26">
        <f t="shared" si="84"/>
        <v>215708441.53994954</v>
      </c>
      <c r="CL132">
        <f t="shared" si="85"/>
        <v>-42.472455959992821</v>
      </c>
      <c r="CM132">
        <f t="shared" si="86"/>
        <v>14.84881774678324</v>
      </c>
      <c r="CN132">
        <f t="shared" si="87"/>
        <v>-98.803583339124046</v>
      </c>
      <c r="CO132" s="22">
        <f t="shared" si="88"/>
        <v>-40.08</v>
      </c>
      <c r="CP132">
        <f>IF(AT132&lt;&gt;-999,AT132*$CO132, -999)</f>
        <v>-14801567.872000502</v>
      </c>
      <c r="CQ132">
        <f>IF(AU132&lt;&gt;-999,AU132*$CO132, -999)</f>
        <v>-22448203.704488229</v>
      </c>
      <c r="CR132" s="27">
        <f>IF(AV132&lt;&gt;-999,AV132*$CO132, -999)</f>
        <v>-37249778.248544112</v>
      </c>
      <c r="CS132">
        <f t="shared" si="89"/>
        <v>-42.853000000000002</v>
      </c>
      <c r="CT132">
        <f>IF(AW132&lt;&gt;-999,AW132*$CS132, -999)</f>
        <v>-14117566.176129457</v>
      </c>
      <c r="CU132">
        <f>IF(AX132&lt;&gt;-999,AX132*$CS132, -999)</f>
        <v>-21410833.075348366</v>
      </c>
      <c r="CV132" s="27">
        <f>IF(AY132&lt;&gt;-999,AY132*$CS132, -999)</f>
        <v>-35528399.251477823</v>
      </c>
      <c r="CW132">
        <f t="shared" si="90"/>
        <v>-48.780999999999999</v>
      </c>
      <c r="CX132">
        <f>IF(AZ132&lt;&gt;-999,AZ132*$CO132, -999)</f>
        <v>-30399959.301366672</v>
      </c>
      <c r="CY132">
        <f>IF(BA132&lt;&gt;-999,BA132*$CO132, -999)</f>
        <v>-46104876.766862862</v>
      </c>
      <c r="CZ132" s="27">
        <f>IF(BB132&lt;&gt;-999,BB132*$CO132, -999)</f>
        <v>-76504836.068229541</v>
      </c>
      <c r="DA132">
        <f t="shared" si="91"/>
        <v>-48.155000000000001</v>
      </c>
      <c r="DB132">
        <f>IF(BC132&lt;&gt;-999,BC132*$DA132, -999)</f>
        <v>-17570124.283128995</v>
      </c>
      <c r="DC132">
        <f>IF(BD132&lt;&gt;-999,BD132*$DA132, -999)</f>
        <v>-26647015.384442691</v>
      </c>
      <c r="DD132" s="27">
        <f>IF(BE132&lt;&gt;-999,BE132*$DA132, -999)</f>
        <v>-44217139.667571679</v>
      </c>
      <c r="DE132">
        <f t="shared" si="92"/>
        <v>-52.227000000000004</v>
      </c>
      <c r="DF132">
        <f>IF(BF132&lt;&gt;-999,BF132*$DE132, -999)</f>
        <v>-16999145.168249607</v>
      </c>
      <c r="DG132">
        <f>IF(BG132&lt;&gt;-999,BG132*$DE132, -999)</f>
        <v>-25781060.195930656</v>
      </c>
      <c r="DH132" s="27">
        <f>IF(BH132&lt;&gt;-999,BH132*$DE132, -999)</f>
        <v>-42780205.364180259</v>
      </c>
      <c r="DI132">
        <f t="shared" si="93"/>
        <v>-60.94</v>
      </c>
      <c r="DJ132">
        <f>IF(BI132&lt;&gt;-999,BI132*$DI132, -999)</f>
        <v>-45666853.408255659</v>
      </c>
      <c r="DK132">
        <f>IF(BJ132&lt;&gt;-999,BJ132*$DI132, -999)</f>
        <v>-69258790.89662838</v>
      </c>
      <c r="DL132" s="27">
        <f>IF(BK132&lt;&gt;-999,BK132*$DI132, -999)</f>
        <v>-114925644.30488405</v>
      </c>
      <c r="DM132" s="28">
        <f t="shared" si="94"/>
        <v>-351206002.90488744</v>
      </c>
      <c r="DN132" s="22">
        <f t="shared" si="95"/>
        <v>-17.170000000000002</v>
      </c>
      <c r="DO132">
        <f>IF(AT132&lt;&gt;-999,AT132*$DN132, -999)</f>
        <v>-6340891.2266030107</v>
      </c>
      <c r="DP132">
        <f>IF(AU132&lt;&gt;-999,AU132*$DN132, -999)</f>
        <v>-9616658.1239037663</v>
      </c>
      <c r="DQ132" s="24">
        <f>IF(AV132&lt;&gt;-999,AV132*$DN132, -999)</f>
        <v>-15957552.208770024</v>
      </c>
      <c r="DR132">
        <f t="shared" si="96"/>
        <v>-19.943000000000001</v>
      </c>
      <c r="DS132">
        <f>IF(AW132&lt;&gt;-999,AW132*$DR132, -999)</f>
        <v>-6570056.2912876522</v>
      </c>
      <c r="DT132">
        <f>IF(AX132&lt;&gt;-999,AX132*$DR132, -999)</f>
        <v>-9964208.9006994255</v>
      </c>
      <c r="DU132" s="24">
        <f>IF(AY132&lt;&gt;-999,AY132*$DR132, -999)</f>
        <v>-16534265.191987077</v>
      </c>
      <c r="DV132">
        <f t="shared" si="97"/>
        <v>-25.870999999999999</v>
      </c>
      <c r="DW132">
        <f>IF(AZ132&lt;&gt;-999,AZ132*$DV132, -999)</f>
        <v>-19622688.30054035</v>
      </c>
      <c r="DX132">
        <f>IF(BA132&lt;&gt;-999,BA132*$DV132, -999)</f>
        <v>-29759961.747392941</v>
      </c>
      <c r="DY132" s="24">
        <f>IF(BB132&lt;&gt;-999,BB132*$DV132, -999)</f>
        <v>-49382650.047933288</v>
      </c>
      <c r="DZ132">
        <f t="shared" si="98"/>
        <v>-25.245000000000001</v>
      </c>
      <c r="EA132">
        <f>IF(BC132&lt;&gt;-999, BC132*$DZ132, -999)</f>
        <v>-9211043.2463418432</v>
      </c>
      <c r="EB132">
        <f>IF(BD132&lt;&gt;-999, BD132*$DZ132, -999)</f>
        <v>-13969554.633584378</v>
      </c>
      <c r="EC132" s="24">
        <f>IF(BE132&lt;&gt;-999, BE132*$DZ132, -999)</f>
        <v>-23180597.87992622</v>
      </c>
      <c r="ED132">
        <f t="shared" si="99"/>
        <v>-29.317</v>
      </c>
      <c r="EE132">
        <f>IF(BF132&lt;&gt;-999,BF132*$ED132, -999)</f>
        <v>-9542266.2396379989</v>
      </c>
      <c r="EF132">
        <f>IF(BG132&lt;&gt;-999,BG132*$ED132, -999)</f>
        <v>-14471888.903519234</v>
      </c>
      <c r="EG132" s="24">
        <f>IF(BH132&lt;&gt;-999,BH132*$ED132, -999)</f>
        <v>-24014155.143157229</v>
      </c>
      <c r="EH132">
        <f t="shared" si="100"/>
        <v>-38.03</v>
      </c>
      <c r="EI132">
        <f>IF(BI132&lt;&gt;-999,BI132*$EH132, -999)</f>
        <v>-28498694.373415865</v>
      </c>
      <c r="EJ132">
        <f>IF(BJ132&lt;&gt;-999,BJ132*$EH132, -999)</f>
        <v>-43221395.106642231</v>
      </c>
      <c r="EK132" s="24">
        <f>IF(BK132&lt;&gt;-999,BK132*$EH132, -999)</f>
        <v>-71720089.480058089</v>
      </c>
      <c r="EL132" s="28">
        <f t="shared" si="101"/>
        <v>-200789309.95183194</v>
      </c>
      <c r="EM132" s="22">
        <f>-17.17-(0.1023*G132)+H132*(100+102.093-66.644-64.243)</f>
        <v>18.014823687956479</v>
      </c>
      <c r="EN132">
        <f>IF(AT132&lt;&gt;-999,AT132*$EM132, -999)</f>
        <v>6652885.1177497571</v>
      </c>
      <c r="EO132">
        <f>IF(AU132&lt;&gt;-999,AU132*$EM132, -999)</f>
        <v>10089831.133924326</v>
      </c>
      <c r="EP132" s="23">
        <f>IF(AV132&lt;&gt;-999,AV132*$EM132, -999)</f>
        <v>16742719.250573816</v>
      </c>
      <c r="EQ132">
        <f>-19.943-(0.1023*G132)+H132*(100+102.093-66.644-64.243)</f>
        <v>15.241823687956476</v>
      </c>
      <c r="ER132">
        <f>IF(AW132&lt;&gt;-999,AW132*$EQ132, -999)</f>
        <v>5021292.6646821238</v>
      </c>
      <c r="ES132">
        <f>IF(AX132&lt;&gt;-999,AX132*$EQ132, -999)</f>
        <v>7615339.480240046</v>
      </c>
      <c r="ET132" s="23">
        <f>IF(AY132&lt;&gt;-999,AY132*$EQ132, -999)</f>
        <v>12636632.144922171</v>
      </c>
      <c r="EU132">
        <f>-25.871-(0.1023*G132)+H132*(100+102.093-66.644-64.243)</f>
        <v>9.3138236879564786</v>
      </c>
      <c r="EV132">
        <f>IF(AZ132&lt;&gt;-999,AZ132*$EU132, -999)</f>
        <v>7064367.7907680096</v>
      </c>
      <c r="EW132">
        <f>IF(BA132&lt;&gt;-999,BA132*$EU132, -999)</f>
        <v>10713889.554928185</v>
      </c>
      <c r="EX132" s="23">
        <f>IF(BB132&lt;&gt;-999,BB132*$EU132, -999)</f>
        <v>17778257.345696196</v>
      </c>
      <c r="EY132">
        <f>-25.245-(0.1023*G132)+H132*(100+102.093-66.644-64.243)</f>
        <v>9.9398236879564834</v>
      </c>
      <c r="EZ132">
        <f>IF(BC132&lt;&gt;-999, BC132*$EY132, -999)</f>
        <v>3626704.133522687</v>
      </c>
      <c r="FA132">
        <f>IF(BD132&lt;&gt;-999, BD132*$EY132, -999)</f>
        <v>5500293.5257319966</v>
      </c>
      <c r="FB132" s="23">
        <f>IF(BE132&lt;&gt;-999, BE132*$EY132, -999)</f>
        <v>9126997.6592546832</v>
      </c>
      <c r="FC132">
        <f>-29.317-(0.1023*G132)+H132*(100+102.093-66.644-64.243)</f>
        <v>5.8678236879564807</v>
      </c>
      <c r="FD132">
        <f>IF(BF132&lt;&gt;-999,BF132*$FC132, -999)</f>
        <v>1909893.0953963657</v>
      </c>
      <c r="FE132">
        <f>IF(BG132&lt;&gt;-999,BG132*$FC132, -999)</f>
        <v>2896561.4666420403</v>
      </c>
      <c r="FF132" s="23">
        <f>IF(BH132&lt;&gt;-999,BH132*$FC132, -999)</f>
        <v>4806454.5620384058</v>
      </c>
      <c r="FG132">
        <f>-38.03-(0.1023*G132)+H132*(100+102.093-66.644-64.243)</f>
        <v>-2.8451763120435203</v>
      </c>
      <c r="FH132">
        <f>IF(BI132&lt;&gt;-999,BI132*$FG132, -999)</f>
        <v>-2132101.2399529521</v>
      </c>
      <c r="FI132">
        <f>IF(BJ132&lt;&gt;-999,BJ132*$FG132, -999)</f>
        <v>-3233565.3308149409</v>
      </c>
      <c r="FJ132" s="23">
        <f>IF(BK132&lt;&gt;-999,BK132*$FG132, -999)</f>
        <v>-5365666.5707678925</v>
      </c>
      <c r="FK132" s="28">
        <f t="shared" si="102"/>
        <v>55725394.391717382</v>
      </c>
      <c r="FL132" s="22">
        <f t="shared" si="104"/>
        <v>10.012280000000011</v>
      </c>
      <c r="FM132">
        <f>IF(AT132&lt;&gt;-999,AT132*$FL132, -999)</f>
        <v>3697540.9674020302</v>
      </c>
      <c r="FN132">
        <f>IF(AU132&lt;&gt;-999,AU132*$FL132, -999)</f>
        <v>5607727.0705183055</v>
      </c>
      <c r="FO132" s="29">
        <f>IF(AV132&lt;&gt;-999,AV132*$FL132, -999)</f>
        <v>9305269.7046490442</v>
      </c>
      <c r="FP132">
        <f t="shared" si="105"/>
        <v>7.2392800000000115</v>
      </c>
      <c r="FQ132">
        <f>IF(AW132&lt;&gt;-999,AW132*$FP132, -999)</f>
        <v>2384920.8799274405</v>
      </c>
      <c r="FR132">
        <f>IF(AX132&lt;&gt;-999,AX132*$FP132, -999)</f>
        <v>3616993.3415562073</v>
      </c>
      <c r="FS132" s="29">
        <f>IF(AY132&lt;&gt;-999,AY132*$FP132, -999)</f>
        <v>6001914.2214836478</v>
      </c>
      <c r="FT132">
        <f t="shared" si="106"/>
        <v>1.3112800000000142</v>
      </c>
      <c r="FU132">
        <f>IF(AZ132&lt;&gt;-999,AZ132*$FT132, -999)</f>
        <v>994582.3012149831</v>
      </c>
      <c r="FV132">
        <f>IF(BA132&lt;&gt;-999,BA132*$FT132, -999)</f>
        <v>1508393.2836041066</v>
      </c>
      <c r="FW132" s="29">
        <f>IF(BB132&lt;&gt;-999,BB132*$FT132, -999)</f>
        <v>2502975.5848190896</v>
      </c>
      <c r="FX132">
        <f t="shared" si="107"/>
        <v>1.9372800000000119</v>
      </c>
      <c r="FY132">
        <f>IF(BC132&lt;&gt;-999, BC132*$FX132, -999)</f>
        <v>706847.68707756919</v>
      </c>
      <c r="FZ132">
        <f>IF(BD132&lt;&gt;-999, BD132*$FX132, -999)</f>
        <v>1072011.8360289368</v>
      </c>
      <c r="GA132" s="29">
        <f>IF(BE132&lt;&gt;-999, BE132*$FX132, -999)</f>
        <v>1778859.5231065059</v>
      </c>
      <c r="GB132">
        <f t="shared" si="108"/>
        <v>-2.1347199999999873</v>
      </c>
      <c r="GC132">
        <f>IF(BF132&lt;&gt;-999,BF132*$GB132, -999)</f>
        <v>-694820.9771490912</v>
      </c>
      <c r="GD132">
        <f>IF(BG132&lt;&gt;-999,BG132*$GB132, -999)</f>
        <v>-1053771.8961735645</v>
      </c>
      <c r="GE132" s="29">
        <f>IF(BH132&lt;&gt;-999,BH132*$GB132, -999)</f>
        <v>-1748592.8733226557</v>
      </c>
      <c r="GF132">
        <f t="shared" si="109"/>
        <v>-10.847719999999988</v>
      </c>
      <c r="GG132">
        <f>IF(BI132&lt;&gt;-999,BI132*$GF132, -999)</f>
        <v>-8128999.6562816296</v>
      </c>
      <c r="GH132">
        <f>IF(BJ132&lt;&gt;-999,BJ132*$GF132, -999)</f>
        <v>-12328519.382756365</v>
      </c>
      <c r="GI132" s="29">
        <f>IF(BK132&lt;&gt;-999,BK132*$GF132, -999)</f>
        <v>-20457519.039037995</v>
      </c>
      <c r="GJ132" s="30">
        <f t="shared" si="103"/>
        <v>-2617092.8783023655</v>
      </c>
    </row>
    <row r="133" spans="1:192">
      <c r="A133" s="48" t="s">
        <v>194</v>
      </c>
      <c r="B133" s="48" t="s">
        <v>265</v>
      </c>
      <c r="C133" s="49">
        <v>88</v>
      </c>
      <c r="D133" s="50">
        <v>0.56100000000000005</v>
      </c>
      <c r="E133" s="49">
        <v>95.669808450775093</v>
      </c>
      <c r="F133" s="49">
        <v>0.78865732844245795</v>
      </c>
      <c r="G133" s="49">
        <v>420.49442535925402</v>
      </c>
      <c r="H133" s="49">
        <v>0.79266470721539195</v>
      </c>
      <c r="I133" s="42">
        <v>40827.699999999997</v>
      </c>
      <c r="J133" s="43">
        <v>32239.200000000001</v>
      </c>
      <c r="K133" s="43">
        <f t="shared" si="78"/>
        <v>73066.899999999994</v>
      </c>
      <c r="L133" s="43">
        <v>16655.7</v>
      </c>
      <c r="M133" s="43">
        <v>13152</v>
      </c>
      <c r="N133" s="43">
        <f t="shared" si="79"/>
        <v>29807.7</v>
      </c>
      <c r="O133" s="43">
        <v>37114.9</v>
      </c>
      <c r="P133" s="43">
        <v>29307.4</v>
      </c>
      <c r="Q133" s="43">
        <f t="shared" si="80"/>
        <v>66422.3</v>
      </c>
      <c r="R133" s="43">
        <v>41440.5</v>
      </c>
      <c r="S133" s="43">
        <v>32723</v>
      </c>
      <c r="T133" s="43">
        <f t="shared" si="81"/>
        <v>74163.5</v>
      </c>
      <c r="U133" s="43">
        <v>16905.7</v>
      </c>
      <c r="V133" s="43">
        <v>13349.4</v>
      </c>
      <c r="W133" s="43">
        <f t="shared" si="82"/>
        <v>30255.1</v>
      </c>
      <c r="X133" s="43">
        <v>37672</v>
      </c>
      <c r="Y133" s="43">
        <v>29747.3</v>
      </c>
      <c r="Z133" s="43">
        <f t="shared" si="83"/>
        <v>67419.3</v>
      </c>
      <c r="AA133" s="22">
        <v>792811</v>
      </c>
      <c r="AB133">
        <v>698002.8</v>
      </c>
      <c r="AC133">
        <v>1490813.8</v>
      </c>
      <c r="AD133">
        <v>323428.59999999998</v>
      </c>
      <c r="AE133">
        <v>284751.40000000002</v>
      </c>
      <c r="AF133">
        <v>608180.1</v>
      </c>
      <c r="AG133">
        <v>720714.6</v>
      </c>
      <c r="AH133">
        <v>634528</v>
      </c>
      <c r="AI133">
        <v>1355242.6</v>
      </c>
      <c r="AJ133">
        <v>804710</v>
      </c>
      <c r="AK133">
        <v>708478.8</v>
      </c>
      <c r="AL133">
        <v>1513188.8</v>
      </c>
      <c r="AM133">
        <v>328282.8</v>
      </c>
      <c r="AN133">
        <v>289025.2</v>
      </c>
      <c r="AO133">
        <v>617308</v>
      </c>
      <c r="AP133">
        <v>731531.5</v>
      </c>
      <c r="AQ133">
        <v>644051.4</v>
      </c>
      <c r="AR133">
        <v>1375582.9</v>
      </c>
      <c r="AS133">
        <v>6960316.1900000004</v>
      </c>
      <c r="AT133" s="22">
        <f t="shared" si="77"/>
        <v>1319780.1633092251</v>
      </c>
      <c r="AU133">
        <f t="shared" si="77"/>
        <v>1161954.42466653</v>
      </c>
      <c r="AV133">
        <f t="shared" si="77"/>
        <v>2481734.5879757549</v>
      </c>
      <c r="AW133">
        <f t="shared" si="77"/>
        <v>538406.56919098494</v>
      </c>
      <c r="AX133">
        <f t="shared" si="77"/>
        <v>474021.23481451505</v>
      </c>
      <c r="AY133">
        <f t="shared" si="77"/>
        <v>1012427.9704739474</v>
      </c>
      <c r="AZ133">
        <f t="shared" si="77"/>
        <v>1199762.405525835</v>
      </c>
      <c r="BA133">
        <f t="shared" si="76"/>
        <v>1056288.9105527999</v>
      </c>
      <c r="BB133">
        <f t="shared" si="76"/>
        <v>2256051.3160786349</v>
      </c>
      <c r="BC133">
        <f t="shared" si="76"/>
        <v>1339588.24387725</v>
      </c>
      <c r="BD133">
        <f t="shared" si="76"/>
        <v>1179393.6592266301</v>
      </c>
      <c r="BE133">
        <f t="shared" si="76"/>
        <v>2518981.9031038801</v>
      </c>
      <c r="BF133">
        <f t="shared" si="76"/>
        <v>546487.28056952998</v>
      </c>
      <c r="BG133">
        <f t="shared" si="76"/>
        <v>481135.76332376996</v>
      </c>
      <c r="BH133">
        <f t="shared" si="76"/>
        <v>1027623.0438933</v>
      </c>
      <c r="BI133">
        <f t="shared" si="76"/>
        <v>1217769.1310234626</v>
      </c>
      <c r="BJ133">
        <f t="shared" si="75"/>
        <v>1072142.3666820151</v>
      </c>
      <c r="BK133">
        <f t="shared" si="75"/>
        <v>2289911.4977054773</v>
      </c>
      <c r="BL133">
        <f t="shared" si="75"/>
        <v>11586730.302584151</v>
      </c>
      <c r="BM133" s="22">
        <f>-17.17-(0.1023*E133)+F133*(100-8.576-13.681)</f>
        <v>34.355565280587726</v>
      </c>
      <c r="BN133">
        <f>IF(AT133&lt;&gt;-999,AT133*$BM133, -999)</f>
        <v>45341793.556594811</v>
      </c>
      <c r="BO133">
        <f>IF(AU133&lt;&gt;-999,AU133*$BM133, -999)</f>
        <v>39919601.089698724</v>
      </c>
      <c r="BP133" s="25">
        <f>IF(AV133&lt;&gt;-999,AV133*$BM133, -999)</f>
        <v>85261394.646293536</v>
      </c>
      <c r="BQ133">
        <f>-19.943-(0.1023*E133)+F133*(100-8.576-13.681)</f>
        <v>31.582565280587726</v>
      </c>
      <c r="BR133">
        <f>IF(AW133&lt;&gt;-999,AW133*$BQ133, -999)</f>
        <v>17004260.618971553</v>
      </c>
      <c r="BS133">
        <f>IF(AX133&lt;&gt;-999,AX133*$BQ133, -999)</f>
        <v>14970806.592914226</v>
      </c>
      <c r="BT133" s="25">
        <f>IF(AY133&lt;&gt;-999,AY133*$BQ133, -999)</f>
        <v>31975072.469386384</v>
      </c>
      <c r="BU133">
        <f>-25.871-(0.1023*E133)+F133*(100-8.576-13.681)</f>
        <v>25.654565280587732</v>
      </c>
      <c r="BV133">
        <f>IF(AZ133&lt;&gt;-999,AZ133*$BU133, -999)</f>
        <v>30779382.953757506</v>
      </c>
      <c r="BW133">
        <f>IF(BA133&lt;&gt;-999,BA133*$BU133, -999)</f>
        <v>27098632.810937703</v>
      </c>
      <c r="BX133" s="25">
        <f>IF(BB133&lt;&gt;-999,BB133*$BU133, -999)</f>
        <v>57878015.764695205</v>
      </c>
      <c r="BY133">
        <f>-25.245-(0.1023*E133)+F133*(100-8.576-13.681)</f>
        <v>26.280565280587723</v>
      </c>
      <c r="BZ133">
        <f>IF(BC133&lt;&gt;-999,BC133*$BY133, -999)</f>
        <v>35205136.29232394</v>
      </c>
      <c r="CA133">
        <f>IF(BD133&lt;&gt;-999,BD133*$BY133, -999)</f>
        <v>30995132.052816685</v>
      </c>
      <c r="CB133" s="25">
        <f>IF(BE133&lt;&gt;-999,BE133*$BY133, -999)</f>
        <v>66200268.345140621</v>
      </c>
      <c r="CC133">
        <f>-29.317-(0.1023*E133)+F133*(100-8.576-13.681)</f>
        <v>22.208565280587727</v>
      </c>
      <c r="CD133">
        <f>IF(BF133&lt;&gt;-999,BF133*$CC133, -999)</f>
        <v>12136698.445539268</v>
      </c>
      <c r="CE133">
        <f>IF(BG133&lt;&gt;-999,BG133*$CC133, -999)</f>
        <v>10685335.008601353</v>
      </c>
      <c r="CF133" s="25">
        <f>IF(BH133&lt;&gt;-999,BH133*$CC133, -999)</f>
        <v>22822033.454140622</v>
      </c>
      <c r="CG133">
        <f>-38.03-(0.1023*E133)+F133*(100-8.576-13.681)</f>
        <v>13.495565280587726</v>
      </c>
      <c r="CH133">
        <f>IF(BI133&lt;&gt;-999,BI133*$CG133, -999)</f>
        <v>16434482.804411728</v>
      </c>
      <c r="CI133">
        <f>IF(BJ133&lt;&gt;-999,BJ133*$CG133, -999)</f>
        <v>14469167.299640959</v>
      </c>
      <c r="CJ133" s="25">
        <f>IF(BK133&lt;&gt;-999,BK133*$CG133, -999)</f>
        <v>30903650.104052681</v>
      </c>
      <c r="CK133" s="26">
        <f t="shared" si="84"/>
        <v>295040434.78370905</v>
      </c>
      <c r="CL133">
        <f t="shared" si="85"/>
        <v>-36.118135734055045</v>
      </c>
      <c r="CM133">
        <f t="shared" si="86"/>
        <v>21.505116293223573</v>
      </c>
      <c r="CN133">
        <f t="shared" si="87"/>
        <v>-92.746025172678927</v>
      </c>
      <c r="CO133" s="22">
        <f t="shared" si="88"/>
        <v>-40.08</v>
      </c>
      <c r="CP133">
        <f>IF(AT133&lt;&gt;-999,AT133*$CO133, -999)</f>
        <v>-52896788.945433743</v>
      </c>
      <c r="CQ133">
        <f>IF(AU133&lt;&gt;-999,AU133*$CO133, -999)</f>
        <v>-46571133.340634517</v>
      </c>
      <c r="CR133" s="27">
        <f>IF(AV133&lt;&gt;-999,AV133*$CO133, -999)</f>
        <v>-99467922.286068246</v>
      </c>
      <c r="CS133">
        <f t="shared" si="89"/>
        <v>-42.853000000000002</v>
      </c>
      <c r="CT133">
        <f>IF(AW133&lt;&gt;-999,AW133*$CS133, -999)</f>
        <v>-23072336.70954128</v>
      </c>
      <c r="CU133">
        <f>IF(AX133&lt;&gt;-999,AX133*$CS133, -999)</f>
        <v>-20313231.975506414</v>
      </c>
      <c r="CV133" s="27">
        <f>IF(AY133&lt;&gt;-999,AY133*$CS133, -999)</f>
        <v>-43385575.818720065</v>
      </c>
      <c r="CW133">
        <f t="shared" si="90"/>
        <v>-48.780999999999999</v>
      </c>
      <c r="CX133">
        <f>IF(AZ133&lt;&gt;-999,AZ133*$CO133, -999)</f>
        <v>-48086477.213475466</v>
      </c>
      <c r="CY133">
        <f>IF(BA133&lt;&gt;-999,BA133*$CO133, -999)</f>
        <v>-42336059.534956217</v>
      </c>
      <c r="CZ133" s="27">
        <f>IF(BB133&lt;&gt;-999,BB133*$CO133, -999)</f>
        <v>-90422536.748431683</v>
      </c>
      <c r="DA133">
        <f t="shared" si="91"/>
        <v>-48.155000000000001</v>
      </c>
      <c r="DB133">
        <f>IF(BC133&lt;&gt;-999,BC133*$DA133, -999)</f>
        <v>-64507871.883908972</v>
      </c>
      <c r="DC133">
        <f>IF(BD133&lt;&gt;-999,BD133*$DA133, -999)</f>
        <v>-56793701.660058372</v>
      </c>
      <c r="DD133" s="27">
        <f>IF(BE133&lt;&gt;-999,BE133*$DA133, -999)</f>
        <v>-121301573.54396735</v>
      </c>
      <c r="DE133">
        <f t="shared" si="92"/>
        <v>-52.227000000000004</v>
      </c>
      <c r="DF133">
        <f>IF(BF133&lt;&gt;-999,BF133*$DE133, -999)</f>
        <v>-28541391.202304844</v>
      </c>
      <c r="DG133">
        <f>IF(BG133&lt;&gt;-999,BG133*$DE133, -999)</f>
        <v>-25128277.511110537</v>
      </c>
      <c r="DH133" s="27">
        <f>IF(BH133&lt;&gt;-999,BH133*$DE133, -999)</f>
        <v>-53669668.713415384</v>
      </c>
      <c r="DI133">
        <f t="shared" si="93"/>
        <v>-60.94</v>
      </c>
      <c r="DJ133">
        <f>IF(BI133&lt;&gt;-999,BI133*$DI133, -999)</f>
        <v>-74210850.844569817</v>
      </c>
      <c r="DK133">
        <f>IF(BJ133&lt;&gt;-999,BJ133*$DI133, -999)</f>
        <v>-65336355.825602002</v>
      </c>
      <c r="DL133" s="27">
        <f>IF(BK133&lt;&gt;-999,BK133*$DI133, -999)</f>
        <v>-139547206.67017177</v>
      </c>
      <c r="DM133" s="28">
        <f t="shared" si="94"/>
        <v>-547794483.78077447</v>
      </c>
      <c r="DN133" s="22">
        <f t="shared" si="95"/>
        <v>-17.170000000000002</v>
      </c>
      <c r="DO133">
        <f>IF(AT133&lt;&gt;-999,AT133*$DN133, -999)</f>
        <v>-22660625.404019397</v>
      </c>
      <c r="DP133">
        <f>IF(AU133&lt;&gt;-999,AU133*$DN133, -999)</f>
        <v>-19950757.471524321</v>
      </c>
      <c r="DQ133" s="24">
        <f>IF(AV133&lt;&gt;-999,AV133*$DN133, -999)</f>
        <v>-42611382.875543714</v>
      </c>
      <c r="DR133">
        <f t="shared" si="96"/>
        <v>-19.943000000000001</v>
      </c>
      <c r="DS133">
        <f>IF(AW133&lt;&gt;-999,AW133*$DR133, -999)</f>
        <v>-10737442.209375814</v>
      </c>
      <c r="DT133">
        <f>IF(AX133&lt;&gt;-999,AX133*$DR133, -999)</f>
        <v>-9453405.4859058745</v>
      </c>
      <c r="DU133" s="24">
        <f>IF(AY133&lt;&gt;-999,AY133*$DR133, -999)</f>
        <v>-20190851.015161935</v>
      </c>
      <c r="DV133">
        <f t="shared" si="97"/>
        <v>-25.870999999999999</v>
      </c>
      <c r="DW133">
        <f>IF(AZ133&lt;&gt;-999,AZ133*$DV133, -999)</f>
        <v>-31039053.193358876</v>
      </c>
      <c r="DX133">
        <f>IF(BA133&lt;&gt;-999,BA133*$DV133, -999)</f>
        <v>-27327250.404911485</v>
      </c>
      <c r="DY133" s="24">
        <f>IF(BB133&lt;&gt;-999,BB133*$DV133, -999)</f>
        <v>-58366303.598270364</v>
      </c>
      <c r="DZ133">
        <f t="shared" si="98"/>
        <v>-25.245000000000001</v>
      </c>
      <c r="EA133">
        <f>IF(BC133&lt;&gt;-999, BC133*$DZ133, -999)</f>
        <v>-33817905.216681175</v>
      </c>
      <c r="EB133">
        <f>IF(BD133&lt;&gt;-999, BD133*$DZ133, -999)</f>
        <v>-29773792.927176278</v>
      </c>
      <c r="EC133" s="24">
        <f>IF(BE133&lt;&gt;-999, BE133*$DZ133, -999)</f>
        <v>-63591698.143857457</v>
      </c>
      <c r="ED133">
        <f t="shared" si="99"/>
        <v>-29.317</v>
      </c>
      <c r="EE133">
        <f>IF(BF133&lt;&gt;-999,BF133*$ED133, -999)</f>
        <v>-16021367.604456911</v>
      </c>
      <c r="EF133">
        <f>IF(BG133&lt;&gt;-999,BG133*$ED133, -999)</f>
        <v>-14105457.173362965</v>
      </c>
      <c r="EG133" s="24">
        <f>IF(BH133&lt;&gt;-999,BH133*$ED133, -999)</f>
        <v>-30126824.777819876</v>
      </c>
      <c r="EH133">
        <f t="shared" si="100"/>
        <v>-38.03</v>
      </c>
      <c r="EI133">
        <f>IF(BI133&lt;&gt;-999,BI133*$EH133, -999)</f>
        <v>-46311760.052822284</v>
      </c>
      <c r="EJ133">
        <f>IF(BJ133&lt;&gt;-999,BJ133*$EH133, -999)</f>
        <v>-40773574.204917036</v>
      </c>
      <c r="EK133" s="24">
        <f>IF(BK133&lt;&gt;-999,BK133*$EH133, -999)</f>
        <v>-87085334.257739305</v>
      </c>
      <c r="EL133" s="28">
        <f t="shared" si="101"/>
        <v>-301972394.66839266</v>
      </c>
      <c r="EM133" s="22">
        <f>-17.17-(0.1023*G133)+H133*(100+102.093-66.644-64.243)</f>
        <v>-3.7440965722724826</v>
      </c>
      <c r="EN133">
        <f>IF(AT133&lt;&gt;-999,AT133*$EM133, -999)</f>
        <v>-4941384.3855992872</v>
      </c>
      <c r="EO133">
        <f>IF(AU133&lt;&gt;-999,AU133*$EM133, -999)</f>
        <v>-4350469.5785307996</v>
      </c>
      <c r="EP133" s="23">
        <f>IF(AV133&lt;&gt;-999,AV133*$EM133, -999)</f>
        <v>-9291853.964130085</v>
      </c>
      <c r="EQ133">
        <f>-19.943-(0.1023*G133)+H133*(100+102.093-66.644-64.243)</f>
        <v>-6.5170965722724787</v>
      </c>
      <c r="ER133">
        <f>IF(AW133&lt;&gt;-999,AW133*$EQ133, -999)</f>
        <v>-3508847.6065635532</v>
      </c>
      <c r="ES133">
        <f>IF(AX133&lt;&gt;-999,AX133*$EQ133, -999)</f>
        <v>-3089242.164594044</v>
      </c>
      <c r="ET133" s="23">
        <f>IF(AY133&lt;&gt;-999,AY133*$EQ133, -999)</f>
        <v>-6598090.8560485449</v>
      </c>
      <c r="EU133">
        <f>-25.871-(0.1023*G133)+H133*(100+102.093-66.644-64.243)</f>
        <v>-12.445096572272476</v>
      </c>
      <c r="EV133">
        <f>IF(AZ133&lt;&gt;-999,AZ133*$EU133, -999)</f>
        <v>-14931159.00055095</v>
      </c>
      <c r="EW133">
        <f>IF(BA133&lt;&gt;-999,BA133*$EU133, -999)</f>
        <v>-13145617.500050079</v>
      </c>
      <c r="EX133" s="23">
        <f>IF(BB133&lt;&gt;-999,BB133*$EU133, -999)</f>
        <v>-28076776.500601027</v>
      </c>
      <c r="EY133">
        <f>-25.245-(0.1023*G133)+H133*(100+102.093-66.644-64.243)</f>
        <v>-11.819096572272485</v>
      </c>
      <c r="EZ133">
        <f>IF(BC133&lt;&gt;-999, BC133*$EY133, -999)</f>
        <v>-15832722.821466124</v>
      </c>
      <c r="FA133">
        <f>IF(BD133&lt;&gt;-999, BD133*$EY133, -999)</f>
        <v>-13939367.555125367</v>
      </c>
      <c r="FB133" s="23">
        <f>IF(BE133&lt;&gt;-999, BE133*$EY133, -999)</f>
        <v>-29772090.376591492</v>
      </c>
      <c r="FC133">
        <f>-29.317-(0.1023*G133)+H133*(100+102.093-66.644-64.243)</f>
        <v>-15.891096572272488</v>
      </c>
      <c r="FD133">
        <f>IF(BF133&lt;&gt;-999,BF133*$FC133, -999)</f>
        <v>-8684282.1510489713</v>
      </c>
      <c r="FE133">
        <f>IF(BG133&lt;&gt;-999,BG133*$FC133, -999)</f>
        <v>-7645774.8793520676</v>
      </c>
      <c r="FF133" s="23">
        <f>IF(BH133&lt;&gt;-999,BH133*$FC133, -999)</f>
        <v>-16330057.03040104</v>
      </c>
      <c r="FG133">
        <f>-38.03-(0.1023*G133)+H133*(100+102.093-66.644-64.243)</f>
        <v>-24.604096572272482</v>
      </c>
      <c r="FH133">
        <f>IF(BI133&lt;&gt;-999,BI133*$FG133, -999)</f>
        <v>-29962109.302433617</v>
      </c>
      <c r="FI133">
        <f>IF(BJ133&lt;&gt;-999,BJ133*$FG133, -999)</f>
        <v>-26379094.329069074</v>
      </c>
      <c r="FJ133" s="23">
        <f>IF(BK133&lt;&gt;-999,BK133*$FG133, -999)</f>
        <v>-56341203.63150268</v>
      </c>
      <c r="FK133" s="28">
        <f t="shared" si="102"/>
        <v>-146410072.35927486</v>
      </c>
      <c r="FL133" s="22">
        <f t="shared" si="104"/>
        <v>10.012280000000011</v>
      </c>
      <c r="FM133">
        <f>IF(AT133&lt;&gt;-999,AT133*$FL133, -999)</f>
        <v>13214008.533497702</v>
      </c>
      <c r="FN133">
        <f>IF(AU133&lt;&gt;-999,AU133*$FL133, -999)</f>
        <v>11633813.047000218</v>
      </c>
      <c r="FO133" s="29">
        <f>IF(AV133&lt;&gt;-999,AV133*$FL133, -999)</f>
        <v>24847821.580497921</v>
      </c>
      <c r="FP133">
        <f t="shared" si="105"/>
        <v>7.2392800000000115</v>
      </c>
      <c r="FQ133">
        <f>IF(AW133&lt;&gt;-999,AW133*$FP133, -999)</f>
        <v>3897675.9082129197</v>
      </c>
      <c r="FR133">
        <f>IF(AX133&lt;&gt;-999,AX133*$FP133, -999)</f>
        <v>3431572.4447680279</v>
      </c>
      <c r="FS133" s="29">
        <f>IF(AY133&lt;&gt;-999,AY133*$FP133, -999)</f>
        <v>7329249.5580926491</v>
      </c>
      <c r="FT133">
        <f t="shared" si="106"/>
        <v>1.3112800000000142</v>
      </c>
      <c r="FU133">
        <f>IF(AZ133&lt;&gt;-999,AZ133*$FT133, -999)</f>
        <v>1573224.447117934</v>
      </c>
      <c r="FV133">
        <f>IF(BA133&lt;&gt;-999,BA133*$FT133, -999)</f>
        <v>1385090.5226296906</v>
      </c>
      <c r="FW133" s="29">
        <f>IF(BB133&lt;&gt;-999,BB133*$FT133, -999)</f>
        <v>2958314.9697476244</v>
      </c>
      <c r="FX133">
        <f t="shared" si="107"/>
        <v>1.9372800000000119</v>
      </c>
      <c r="FY133">
        <f>IF(BC133&lt;&gt;-999, BC133*$FX133, -999)</f>
        <v>2595157.5130985347</v>
      </c>
      <c r="FZ133">
        <f>IF(BD133&lt;&gt;-999, BD133*$FX133, -999)</f>
        <v>2284815.7481465801</v>
      </c>
      <c r="GA133" s="29">
        <f>IF(BE133&lt;&gt;-999, BE133*$FX133, -999)</f>
        <v>4879973.2612451147</v>
      </c>
      <c r="GB133">
        <f t="shared" si="108"/>
        <v>-2.1347199999999873</v>
      </c>
      <c r="GC133">
        <f>IF(BF133&lt;&gt;-999,BF133*$GB133, -999)</f>
        <v>-1166597.32757738</v>
      </c>
      <c r="GD133">
        <f>IF(BG133&lt;&gt;-999,BG133*$GB133, -999)</f>
        <v>-1027090.1366825121</v>
      </c>
      <c r="GE133" s="29">
        <f>IF(BH133&lt;&gt;-999,BH133*$GB133, -999)</f>
        <v>-2193687.4642598922</v>
      </c>
      <c r="GF133">
        <f t="shared" si="109"/>
        <v>-10.847719999999988</v>
      </c>
      <c r="GG133">
        <f>IF(BI133&lt;&gt;-999,BI133*$GF133, -999)</f>
        <v>-13210018.557985822</v>
      </c>
      <c r="GH133">
        <f>IF(BJ133&lt;&gt;-999,BJ133*$GF133, -999)</f>
        <v>-11630300.193903817</v>
      </c>
      <c r="GI133" s="29">
        <f>IF(BK133&lt;&gt;-999,BK133*$GF133, -999)</f>
        <v>-24840318.751889635</v>
      </c>
      <c r="GJ133" s="30">
        <f t="shared" si="103"/>
        <v>12981353.153433781</v>
      </c>
    </row>
    <row r="134" spans="1:192">
      <c r="A134" s="48" t="s">
        <v>178</v>
      </c>
      <c r="B134" s="48" t="s">
        <v>266</v>
      </c>
      <c r="C134" s="49">
        <v>113</v>
      </c>
      <c r="D134" s="50">
        <v>0.56100000000000005</v>
      </c>
      <c r="E134" s="49">
        <v>197.358395565612</v>
      </c>
      <c r="F134" s="49">
        <v>0.78019545353988295</v>
      </c>
      <c r="G134" s="49">
        <v>237.356412726472</v>
      </c>
      <c r="H134" s="49">
        <v>0.80662961287681501</v>
      </c>
      <c r="I134" s="42">
        <v>82649.5</v>
      </c>
      <c r="J134" s="43">
        <v>72388.399999999994</v>
      </c>
      <c r="K134" s="43">
        <f t="shared" si="78"/>
        <v>155037.9</v>
      </c>
      <c r="L134" s="43">
        <v>45150.8</v>
      </c>
      <c r="M134" s="43">
        <v>39545.300000000003</v>
      </c>
      <c r="N134" s="43">
        <f t="shared" si="79"/>
        <v>84696.1</v>
      </c>
      <c r="O134" s="43">
        <v>37843.199999999997</v>
      </c>
      <c r="P134" s="43">
        <v>33144.9</v>
      </c>
      <c r="Q134" s="43">
        <f t="shared" si="80"/>
        <v>70988.100000000006</v>
      </c>
      <c r="R134" s="43">
        <v>57709.599999999999</v>
      </c>
      <c r="S134" s="43">
        <v>50544.9</v>
      </c>
      <c r="T134" s="43">
        <f t="shared" si="81"/>
        <v>108254.5</v>
      </c>
      <c r="U134" s="43">
        <v>31526.400000000001</v>
      </c>
      <c r="V134" s="43">
        <v>27612.3</v>
      </c>
      <c r="W134" s="43">
        <f t="shared" si="82"/>
        <v>59138.7</v>
      </c>
      <c r="X134" s="43">
        <v>26423.9</v>
      </c>
      <c r="Y134" s="43">
        <v>23143.3</v>
      </c>
      <c r="Z134" s="43">
        <f t="shared" si="83"/>
        <v>49567.199999999997</v>
      </c>
      <c r="AA134" s="22">
        <v>2409264.7000000002</v>
      </c>
      <c r="AB134">
        <v>1735031.6</v>
      </c>
      <c r="AC134">
        <v>4144296.3</v>
      </c>
      <c r="AD134">
        <v>1316163.7</v>
      </c>
      <c r="AE134">
        <v>947835.1</v>
      </c>
      <c r="AF134">
        <v>2263998.7999999998</v>
      </c>
      <c r="AG134">
        <v>1103144.6000000001</v>
      </c>
      <c r="AH134">
        <v>794429.4</v>
      </c>
      <c r="AI134">
        <v>1897573.9</v>
      </c>
      <c r="AJ134">
        <v>1682259</v>
      </c>
      <c r="AK134">
        <v>1211478.5</v>
      </c>
      <c r="AL134">
        <v>2893737.5</v>
      </c>
      <c r="AM134">
        <v>919005.8</v>
      </c>
      <c r="AN134">
        <v>661821.9</v>
      </c>
      <c r="AO134">
        <v>1580827.7</v>
      </c>
      <c r="AP134">
        <v>770266.1</v>
      </c>
      <c r="AQ134">
        <v>554707</v>
      </c>
      <c r="AR134">
        <v>1324973</v>
      </c>
      <c r="AS134">
        <v>14105407.23</v>
      </c>
      <c r="AT134" s="22">
        <f t="shared" si="77"/>
        <v>4010665.5422555329</v>
      </c>
      <c r="AU134">
        <f t="shared" si="77"/>
        <v>2888280.1681544101</v>
      </c>
      <c r="AV134">
        <f t="shared" si="77"/>
        <v>6898945.7104099421</v>
      </c>
      <c r="AW134">
        <f t="shared" si="77"/>
        <v>2190997.2779485574</v>
      </c>
      <c r="AX134">
        <f t="shared" si="77"/>
        <v>1577846.3758300724</v>
      </c>
      <c r="AY134">
        <f t="shared" si="77"/>
        <v>3768843.6537786298</v>
      </c>
      <c r="AZ134">
        <f t="shared" si="77"/>
        <v>1836387.6893000852</v>
      </c>
      <c r="BA134">
        <f t="shared" si="76"/>
        <v>1322474.2886635649</v>
      </c>
      <c r="BB134">
        <f t="shared" si="76"/>
        <v>3158861.8114952021</v>
      </c>
      <c r="BC134">
        <f t="shared" si="76"/>
        <v>2800430.4402290252</v>
      </c>
      <c r="BD134">
        <f t="shared" si="76"/>
        <v>2016729.4507462874</v>
      </c>
      <c r="BE134">
        <f t="shared" si="76"/>
        <v>4817159.8909753123</v>
      </c>
      <c r="BF134">
        <f t="shared" si="76"/>
        <v>1529854.6876949552</v>
      </c>
      <c r="BG134">
        <f t="shared" si="76"/>
        <v>1101724.6421450025</v>
      </c>
      <c r="BH134">
        <f t="shared" si="76"/>
        <v>2631579.3298399574</v>
      </c>
      <c r="BI134">
        <f t="shared" si="76"/>
        <v>1282250.0182887975</v>
      </c>
      <c r="BJ134">
        <f t="shared" si="75"/>
        <v>923412.13107382494</v>
      </c>
      <c r="BK134">
        <f t="shared" si="75"/>
        <v>2205661.9828941752</v>
      </c>
      <c r="BL134">
        <f t="shared" si="75"/>
        <v>23481052.429333758</v>
      </c>
      <c r="BM134" s="22">
        <f>-17.17-(0.1023*E134)+F134*(100-8.576-13.681)</f>
        <v>23.294971278189017</v>
      </c>
      <c r="BN134">
        <f>IF(AT134&lt;&gt;-999,AT134*$BM134, -999)</f>
        <v>93428338.613265023</v>
      </c>
      <c r="BO134">
        <f>IF(AU134&lt;&gt;-999,AU134*$BM134, -999)</f>
        <v>67282403.560519934</v>
      </c>
      <c r="BP134" s="25">
        <f>IF(AV134&lt;&gt;-999,AV134*$BM134, -999)</f>
        <v>160710742.17378491</v>
      </c>
      <c r="BQ134">
        <f>-19.943-(0.1023*E134)+F134*(100-8.576-13.681)</f>
        <v>20.521971278189014</v>
      </c>
      <c r="BR134">
        <f>IF(AW134&lt;&gt;-999,AW134*$BQ134, -999)</f>
        <v>44963583.208650604</v>
      </c>
      <c r="BS134">
        <f>IF(AX134&lt;&gt;-999,AX134*$BQ134, -999)</f>
        <v>32380518.006179374</v>
      </c>
      <c r="BT134" s="25">
        <f>IF(AY134&lt;&gt;-999,AY134*$BQ134, -999)</f>
        <v>77344101.214829981</v>
      </c>
      <c r="BU134">
        <f>-25.871-(0.1023*E134)+F134*(100-8.576-13.681)</f>
        <v>14.593971278189017</v>
      </c>
      <c r="BV134">
        <f>IF(AZ134&lt;&gt;-999,AZ134*$BU134, -999)</f>
        <v>26800189.193265337</v>
      </c>
      <c r="BW134">
        <f>IF(BA134&lt;&gt;-999,BA134*$BU134, -999)</f>
        <v>19300151.784899518</v>
      </c>
      <c r="BX134" s="25">
        <f>IF(BB134&lt;&gt;-999,BB134*$BU134, -999)</f>
        <v>46100338.548729107</v>
      </c>
      <c r="BY134">
        <f>-25.245-(0.1023*E134)+F134*(100-8.576-13.681)</f>
        <v>15.219971278189021</v>
      </c>
      <c r="BZ134">
        <f>IF(BC134&lt;&gt;-999,BC134*$BY134, -999)</f>
        <v>42622470.866852</v>
      </c>
      <c r="CA134">
        <f>IF(BD134&lt;&gt;-999,BD134*$BY134, -999)</f>
        <v>30694564.316236414</v>
      </c>
      <c r="CB134" s="25">
        <f>IF(BE134&lt;&gt;-999,BE134*$BY134, -999)</f>
        <v>73317035.183088407</v>
      </c>
      <c r="CC134">
        <f>-29.317-(0.1023*E134)+F134*(100-8.576-13.681)</f>
        <v>11.147971278189019</v>
      </c>
      <c r="CD134">
        <f>IF(BF134&lt;&gt;-999,BF134*$CC134, -999)</f>
        <v>17054776.118226189</v>
      </c>
      <c r="CE134">
        <f>IF(BG134&lt;&gt;-999,BG134*$CC134, -999)</f>
        <v>12281994.667105563</v>
      </c>
      <c r="CF134" s="25">
        <f>IF(BH134&lt;&gt;-999,BH134*$CC134, -999)</f>
        <v>29336770.785331752</v>
      </c>
      <c r="CG134">
        <f>-38.03-(0.1023*E134)+F134*(100-8.576-13.681)</f>
        <v>2.4349712781890176</v>
      </c>
      <c r="CH134">
        <f>IF(BI134&lt;&gt;-999,BI134*$CG134, -999)</f>
        <v>3122241.9659905643</v>
      </c>
      <c r="CI134">
        <f>IF(BJ134&lt;&gt;-999,BJ134*$CG134, -999)</f>
        <v>2248482.0170960762</v>
      </c>
      <c r="CJ134" s="25">
        <f>IF(BK134&lt;&gt;-999,BK134*$CG134, -999)</f>
        <v>5370723.5777407531</v>
      </c>
      <c r="CK134" s="26">
        <f t="shared" si="84"/>
        <v>392179711.48350489</v>
      </c>
      <c r="CL134">
        <f t="shared" si="85"/>
        <v>-23.417754924493103</v>
      </c>
      <c r="CM134">
        <f t="shared" si="86"/>
        <v>34.83046966308698</v>
      </c>
      <c r="CN134">
        <f t="shared" si="87"/>
        <v>-80.659821380238</v>
      </c>
      <c r="CO134" s="22">
        <f t="shared" si="88"/>
        <v>-40.08</v>
      </c>
      <c r="CP134">
        <f>IF(AT134&lt;&gt;-999,AT134*$CO134, -999)</f>
        <v>-160747474.93360177</v>
      </c>
      <c r="CQ134">
        <f>IF(AU134&lt;&gt;-999,AU134*$CO134, -999)</f>
        <v>-115762269.13962875</v>
      </c>
      <c r="CR134" s="27">
        <f>IF(AV134&lt;&gt;-999,AV134*$CO134, -999)</f>
        <v>-276509744.07323045</v>
      </c>
      <c r="CS134">
        <f t="shared" si="89"/>
        <v>-42.853000000000002</v>
      </c>
      <c r="CT134">
        <f>IF(AW134&lt;&gt;-999,AW134*$CS134, -999)</f>
        <v>-93890806.351929531</v>
      </c>
      <c r="CU134">
        <f>IF(AX134&lt;&gt;-999,AX134*$CS134, -999)</f>
        <v>-67615450.743446097</v>
      </c>
      <c r="CV134" s="27">
        <f>IF(AY134&lt;&gt;-999,AY134*$CS134, -999)</f>
        <v>-161506257.09537563</v>
      </c>
      <c r="CW134">
        <f t="shared" si="90"/>
        <v>-48.780999999999999</v>
      </c>
      <c r="CX134">
        <f>IF(AZ134&lt;&gt;-999,AZ134*$CO134, -999)</f>
        <v>-73602418.587147415</v>
      </c>
      <c r="CY134">
        <f>IF(BA134&lt;&gt;-999,BA134*$CO134, -999)</f>
        <v>-53004769.489635684</v>
      </c>
      <c r="CZ134" s="27">
        <f>IF(BB134&lt;&gt;-999,BB134*$CO134, -999)</f>
        <v>-126607181.4047277</v>
      </c>
      <c r="DA134">
        <f t="shared" si="91"/>
        <v>-48.155000000000001</v>
      </c>
      <c r="DB134">
        <f>IF(BC134&lt;&gt;-999,BC134*$DA134, -999)</f>
        <v>-134854727.84922871</v>
      </c>
      <c r="DC134">
        <f>IF(BD134&lt;&gt;-999,BD134*$DA134, -999)</f>
        <v>-97115606.700687468</v>
      </c>
      <c r="DD134" s="27">
        <f>IF(BE134&lt;&gt;-999,BE134*$DA134, -999)</f>
        <v>-231970334.54991618</v>
      </c>
      <c r="DE134">
        <f t="shared" si="92"/>
        <v>-52.227000000000004</v>
      </c>
      <c r="DF134">
        <f>IF(BF134&lt;&gt;-999,BF134*$DE134, -999)</f>
        <v>-79899720.774244428</v>
      </c>
      <c r="DG134">
        <f>IF(BG134&lt;&gt;-999,BG134*$DE134, -999)</f>
        <v>-57539772.885307051</v>
      </c>
      <c r="DH134" s="27">
        <f>IF(BH134&lt;&gt;-999,BH134*$DE134, -999)</f>
        <v>-137439493.65955147</v>
      </c>
      <c r="DI134">
        <f t="shared" si="93"/>
        <v>-60.94</v>
      </c>
      <c r="DJ134">
        <f>IF(BI134&lt;&gt;-999,BI134*$DI134, -999)</f>
        <v>-78140316.114519313</v>
      </c>
      <c r="DK134">
        <f>IF(BJ134&lt;&gt;-999,BJ134*$DI134, -999)</f>
        <v>-56272735.267638892</v>
      </c>
      <c r="DL134" s="27">
        <f>IF(BK134&lt;&gt;-999,BK134*$DI134, -999)</f>
        <v>-134413041.23757103</v>
      </c>
      <c r="DM134" s="28">
        <f t="shared" si="94"/>
        <v>-1068446052.0203724</v>
      </c>
      <c r="DN134" s="22">
        <f t="shared" si="95"/>
        <v>-17.170000000000002</v>
      </c>
      <c r="DO134">
        <f>IF(AT134&lt;&gt;-999,AT134*$DN134, -999)</f>
        <v>-68863127.360527501</v>
      </c>
      <c r="DP134">
        <f>IF(AU134&lt;&gt;-999,AU134*$DN134, -999)</f>
        <v>-49591770.487211227</v>
      </c>
      <c r="DQ134" s="24">
        <f>IF(AV134&lt;&gt;-999,AV134*$DN134, -999)</f>
        <v>-118454897.84773871</v>
      </c>
      <c r="DR134">
        <f t="shared" si="96"/>
        <v>-19.943000000000001</v>
      </c>
      <c r="DS134">
        <f>IF(AW134&lt;&gt;-999,AW134*$DR134, -999)</f>
        <v>-43695058.714128084</v>
      </c>
      <c r="DT134">
        <f>IF(AX134&lt;&gt;-999,AX134*$DR134, -999)</f>
        <v>-31466990.273179136</v>
      </c>
      <c r="DU134" s="24">
        <f>IF(AY134&lt;&gt;-999,AY134*$DR134, -999)</f>
        <v>-75162048.987307221</v>
      </c>
      <c r="DV134">
        <f t="shared" si="97"/>
        <v>-25.870999999999999</v>
      </c>
      <c r="DW134">
        <f>IF(AZ134&lt;&gt;-999,AZ134*$DV134, -999)</f>
        <v>-47509185.909882501</v>
      </c>
      <c r="DX134">
        <f>IF(BA134&lt;&gt;-999,BA134*$DV134, -999)</f>
        <v>-34213732.322015084</v>
      </c>
      <c r="DY134" s="24">
        <f>IF(BB134&lt;&gt;-999,BB134*$DV134, -999)</f>
        <v>-81722913.925192371</v>
      </c>
      <c r="DZ134">
        <f t="shared" si="98"/>
        <v>-25.245000000000001</v>
      </c>
      <c r="EA134">
        <f>IF(BC134&lt;&gt;-999, BC134*$DZ134, -999)</f>
        <v>-70696866.463581741</v>
      </c>
      <c r="EB134">
        <f>IF(BD134&lt;&gt;-999, BD134*$DZ134, -999)</f>
        <v>-50912334.984090023</v>
      </c>
      <c r="EC134" s="24">
        <f>IF(BE134&lt;&gt;-999, BE134*$DZ134, -999)</f>
        <v>-121609201.44767177</v>
      </c>
      <c r="ED134">
        <f t="shared" si="99"/>
        <v>-29.317</v>
      </c>
      <c r="EE134">
        <f>IF(BF134&lt;&gt;-999,BF134*$ED134, -999)</f>
        <v>-44850749.879152998</v>
      </c>
      <c r="EF134">
        <f>IF(BG134&lt;&gt;-999,BG134*$ED134, -999)</f>
        <v>-32299261.333765037</v>
      </c>
      <c r="EG134" s="24">
        <f>IF(BH134&lt;&gt;-999,BH134*$ED134, -999)</f>
        <v>-77150011.212918028</v>
      </c>
      <c r="EH134">
        <f t="shared" si="100"/>
        <v>-38.03</v>
      </c>
      <c r="EI134">
        <f>IF(BI134&lt;&gt;-999,BI134*$EH134, -999)</f>
        <v>-48763968.195522971</v>
      </c>
      <c r="EJ134">
        <f>IF(BJ134&lt;&gt;-999,BJ134*$EH134, -999)</f>
        <v>-35117363.344737567</v>
      </c>
      <c r="EK134" s="24">
        <f>IF(BK134&lt;&gt;-999,BK134*$EH134, -999)</f>
        <v>-83881325.209465489</v>
      </c>
      <c r="EL134" s="28">
        <f t="shared" si="101"/>
        <v>-557980398.63029361</v>
      </c>
      <c r="EM134" s="22">
        <f>-17.17-(0.1023*G134)+H134*(100+102.093-66.644-64.243)</f>
        <v>15.985307192588415</v>
      </c>
      <c r="EN134">
        <f>IF(AT134&lt;&gt;-999,AT134*$EM134, -999)</f>
        <v>64111720.739683889</v>
      </c>
      <c r="EO134">
        <f>IF(AU134&lt;&gt;-999,AU134*$EM134, -999)</f>
        <v>46170045.746209167</v>
      </c>
      <c r="EP134" s="23">
        <f>IF(AV134&lt;&gt;-999,AV134*$EM134, -999)</f>
        <v>110281766.48589304</v>
      </c>
      <c r="EQ134">
        <f>-19.943-(0.1023*G134)+H134*(100+102.093-66.644-64.243)</f>
        <v>13.212307192588412</v>
      </c>
      <c r="ER134">
        <f>IF(AW134&lt;&gt;-999,AW134*$EQ134, -999)</f>
        <v>28948129.094381358</v>
      </c>
      <c r="ES134">
        <f>IF(AX134&lt;&gt;-999,AX134*$EQ134, -999)</f>
        <v>20846991.020179223</v>
      </c>
      <c r="ET134" s="23">
        <f>IF(AY134&lt;&gt;-999,AY134*$EQ134, -999)</f>
        <v>49795120.114560582</v>
      </c>
      <c r="EU134">
        <f>-25.871-(0.1023*G134)+H134*(100+102.093-66.644-64.243)</f>
        <v>7.2843071925884146</v>
      </c>
      <c r="EV134">
        <f>IF(AZ134&lt;&gt;-999,AZ134*$EU134, -999)</f>
        <v>13376812.053549429</v>
      </c>
      <c r="EW134">
        <f>IF(BA134&lt;&gt;-999,BA134*$EU134, -999)</f>
        <v>9633308.9729252532</v>
      </c>
      <c r="EX134" s="23">
        <f>IF(BB134&lt;&gt;-999,BB134*$EU134, -999)</f>
        <v>23010119.813867368</v>
      </c>
      <c r="EY134">
        <f>-25.245-(0.1023*G134)+H134*(100+102.093-66.644-64.243)</f>
        <v>7.9103071925884194</v>
      </c>
      <c r="EZ134">
        <f>IF(BC134&lt;&gt;-999, BC134*$EY134, -999)</f>
        <v>22152265.053687211</v>
      </c>
      <c r="FA134">
        <f>IF(BD134&lt;&gt;-999, BD134*$EY134, -999)</f>
        <v>15952949.47974325</v>
      </c>
      <c r="FB134" s="23">
        <f>IF(BE134&lt;&gt;-999, BE134*$EY134, -999)</f>
        <v>38105214.533430457</v>
      </c>
      <c r="FC134">
        <f>-29.317-(0.1023*G134)+H134*(100+102.093-66.644-64.243)</f>
        <v>3.8383071925884167</v>
      </c>
      <c r="FD134">
        <f>IF(BF134&lt;&gt;-999,BF134*$FC134, -999)</f>
        <v>5872052.2513946518</v>
      </c>
      <c r="FE134">
        <f>IF(BG134&lt;&gt;-999,BG134*$FC134, -999)</f>
        <v>4228757.618197063</v>
      </c>
      <c r="FF134" s="23">
        <f>IF(BH134&lt;&gt;-999,BH134*$FC134, -999)</f>
        <v>10100809.869591715</v>
      </c>
      <c r="FG134">
        <f>-38.03-(0.1023*G134)+H134*(100+102.093-66.644-64.243)</f>
        <v>-4.8746928074115843</v>
      </c>
      <c r="FH134">
        <f>IF(BI134&lt;&gt;-999,BI134*$FG134, -999)</f>
        <v>-6250574.9414557731</v>
      </c>
      <c r="FI134">
        <f>IF(BJ134&lt;&gt;-999,BJ134*$FG134, -999)</f>
        <v>-4501350.4736221777</v>
      </c>
      <c r="FJ134" s="23">
        <f>IF(BK134&lt;&gt;-999,BK134*$FG134, -999)</f>
        <v>-10751924.60359541</v>
      </c>
      <c r="FK134" s="28">
        <f t="shared" si="102"/>
        <v>220541106.21374774</v>
      </c>
      <c r="FL134" s="22">
        <f t="shared" si="104"/>
        <v>10.012280000000011</v>
      </c>
      <c r="FM134">
        <f>IF(AT134&lt;&gt;-999,AT134*$FL134, -999)</f>
        <v>40155906.39541427</v>
      </c>
      <c r="FN134">
        <f>IF(AU134&lt;&gt;-999,AU134*$FL134, -999)</f>
        <v>28918269.762009069</v>
      </c>
      <c r="FO134" s="29">
        <f>IF(AV134&lt;&gt;-999,AV134*$FL134, -999)</f>
        <v>69074176.157423332</v>
      </c>
      <c r="FP134">
        <f t="shared" si="105"/>
        <v>7.2392800000000115</v>
      </c>
      <c r="FQ134">
        <f>IF(AW134&lt;&gt;-999,AW134*$FP134, -999)</f>
        <v>15861242.774307458</v>
      </c>
      <c r="FR134">
        <f>IF(AX134&lt;&gt;-999,AX134*$FP134, -999)</f>
        <v>11422471.711619144</v>
      </c>
      <c r="FS134" s="29">
        <f>IF(AY134&lt;&gt;-999,AY134*$FP134, -999)</f>
        <v>27283714.485926602</v>
      </c>
      <c r="FT134">
        <f t="shared" si="106"/>
        <v>1.3112800000000142</v>
      </c>
      <c r="FU134">
        <f>IF(AZ134&lt;&gt;-999,AZ134*$FT134, -999)</f>
        <v>2408018.449225442</v>
      </c>
      <c r="FV134">
        <f>IF(BA134&lt;&gt;-999,BA134*$FT134, -999)</f>
        <v>1734134.0852387783</v>
      </c>
      <c r="FW134" s="29">
        <f>IF(BB134&lt;&gt;-999,BB134*$FT134, -999)</f>
        <v>4142152.3161774734</v>
      </c>
      <c r="FX134">
        <f t="shared" si="107"/>
        <v>1.9372800000000119</v>
      </c>
      <c r="FY134">
        <f>IF(BC134&lt;&gt;-999, BC134*$FX134, -999)</f>
        <v>5425217.8832469191</v>
      </c>
      <c r="FZ134">
        <f>IF(BD134&lt;&gt;-999, BD134*$FX134, -999)</f>
        <v>3906969.6303417915</v>
      </c>
      <c r="GA134" s="29">
        <f>IF(BE134&lt;&gt;-999, BE134*$FX134, -999)</f>
        <v>9332187.5135887098</v>
      </c>
      <c r="GB134">
        <f t="shared" si="108"/>
        <v>-2.1347199999999873</v>
      </c>
      <c r="GC134">
        <f>IF(BF134&lt;&gt;-999,BF134*$GB134, -999)</f>
        <v>-3265811.3989161551</v>
      </c>
      <c r="GD134">
        <f>IF(BG134&lt;&gt;-999,BG134*$GB134, -999)</f>
        <v>-2351873.6280797659</v>
      </c>
      <c r="GE134" s="29">
        <f>IF(BH134&lt;&gt;-999,BH134*$GB134, -999)</f>
        <v>-5617685.0269959206</v>
      </c>
      <c r="GF134">
        <f t="shared" si="109"/>
        <v>-10.847719999999988</v>
      </c>
      <c r="GG134">
        <f>IF(BI134&lt;&gt;-999,BI134*$GF134, -999)</f>
        <v>-13909489.168391738</v>
      </c>
      <c r="GH134">
        <f>IF(BJ134&lt;&gt;-999,BJ134*$GF134, -999)</f>
        <v>-10016916.242492141</v>
      </c>
      <c r="GI134" s="29">
        <f>IF(BK134&lt;&gt;-999,BK134*$GF134, -999)</f>
        <v>-23926403.605080776</v>
      </c>
      <c r="GJ134" s="30">
        <f t="shared" si="103"/>
        <v>80288141.841039419</v>
      </c>
    </row>
    <row r="135" spans="1:192">
      <c r="A135" s="49" t="s">
        <v>161</v>
      </c>
      <c r="B135" s="49" t="s">
        <v>267</v>
      </c>
      <c r="C135" s="49">
        <v>9</v>
      </c>
      <c r="D135" s="50">
        <v>0.55100000000000005</v>
      </c>
      <c r="E135" s="49">
        <v>94.118067248828297</v>
      </c>
      <c r="F135" s="49">
        <v>0.79509053208892799</v>
      </c>
      <c r="G135" s="49">
        <v>107.896507679137</v>
      </c>
      <c r="H135" s="49">
        <v>0.81568392261352196</v>
      </c>
      <c r="I135" s="42">
        <v>4834.5</v>
      </c>
      <c r="J135" s="43">
        <v>-999</v>
      </c>
      <c r="K135" s="43">
        <f t="shared" si="78"/>
        <v>4834.5</v>
      </c>
      <c r="L135" s="43">
        <v>1228.3</v>
      </c>
      <c r="M135" s="43">
        <v>-999</v>
      </c>
      <c r="N135" s="43">
        <f t="shared" si="79"/>
        <v>1228.3</v>
      </c>
      <c r="O135" s="43">
        <v>6844.5</v>
      </c>
      <c r="P135" s="43">
        <v>-999</v>
      </c>
      <c r="Q135" s="43">
        <f t="shared" si="80"/>
        <v>6844.5</v>
      </c>
      <c r="R135" s="43">
        <v>4377.5</v>
      </c>
      <c r="S135" s="43">
        <v>-999</v>
      </c>
      <c r="T135" s="43">
        <f t="shared" si="81"/>
        <v>4377.5</v>
      </c>
      <c r="U135" s="43">
        <v>1112.2</v>
      </c>
      <c r="V135" s="43">
        <v>-999</v>
      </c>
      <c r="W135" s="43">
        <f t="shared" si="82"/>
        <v>1112.2</v>
      </c>
      <c r="X135" s="43">
        <v>6197.4</v>
      </c>
      <c r="Y135" s="43">
        <v>-999</v>
      </c>
      <c r="Z135" s="43">
        <f t="shared" si="83"/>
        <v>6197.4</v>
      </c>
      <c r="AA135" s="22">
        <v>35528.300000000003</v>
      </c>
      <c r="AB135">
        <v>-999</v>
      </c>
      <c r="AC135">
        <v>35528.300000000003</v>
      </c>
      <c r="AD135">
        <v>9026.6</v>
      </c>
      <c r="AE135">
        <v>-999</v>
      </c>
      <c r="AF135">
        <v>9026.6</v>
      </c>
      <c r="AG135">
        <v>50299.4</v>
      </c>
      <c r="AH135">
        <v>-999</v>
      </c>
      <c r="AI135">
        <v>50299.4</v>
      </c>
      <c r="AJ135">
        <v>32169.599999999999</v>
      </c>
      <c r="AK135">
        <v>-999</v>
      </c>
      <c r="AL135">
        <v>32169.599999999999</v>
      </c>
      <c r="AM135">
        <v>8173.3</v>
      </c>
      <c r="AN135">
        <v>-999</v>
      </c>
      <c r="AO135">
        <v>8173.3</v>
      </c>
      <c r="AP135">
        <v>45544.3</v>
      </c>
      <c r="AQ135">
        <v>-999</v>
      </c>
      <c r="AR135">
        <v>45544.3</v>
      </c>
      <c r="AS135">
        <v>180741.43</v>
      </c>
      <c r="AT135" s="22">
        <f t="shared" si="77"/>
        <v>59143.4094331425</v>
      </c>
      <c r="AU135">
        <f t="shared" si="77"/>
        <v>-999</v>
      </c>
      <c r="AV135">
        <f t="shared" si="77"/>
        <v>59143.4094331425</v>
      </c>
      <c r="AW135">
        <f t="shared" si="77"/>
        <v>15026.440882035002</v>
      </c>
      <c r="AX135">
        <f t="shared" si="77"/>
        <v>-999</v>
      </c>
      <c r="AY135">
        <f t="shared" si="77"/>
        <v>15026.440882035002</v>
      </c>
      <c r="AZ135">
        <f t="shared" si="77"/>
        <v>83732.630281815</v>
      </c>
      <c r="BA135">
        <f t="shared" si="76"/>
        <v>-999</v>
      </c>
      <c r="BB135">
        <f t="shared" si="76"/>
        <v>83732.630281815</v>
      </c>
      <c r="BC135">
        <f t="shared" si="76"/>
        <v>53552.233686959997</v>
      </c>
      <c r="BD135">
        <f t="shared" si="76"/>
        <v>-999</v>
      </c>
      <c r="BE135">
        <f t="shared" si="76"/>
        <v>53552.233686959997</v>
      </c>
      <c r="BF135">
        <f t="shared" si="76"/>
        <v>13605.965619517499</v>
      </c>
      <c r="BG135">
        <f t="shared" si="76"/>
        <v>-999</v>
      </c>
      <c r="BH135">
        <f t="shared" si="76"/>
        <v>13605.965619517499</v>
      </c>
      <c r="BI135">
        <f t="shared" si="76"/>
        <v>75816.889134742509</v>
      </c>
      <c r="BJ135">
        <f t="shared" si="75"/>
        <v>-999</v>
      </c>
      <c r="BK135">
        <f t="shared" si="75"/>
        <v>75816.889134742509</v>
      </c>
      <c r="BL135">
        <f t="shared" si="75"/>
        <v>300877.45251029928</v>
      </c>
      <c r="BM135" s="22">
        <f>-17.17-(0.1023*E135)+F135*(100-8.576-13.681)</f>
        <v>35.014444956634399</v>
      </c>
      <c r="BN135">
        <f>IF(AT135&lt;&gt;-999,AT135*$BM135, -999)</f>
        <v>2070873.6541444599</v>
      </c>
      <c r="BO135">
        <f>IF(AU135&lt;&gt;-999,AU135*$BM135, -999)</f>
        <v>-999</v>
      </c>
      <c r="BP135" s="25">
        <f>IF(AV135&lt;&gt;-999,AV135*$BM135, -999)</f>
        <v>2070873.6541444599</v>
      </c>
      <c r="BQ135">
        <f>-19.943-(0.1023*E135)+F135*(100-8.576-13.681)</f>
        <v>32.241444956634396</v>
      </c>
      <c r="BR135">
        <f>IF(AW135&lt;&gt;-999,AW135*$BQ135, -999)</f>
        <v>484474.16659225232</v>
      </c>
      <c r="BS135">
        <f>IF(AX135&lt;&gt;-999,AX135*$BQ135, -999)</f>
        <v>-999</v>
      </c>
      <c r="BT135" s="25">
        <f>IF(AY135&lt;&gt;-999,AY135*$BQ135, -999)</f>
        <v>484474.16659225232</v>
      </c>
      <c r="BU135">
        <f>-25.871-(0.1023*E135)+F135*(100-8.576-13.681)</f>
        <v>26.313444956634399</v>
      </c>
      <c r="BV135">
        <f>IF(AZ135&lt;&gt;-999,AZ135*$BU135, -999)</f>
        <v>2203293.9579947577</v>
      </c>
      <c r="BW135">
        <f>IF(BA135&lt;&gt;-999,BA135*$BU135, -999)</f>
        <v>-999</v>
      </c>
      <c r="BX135" s="25">
        <f>IF(BB135&lt;&gt;-999,BB135*$BU135, -999)</f>
        <v>2203293.9579947577</v>
      </c>
      <c r="BY135">
        <f>-25.245-(0.1023*E135)+F135*(100-8.576-13.681)</f>
        <v>26.939444956634397</v>
      </c>
      <c r="BZ135">
        <f>IF(BC135&lt;&gt;-999,BC135*$BY135, -999)</f>
        <v>1442667.4517146812</v>
      </c>
      <c r="CA135">
        <f>IF(BD135&lt;&gt;-999,BD135*$BY135, -999)</f>
        <v>-999</v>
      </c>
      <c r="CB135" s="25">
        <f>IF(BE135&lt;&gt;-999,BE135*$BY135, -999)</f>
        <v>1442667.4517146812</v>
      </c>
      <c r="CC135">
        <f>-29.317-(0.1023*E135)+F135*(100-8.576-13.681)</f>
        <v>22.867444956634401</v>
      </c>
      <c r="CD135">
        <f>IF(BF135&lt;&gt;-999,BF135*$CC135, -999)</f>
        <v>311133.66988617647</v>
      </c>
      <c r="CE135">
        <f>IF(BG135&lt;&gt;-999,BG135*$CC135, -999)</f>
        <v>-999</v>
      </c>
      <c r="CF135" s="25">
        <f>IF(BH135&lt;&gt;-999,BH135*$CC135, -999)</f>
        <v>311133.66988617647</v>
      </c>
      <c r="CG135">
        <f>-38.03-(0.1023*E135)+F135*(100-8.576-13.681)</f>
        <v>14.1544449566344</v>
      </c>
      <c r="CH135">
        <f>IF(BI135&lt;&gt;-999,BI135*$CG135, -999)</f>
        <v>1073145.9840409656</v>
      </c>
      <c r="CI135">
        <f>IF(BJ135&lt;&gt;-999,BJ135*$CG135, -999)</f>
        <v>-999</v>
      </c>
      <c r="CJ135" s="25">
        <f>IF(BK135&lt;&gt;-999,BK135*$CG135, -999)</f>
        <v>1073145.9840409656</v>
      </c>
      <c r="CK135" s="26">
        <f t="shared" si="84"/>
        <v>7585588.8843732933</v>
      </c>
      <c r="CL135">
        <f t="shared" si="85"/>
        <v>-35.845467399621775</v>
      </c>
      <c r="CM135">
        <f t="shared" si="86"/>
        <v>21.311545752834107</v>
      </c>
      <c r="CN135">
        <f t="shared" si="87"/>
        <v>-92.015171600054813</v>
      </c>
      <c r="CO135" s="22">
        <f t="shared" si="88"/>
        <v>-40.08</v>
      </c>
      <c r="CP135">
        <f>IF(AT135&lt;&gt;-999,AT135*$CO135, -999)</f>
        <v>-2370467.8500803513</v>
      </c>
      <c r="CQ135">
        <f>IF(AU135&lt;&gt;-999,AU135*$CO135, -999)</f>
        <v>-999</v>
      </c>
      <c r="CR135" s="27">
        <f>IF(AV135&lt;&gt;-999,AV135*$CO135, -999)</f>
        <v>-2370467.8500803513</v>
      </c>
      <c r="CS135">
        <f t="shared" si="89"/>
        <v>-42.853000000000002</v>
      </c>
      <c r="CT135">
        <f>IF(AW135&lt;&gt;-999,AW135*$CS135, -999)</f>
        <v>-643928.07111784595</v>
      </c>
      <c r="CU135">
        <f>IF(AX135&lt;&gt;-999,AX135*$CS135, -999)</f>
        <v>-999</v>
      </c>
      <c r="CV135" s="27">
        <f>IF(AY135&lt;&gt;-999,AY135*$CS135, -999)</f>
        <v>-643928.07111784595</v>
      </c>
      <c r="CW135">
        <f t="shared" si="90"/>
        <v>-48.780999999999999</v>
      </c>
      <c r="CX135">
        <f>IF(AZ135&lt;&gt;-999,AZ135*$CO135, -999)</f>
        <v>-3356003.8216951452</v>
      </c>
      <c r="CY135">
        <f>IF(BA135&lt;&gt;-999,BA135*$CO135, -999)</f>
        <v>-999</v>
      </c>
      <c r="CZ135" s="27">
        <f>IF(BB135&lt;&gt;-999,BB135*$CO135, -999)</f>
        <v>-3356003.8216951452</v>
      </c>
      <c r="DA135">
        <f t="shared" si="91"/>
        <v>-48.155000000000001</v>
      </c>
      <c r="DB135">
        <f>IF(BC135&lt;&gt;-999,BC135*$DA135, -999)</f>
        <v>-2578807.8131955587</v>
      </c>
      <c r="DC135">
        <f>IF(BD135&lt;&gt;-999,BD135*$DA135, -999)</f>
        <v>-999</v>
      </c>
      <c r="DD135" s="27">
        <f>IF(BE135&lt;&gt;-999,BE135*$DA135, -999)</f>
        <v>-2578807.8131955587</v>
      </c>
      <c r="DE135">
        <f t="shared" si="92"/>
        <v>-52.227000000000004</v>
      </c>
      <c r="DF135">
        <f>IF(BF135&lt;&gt;-999,BF135*$DE135, -999)</f>
        <v>-710598.76641054044</v>
      </c>
      <c r="DG135">
        <f>IF(BG135&lt;&gt;-999,BG135*$DE135, -999)</f>
        <v>-999</v>
      </c>
      <c r="DH135" s="27">
        <f>IF(BH135&lt;&gt;-999,BH135*$DE135, -999)</f>
        <v>-710598.76641054044</v>
      </c>
      <c r="DI135">
        <f t="shared" si="93"/>
        <v>-60.94</v>
      </c>
      <c r="DJ135">
        <f>IF(BI135&lt;&gt;-999,BI135*$DI135, -999)</f>
        <v>-4620281.2238712087</v>
      </c>
      <c r="DK135">
        <f>IF(BJ135&lt;&gt;-999,BJ135*$DI135, -999)</f>
        <v>-999</v>
      </c>
      <c r="DL135" s="27">
        <f>IF(BK135&lt;&gt;-999,BK135*$DI135, -999)</f>
        <v>-4620281.2238712087</v>
      </c>
      <c r="DM135" s="28">
        <f t="shared" si="94"/>
        <v>-14280087.54637065</v>
      </c>
      <c r="DN135" s="22">
        <f t="shared" si="95"/>
        <v>-17.170000000000002</v>
      </c>
      <c r="DO135">
        <f>IF(AT135&lt;&gt;-999,AT135*$DN135, -999)</f>
        <v>-1015492.3399670569</v>
      </c>
      <c r="DP135">
        <f>IF(AU135&lt;&gt;-999,AU135*$DN135, -999)</f>
        <v>-999</v>
      </c>
      <c r="DQ135" s="24">
        <f>IF(AV135&lt;&gt;-999,AV135*$DN135, -999)</f>
        <v>-1015492.3399670569</v>
      </c>
      <c r="DR135">
        <f t="shared" si="96"/>
        <v>-19.943000000000001</v>
      </c>
      <c r="DS135">
        <f>IF(AW135&lt;&gt;-999,AW135*$DR135, -999)</f>
        <v>-299672.31051042408</v>
      </c>
      <c r="DT135">
        <f>IF(AX135&lt;&gt;-999,AX135*$DR135, -999)</f>
        <v>-999</v>
      </c>
      <c r="DU135" s="24">
        <f>IF(AY135&lt;&gt;-999,AY135*$DR135, -999)</f>
        <v>-299672.31051042408</v>
      </c>
      <c r="DV135">
        <f t="shared" si="97"/>
        <v>-25.870999999999999</v>
      </c>
      <c r="DW135">
        <f>IF(AZ135&lt;&gt;-999,AZ135*$DV135, -999)</f>
        <v>-2166246.8780208356</v>
      </c>
      <c r="DX135">
        <f>IF(BA135&lt;&gt;-999,BA135*$DV135, -999)</f>
        <v>-999</v>
      </c>
      <c r="DY135" s="24">
        <f>IF(BB135&lt;&gt;-999,BB135*$DV135, -999)</f>
        <v>-2166246.8780208356</v>
      </c>
      <c r="DZ135">
        <f t="shared" si="98"/>
        <v>-25.245000000000001</v>
      </c>
      <c r="EA135">
        <f>IF(BC135&lt;&gt;-999, BC135*$DZ135, -999)</f>
        <v>-1351926.1394273052</v>
      </c>
      <c r="EB135">
        <f>IF(BD135&lt;&gt;-999, BD135*$DZ135, -999)</f>
        <v>-999</v>
      </c>
      <c r="EC135" s="24">
        <f>IF(BE135&lt;&gt;-999, BE135*$DZ135, -999)</f>
        <v>-1351926.1394273052</v>
      </c>
      <c r="ED135">
        <f t="shared" si="99"/>
        <v>-29.317</v>
      </c>
      <c r="EE135">
        <f>IF(BF135&lt;&gt;-999,BF135*$ED135, -999)</f>
        <v>-398886.09406739456</v>
      </c>
      <c r="EF135">
        <f>IF(BG135&lt;&gt;-999,BG135*$ED135, -999)</f>
        <v>-999</v>
      </c>
      <c r="EG135" s="24">
        <f>IF(BH135&lt;&gt;-999,BH135*$ED135, -999)</f>
        <v>-398886.09406739456</v>
      </c>
      <c r="EH135">
        <f t="shared" si="100"/>
        <v>-38.03</v>
      </c>
      <c r="EI135">
        <f>IF(BI135&lt;&gt;-999,BI135*$EH135, -999)</f>
        <v>-2883316.2937942576</v>
      </c>
      <c r="EJ135">
        <f>IF(BJ135&lt;&gt;-999,BJ135*$EH135, -999)</f>
        <v>-999</v>
      </c>
      <c r="EK135" s="24">
        <f>IF(BK135&lt;&gt;-999,BK135*$EH135, -999)</f>
        <v>-2883316.2937942576</v>
      </c>
      <c r="EL135" s="28">
        <f t="shared" si="101"/>
        <v>-8115540.0557872746</v>
      </c>
      <c r="EM135" s="22">
        <f>-17.17-(0.1023*G135)+H135*(100+102.093-66.644-64.243)</f>
        <v>29.873776658042743</v>
      </c>
      <c r="EN135">
        <f>IF(AT135&lt;&gt;-999,AT135*$EM135, -999)</f>
        <v>1766837.0042008774</v>
      </c>
      <c r="EO135">
        <f>IF(AU135&lt;&gt;-999,AU135*$EM135, -999)</f>
        <v>-999</v>
      </c>
      <c r="EP135" s="23">
        <f>IF(AV135&lt;&gt;-999,AV135*$EM135, -999)</f>
        <v>1766837.0042008774</v>
      </c>
      <c r="EQ135">
        <f>-19.943-(0.1023*G135)+H135*(100+102.093-66.644-64.243)</f>
        <v>27.10077665804274</v>
      </c>
      <c r="ER135">
        <f>IF(AW135&lt;&gt;-999,AW135*$EQ135, -999)</f>
        <v>407228.21830931335</v>
      </c>
      <c r="ES135">
        <f>IF(AX135&lt;&gt;-999,AX135*$EQ135, -999)</f>
        <v>-999</v>
      </c>
      <c r="ET135" s="23">
        <f>IF(AY135&lt;&gt;-999,AY135*$EQ135, -999)</f>
        <v>407228.21830931335</v>
      </c>
      <c r="EU135">
        <f>-25.871-(0.1023*G135)+H135*(100+102.093-66.644-64.243)</f>
        <v>21.172776658042743</v>
      </c>
      <c r="EV135">
        <f>IF(AZ135&lt;&gt;-999,AZ135*$EU135, -999)</f>
        <v>1772852.2799473356</v>
      </c>
      <c r="EW135">
        <f>IF(BA135&lt;&gt;-999,BA135*$EU135, -999)</f>
        <v>-999</v>
      </c>
      <c r="EX135" s="23">
        <f>IF(BB135&lt;&gt;-999,BB135*$EU135, -999)</f>
        <v>1772852.2799473356</v>
      </c>
      <c r="EY135">
        <f>-25.245-(0.1023*G135)+H135*(100+102.093-66.644-64.243)</f>
        <v>21.79877665804274</v>
      </c>
      <c r="EZ135">
        <f>IF(BC135&lt;&gt;-999, BC135*$EY135, -999)</f>
        <v>1167373.1816813536</v>
      </c>
      <c r="FA135">
        <f>IF(BD135&lt;&gt;-999, BD135*$EY135, -999)</f>
        <v>-999</v>
      </c>
      <c r="FB135" s="23">
        <f>IF(BE135&lt;&gt;-999, BE135*$EY135, -999)</f>
        <v>1167373.1816813536</v>
      </c>
      <c r="FC135">
        <f>-29.317-(0.1023*G135)+H135*(100+102.093-66.644-64.243)</f>
        <v>17.726776658042745</v>
      </c>
      <c r="FD135">
        <f>IF(BF135&lt;&gt;-999,BF135*$FC135, -999)</f>
        <v>241189.91375419489</v>
      </c>
      <c r="FE135">
        <f>IF(BG135&lt;&gt;-999,BG135*$FC135, -999)</f>
        <v>-999</v>
      </c>
      <c r="FF135" s="23">
        <f>IF(BH135&lt;&gt;-999,BH135*$FC135, -999)</f>
        <v>241189.91375419489</v>
      </c>
      <c r="FG135">
        <f>-38.03-(0.1023*G135)+H135*(100+102.093-66.644-64.243)</f>
        <v>9.0137766580427439</v>
      </c>
      <c r="FH135">
        <f>IF(BI135&lt;&gt;-999,BI135*$FG135, -999)</f>
        <v>683396.5055681566</v>
      </c>
      <c r="FI135">
        <f>IF(BJ135&lt;&gt;-999,BJ135*$FG135, -999)</f>
        <v>-999</v>
      </c>
      <c r="FJ135" s="23">
        <f>IF(BK135&lt;&gt;-999,BK135*$FG135, -999)</f>
        <v>683396.5055681566</v>
      </c>
      <c r="FK135" s="28">
        <f t="shared" si="102"/>
        <v>6038877.103461232</v>
      </c>
      <c r="FL135" s="22">
        <f t="shared" si="104"/>
        <v>10.012280000000011</v>
      </c>
      <c r="FM135">
        <f>IF(AT135&lt;&gt;-999,AT135*$FL135, -999)</f>
        <v>592160.37539926462</v>
      </c>
      <c r="FN135">
        <f>IF(AU135&lt;&gt;-999,AU135*$FL135, -999)</f>
        <v>-999</v>
      </c>
      <c r="FO135" s="29">
        <f>IF(AV135&lt;&gt;-999,AV135*$FL135, -999)</f>
        <v>592160.37539926462</v>
      </c>
      <c r="FP135">
        <f t="shared" si="105"/>
        <v>7.2392800000000115</v>
      </c>
      <c r="FQ135">
        <f>IF(AW135&lt;&gt;-999,AW135*$FP135, -999)</f>
        <v>108780.61294849851</v>
      </c>
      <c r="FR135">
        <f>IF(AX135&lt;&gt;-999,AX135*$FP135, -999)</f>
        <v>-999</v>
      </c>
      <c r="FS135" s="29">
        <f>IF(AY135&lt;&gt;-999,AY135*$FP135, -999)</f>
        <v>108780.61294849851</v>
      </c>
      <c r="FT135">
        <f t="shared" si="106"/>
        <v>1.3112800000000142</v>
      </c>
      <c r="FU135">
        <f>IF(AZ135&lt;&gt;-999,AZ135*$FT135, -999)</f>
        <v>109796.92343593956</v>
      </c>
      <c r="FV135">
        <f>IF(BA135&lt;&gt;-999,BA135*$FT135, -999)</f>
        <v>-999</v>
      </c>
      <c r="FW135" s="29">
        <f>IF(BB135&lt;&gt;-999,BB135*$FT135, -999)</f>
        <v>109796.92343593956</v>
      </c>
      <c r="FX135">
        <f t="shared" si="107"/>
        <v>1.9372800000000119</v>
      </c>
      <c r="FY135">
        <f>IF(BC135&lt;&gt;-999, BC135*$FX135, -999)</f>
        <v>103745.67127707449</v>
      </c>
      <c r="FZ135">
        <f>IF(BD135&lt;&gt;-999, BD135*$FX135, -999)</f>
        <v>-999</v>
      </c>
      <c r="GA135" s="29">
        <f>IF(BE135&lt;&gt;-999, BE135*$FX135, -999)</f>
        <v>103745.67127707449</v>
      </c>
      <c r="GB135">
        <f t="shared" si="108"/>
        <v>-2.1347199999999873</v>
      </c>
      <c r="GC135">
        <f>IF(BF135&lt;&gt;-999,BF135*$GB135, -999)</f>
        <v>-29044.926927296223</v>
      </c>
      <c r="GD135">
        <f>IF(BG135&lt;&gt;-999,BG135*$GB135, -999)</f>
        <v>-999</v>
      </c>
      <c r="GE135" s="29">
        <f>IF(BH135&lt;&gt;-999,BH135*$GB135, -999)</f>
        <v>-29044.926927296223</v>
      </c>
      <c r="GF135">
        <f t="shared" si="109"/>
        <v>-10.847719999999988</v>
      </c>
      <c r="GG135">
        <f>IF(BI135&lt;&gt;-999,BI135*$GF135, -999)</f>
        <v>-822440.38460472808</v>
      </c>
      <c r="GH135">
        <f>IF(BJ135&lt;&gt;-999,BJ135*$GF135, -999)</f>
        <v>-999</v>
      </c>
      <c r="GI135" s="29">
        <f>IF(BK135&lt;&gt;-999,BK135*$GF135, -999)</f>
        <v>-822440.38460472808</v>
      </c>
      <c r="GJ135" s="30">
        <f t="shared" si="103"/>
        <v>62998.271528752986</v>
      </c>
    </row>
    <row r="136" spans="1:192">
      <c r="A136" s="48" t="s">
        <v>160</v>
      </c>
      <c r="B136" s="48" t="s">
        <v>268</v>
      </c>
      <c r="C136" s="49">
        <v>114</v>
      </c>
      <c r="D136" s="50">
        <v>0.55100000000000005</v>
      </c>
      <c r="E136" s="49">
        <v>40.059373061908801</v>
      </c>
      <c r="F136" s="49">
        <v>0.79240289702609301</v>
      </c>
      <c r="G136" s="49">
        <v>132.33264427279599</v>
      </c>
      <c r="H136" s="49">
        <v>0.81335787366488199</v>
      </c>
      <c r="I136" s="42">
        <v>2028.3</v>
      </c>
      <c r="J136" s="43">
        <v>2172.1999999999998</v>
      </c>
      <c r="K136" s="43">
        <f t="shared" si="78"/>
        <v>4200.5</v>
      </c>
      <c r="L136" s="43">
        <v>1860.2</v>
      </c>
      <c r="M136" s="43">
        <v>1992.2</v>
      </c>
      <c r="N136" s="43">
        <f t="shared" si="79"/>
        <v>3852.4</v>
      </c>
      <c r="O136" s="43">
        <v>6818.5</v>
      </c>
      <c r="P136" s="43">
        <v>7302.3</v>
      </c>
      <c r="Q136" s="43">
        <f t="shared" si="80"/>
        <v>14120.8</v>
      </c>
      <c r="R136" s="43">
        <v>2634.8</v>
      </c>
      <c r="S136" s="43">
        <v>2821.7</v>
      </c>
      <c r="T136" s="43">
        <f t="shared" si="81"/>
        <v>5456.5</v>
      </c>
      <c r="U136" s="43">
        <v>2416.4</v>
      </c>
      <c r="V136" s="43">
        <v>2587.9</v>
      </c>
      <c r="W136" s="43">
        <f t="shared" si="82"/>
        <v>5004.3</v>
      </c>
      <c r="X136" s="43">
        <v>8857.4</v>
      </c>
      <c r="Y136" s="43">
        <v>9485.9</v>
      </c>
      <c r="Z136" s="43">
        <f t="shared" si="83"/>
        <v>18343.3</v>
      </c>
      <c r="AA136" s="22">
        <v>14615.1</v>
      </c>
      <c r="AB136">
        <v>6834.8</v>
      </c>
      <c r="AC136">
        <v>21449.9</v>
      </c>
      <c r="AD136">
        <v>13403.9</v>
      </c>
      <c r="AE136">
        <v>6268.4</v>
      </c>
      <c r="AF136">
        <v>19672.3</v>
      </c>
      <c r="AG136">
        <v>49131.8</v>
      </c>
      <c r="AH136">
        <v>22976.6</v>
      </c>
      <c r="AI136">
        <v>72108.5</v>
      </c>
      <c r="AJ136">
        <v>18985.5</v>
      </c>
      <c r="AK136">
        <v>8878.6</v>
      </c>
      <c r="AL136">
        <v>27864.1</v>
      </c>
      <c r="AM136">
        <v>17412.099999999999</v>
      </c>
      <c r="AN136">
        <v>8142.8</v>
      </c>
      <c r="AO136">
        <v>25554.9</v>
      </c>
      <c r="AP136">
        <v>63823.8</v>
      </c>
      <c r="AQ136">
        <v>29847.3</v>
      </c>
      <c r="AR136">
        <v>93671.1</v>
      </c>
      <c r="AS136">
        <v>260320.72</v>
      </c>
      <c r="AT136" s="22">
        <f t="shared" si="77"/>
        <v>24329.530070572502</v>
      </c>
      <c r="AU136">
        <f t="shared" si="77"/>
        <v>11377.78544973</v>
      </c>
      <c r="AV136">
        <f t="shared" si="77"/>
        <v>35707.315520302502</v>
      </c>
      <c r="AW136">
        <f t="shared" si="77"/>
        <v>22313.264234452497</v>
      </c>
      <c r="AX136">
        <f t="shared" si="77"/>
        <v>10434.90816309</v>
      </c>
      <c r="AY136">
        <f t="shared" si="77"/>
        <v>32748.172397542501</v>
      </c>
      <c r="AZ136">
        <f t="shared" si="77"/>
        <v>81788.944688805001</v>
      </c>
      <c r="BA136">
        <f t="shared" si="76"/>
        <v>38248.789308284999</v>
      </c>
      <c r="BB136">
        <f t="shared" si="76"/>
        <v>120037.9004655375</v>
      </c>
      <c r="BC136">
        <f t="shared" si="76"/>
        <v>31604.867100112504</v>
      </c>
      <c r="BD136">
        <f t="shared" si="76"/>
        <v>14780.067579735</v>
      </c>
      <c r="BE136">
        <f t="shared" si="76"/>
        <v>46384.934679847494</v>
      </c>
      <c r="BF136">
        <f t="shared" si="76"/>
        <v>28985.652547147496</v>
      </c>
      <c r="BG136">
        <f t="shared" si="76"/>
        <v>13555.19274303</v>
      </c>
      <c r="BH136">
        <f t="shared" si="76"/>
        <v>42540.845290177502</v>
      </c>
      <c r="BI136">
        <f t="shared" si="76"/>
        <v>106246.48899550502</v>
      </c>
      <c r="BJ136">
        <f t="shared" si="75"/>
        <v>49686.336930667501</v>
      </c>
      <c r="BK136">
        <f t="shared" si="75"/>
        <v>155932.82592617252</v>
      </c>
      <c r="BL136">
        <f t="shared" si="75"/>
        <v>433351.86110482202</v>
      </c>
      <c r="BM136" s="22">
        <f>-17.17-(0.1023*E136)+F136*(100-8.576-13.681)</f>
        <v>40.335704559266283</v>
      </c>
      <c r="BN136">
        <f>IF(AT136&lt;&gt;-999,AT136*$BM136, -999)</f>
        <v>981348.73699239735</v>
      </c>
      <c r="BO136">
        <f>IF(AU136&lt;&gt;-999,AU136*$BM136, -999)</f>
        <v>458930.99243902793</v>
      </c>
      <c r="BP136" s="25">
        <f>IF(AV136&lt;&gt;-999,AV136*$BM136, -999)</f>
        <v>1440279.7294314252</v>
      </c>
      <c r="BQ136">
        <f>-19.943-(0.1023*E136)+F136*(100-8.576-13.681)</f>
        <v>37.56270455926628</v>
      </c>
      <c r="BR136">
        <f>IF(AW136&lt;&gt;-999,AW136*$BQ136, -999)</f>
        <v>838146.55219158204</v>
      </c>
      <c r="BS136">
        <f>IF(AX136&lt;&gt;-999,AX136*$BQ136, -999)</f>
        <v>391963.37243322568</v>
      </c>
      <c r="BT136" s="25">
        <f>IF(AY136&lt;&gt;-999,AY136*$BQ136, -999)</f>
        <v>1230109.9246248079</v>
      </c>
      <c r="BU136">
        <f>-25.871-(0.1023*E136)+F136*(100-8.576-13.681)</f>
        <v>31.634704559266286</v>
      </c>
      <c r="BV136">
        <f>IF(AZ136&lt;&gt;-999,AZ136*$BU136, -999)</f>
        <v>2587369.1014445177</v>
      </c>
      <c r="BW136">
        <f>IF(BA136&lt;&gt;-999,BA136*$BU136, -999)</f>
        <v>1209989.149517219</v>
      </c>
      <c r="BX136" s="25">
        <f>IF(BB136&lt;&gt;-999,BB136*$BU136, -999)</f>
        <v>3797363.5171418916</v>
      </c>
      <c r="BY136">
        <f>-25.245-(0.1023*E136)+F136*(100-8.576-13.681)</f>
        <v>32.260704559266287</v>
      </c>
      <c r="BZ136">
        <f>IF(BC136&lt;&gt;-999,BC136*$BY136, -999)</f>
        <v>1019595.2801516046</v>
      </c>
      <c r="CA136">
        <f>IF(BD136&lt;&gt;-999,BD136*$BY136, -999)</f>
        <v>476815.39355582074</v>
      </c>
      <c r="CB136" s="25">
        <f>IF(BE136&lt;&gt;-999,BE136*$BY136, -999)</f>
        <v>1496410.6737074249</v>
      </c>
      <c r="CC136">
        <f>-29.317-(0.1023*E136)+F136*(100-8.576-13.681)</f>
        <v>28.188704559266284</v>
      </c>
      <c r="CD136">
        <f>IF(BF136&lt;&gt;-999,BF136*$CC136, -999)</f>
        <v>817067.99610908504</v>
      </c>
      <c r="CE136">
        <f>IF(BG136&lt;&gt;-999,BG136*$CC136, -999)</f>
        <v>382103.323477183</v>
      </c>
      <c r="CF136" s="25">
        <f>IF(BH136&lt;&gt;-999,BH136*$CC136, -999)</f>
        <v>1199171.3195862682</v>
      </c>
      <c r="CG136">
        <f>-38.03-(0.1023*E136)+F136*(100-8.576-13.681)</f>
        <v>19.475704559266283</v>
      </c>
      <c r="CH136">
        <f>IF(BI136&lt;&gt;-999,BI136*$CG136, -999)</f>
        <v>2069225.2301357922</v>
      </c>
      <c r="CI136">
        <f>IF(BJ136&lt;&gt;-999,BJ136*$CG136, -999)</f>
        <v>967676.41869384178</v>
      </c>
      <c r="CJ136" s="25">
        <f>IF(BK136&lt;&gt;-999,BK136*$CG136, -999)</f>
        <v>3036901.6488296338</v>
      </c>
      <c r="CK136" s="26">
        <f t="shared" si="84"/>
        <v>12200236.813321451</v>
      </c>
      <c r="CL136">
        <f t="shared" si="85"/>
        <v>-43.021567670435239</v>
      </c>
      <c r="CM136">
        <f t="shared" si="86"/>
        <v>14.329307964366423</v>
      </c>
      <c r="CN136">
        <f t="shared" si="87"/>
        <v>-99.381785644915183</v>
      </c>
      <c r="CO136" s="22">
        <f t="shared" si="88"/>
        <v>-40.08</v>
      </c>
      <c r="CP136">
        <f>IF(AT136&lt;&gt;-999,AT136*$CO136, -999)</f>
        <v>-975127.56522854581</v>
      </c>
      <c r="CQ136">
        <f>IF(AU136&lt;&gt;-999,AU136*$CO136, -999)</f>
        <v>-456021.64082517836</v>
      </c>
      <c r="CR136" s="27">
        <f>IF(AV136&lt;&gt;-999,AV136*$CO136, -999)</f>
        <v>-1431149.2060537243</v>
      </c>
      <c r="CS136">
        <f t="shared" si="89"/>
        <v>-42.853000000000002</v>
      </c>
      <c r="CT136">
        <f>IF(AW136&lt;&gt;-999,AW136*$CS136, -999)</f>
        <v>-956190.31223899289</v>
      </c>
      <c r="CU136">
        <f>IF(AX136&lt;&gt;-999,AX136*$CS136, -999)</f>
        <v>-447167.11951289576</v>
      </c>
      <c r="CV136" s="27">
        <f>IF(AY136&lt;&gt;-999,AY136*$CS136, -999)</f>
        <v>-1403357.4317518889</v>
      </c>
      <c r="CW136">
        <f t="shared" si="90"/>
        <v>-48.780999999999999</v>
      </c>
      <c r="CX136">
        <f>IF(AZ136&lt;&gt;-999,AZ136*$CO136, -999)</f>
        <v>-3278100.9031273043</v>
      </c>
      <c r="CY136">
        <f>IF(BA136&lt;&gt;-999,BA136*$CO136, -999)</f>
        <v>-1533011.4754760626</v>
      </c>
      <c r="CZ136" s="27">
        <f>IF(BB136&lt;&gt;-999,BB136*$CO136, -999)</f>
        <v>-4811119.0506587429</v>
      </c>
      <c r="DA136">
        <f t="shared" si="91"/>
        <v>-48.155000000000001</v>
      </c>
      <c r="DB136">
        <f>IF(BC136&lt;&gt;-999,BC136*$DA136, -999)</f>
        <v>-1521932.3752059177</v>
      </c>
      <c r="DC136">
        <f>IF(BD136&lt;&gt;-999,BD136*$DA136, -999)</f>
        <v>-711734.15430213895</v>
      </c>
      <c r="DD136" s="27">
        <f>IF(BE136&lt;&gt;-999,BE136*$DA136, -999)</f>
        <v>-2233666.5295080561</v>
      </c>
      <c r="DE136">
        <f t="shared" si="92"/>
        <v>-52.227000000000004</v>
      </c>
      <c r="DF136">
        <f>IF(BF136&lt;&gt;-999,BF136*$DE136, -999)</f>
        <v>-1513833.6755798724</v>
      </c>
      <c r="DG136">
        <f>IF(BG136&lt;&gt;-999,BG136*$DE136, -999)</f>
        <v>-707947.05139022786</v>
      </c>
      <c r="DH136" s="27">
        <f>IF(BH136&lt;&gt;-999,BH136*$DE136, -999)</f>
        <v>-2221780.7269701008</v>
      </c>
      <c r="DI136">
        <f t="shared" si="93"/>
        <v>-60.94</v>
      </c>
      <c r="DJ136">
        <f>IF(BI136&lt;&gt;-999,BI136*$DI136, -999)</f>
        <v>-6474661.0393860759</v>
      </c>
      <c r="DK136">
        <f>IF(BJ136&lt;&gt;-999,BJ136*$DI136, -999)</f>
        <v>-3027885.3725548773</v>
      </c>
      <c r="DL136" s="27">
        <f>IF(BK136&lt;&gt;-999,BK136*$DI136, -999)</f>
        <v>-9502546.4119409528</v>
      </c>
      <c r="DM136" s="28">
        <f t="shared" si="94"/>
        <v>-21603619.356883466</v>
      </c>
      <c r="DN136" s="22">
        <f t="shared" si="95"/>
        <v>-17.170000000000002</v>
      </c>
      <c r="DO136">
        <f>IF(AT136&lt;&gt;-999,AT136*$DN136, -999)</f>
        <v>-417738.03131172992</v>
      </c>
      <c r="DP136">
        <f>IF(AU136&lt;&gt;-999,AU136*$DN136, -999)</f>
        <v>-195356.57617186412</v>
      </c>
      <c r="DQ136" s="24">
        <f>IF(AV136&lt;&gt;-999,AV136*$DN136, -999)</f>
        <v>-613094.60748359398</v>
      </c>
      <c r="DR136">
        <f t="shared" si="96"/>
        <v>-19.943000000000001</v>
      </c>
      <c r="DS136">
        <f>IF(AW136&lt;&gt;-999,AW136*$DR136, -999)</f>
        <v>-444993.42862768617</v>
      </c>
      <c r="DT136">
        <f>IF(AX136&lt;&gt;-999,AX136*$DR136, -999)</f>
        <v>-208103.37349650389</v>
      </c>
      <c r="DU136" s="24">
        <f>IF(AY136&lt;&gt;-999,AY136*$DR136, -999)</f>
        <v>-653096.80212419014</v>
      </c>
      <c r="DV136">
        <f t="shared" si="97"/>
        <v>-25.870999999999999</v>
      </c>
      <c r="DW136">
        <f>IF(AZ136&lt;&gt;-999,AZ136*$DV136, -999)</f>
        <v>-2115961.7880440741</v>
      </c>
      <c r="DX136">
        <f>IF(BA136&lt;&gt;-999,BA136*$DV136, -999)</f>
        <v>-989534.42819464114</v>
      </c>
      <c r="DY136" s="24">
        <f>IF(BB136&lt;&gt;-999,BB136*$DV136, -999)</f>
        <v>-3105500.5229439205</v>
      </c>
      <c r="DZ136">
        <f t="shared" si="98"/>
        <v>-25.245000000000001</v>
      </c>
      <c r="EA136">
        <f>IF(BC136&lt;&gt;-999, BC136*$DZ136, -999)</f>
        <v>-797864.86994234018</v>
      </c>
      <c r="EB136">
        <f>IF(BD136&lt;&gt;-999, BD136*$DZ136, -999)</f>
        <v>-373122.80605041009</v>
      </c>
      <c r="EC136" s="24">
        <f>IF(BE136&lt;&gt;-999, BE136*$DZ136, -999)</f>
        <v>-1170987.6759927501</v>
      </c>
      <c r="ED136">
        <f t="shared" si="99"/>
        <v>-29.317</v>
      </c>
      <c r="EE136">
        <f>IF(BF136&lt;&gt;-999,BF136*$ED136, -999)</f>
        <v>-849772.3757247231</v>
      </c>
      <c r="EF136">
        <f>IF(BG136&lt;&gt;-999,BG136*$ED136, -999)</f>
        <v>-397397.58564741054</v>
      </c>
      <c r="EG136" s="24">
        <f>IF(BH136&lt;&gt;-999,BH136*$ED136, -999)</f>
        <v>-1247169.9613721338</v>
      </c>
      <c r="EH136">
        <f t="shared" si="100"/>
        <v>-38.03</v>
      </c>
      <c r="EI136">
        <f>IF(BI136&lt;&gt;-999,BI136*$EH136, -999)</f>
        <v>-4040553.976499056</v>
      </c>
      <c r="EJ136">
        <f>IF(BJ136&lt;&gt;-999,BJ136*$EH136, -999)</f>
        <v>-1889571.393473285</v>
      </c>
      <c r="EK136" s="24">
        <f>IF(BK136&lt;&gt;-999,BK136*$EH136, -999)</f>
        <v>-5930125.3699723408</v>
      </c>
      <c r="EL136" s="28">
        <f t="shared" si="101"/>
        <v>-12719974.939888928</v>
      </c>
      <c r="EM136" s="22">
        <f>-17.17-(0.1023*G136)+H136*(100+102.093-66.644-64.243)</f>
        <v>27.208331243074575</v>
      </c>
      <c r="EN136">
        <f>IF(AT136&lt;&gt;-999,AT136*$EM136, -999)</f>
        <v>661965.91314848023</v>
      </c>
      <c r="EO136">
        <f>IF(AU136&lt;&gt;-999,AU136*$EM136, -999)</f>
        <v>309570.55532888806</v>
      </c>
      <c r="EP136" s="23">
        <f>IF(AV136&lt;&gt;-999,AV136*$EM136, -999)</f>
        <v>971536.46847736824</v>
      </c>
      <c r="EQ136">
        <f>-19.943-(0.1023*G136)+H136*(100+102.093-66.644-64.243)</f>
        <v>24.435331243074572</v>
      </c>
      <c r="ER136">
        <f>IF(AW136&lt;&gt;-999,AW136*$EQ136, -999)</f>
        <v>545232.00268309552</v>
      </c>
      <c r="ES136">
        <f>IF(AX136&lt;&gt;-999,AX136*$EQ136, -999)</f>
        <v>254980.43745616695</v>
      </c>
      <c r="ET136" s="23">
        <f>IF(AY136&lt;&gt;-999,AY136*$EQ136, -999)</f>
        <v>800212.44013926259</v>
      </c>
      <c r="EU136">
        <f>-25.871-(0.1023*G136)+H136*(100+102.093-66.644-64.243)</f>
        <v>18.507331243074574</v>
      </c>
      <c r="EV136">
        <f>IF(AZ136&lt;&gt;-999,AZ136*$EU136, -999)</f>
        <v>1513695.091377219</v>
      </c>
      <c r="EW136">
        <f>IF(BA136&lt;&gt;-999,BA136*$EU136, -999)</f>
        <v>707883.01337499975</v>
      </c>
      <c r="EX136" s="23">
        <f>IF(BB136&lt;&gt;-999,BB136*$EU136, -999)</f>
        <v>2221581.1856389181</v>
      </c>
      <c r="EY136">
        <f>-25.245-(0.1023*G136)+H136*(100+102.093-66.644-64.243)</f>
        <v>19.133331243074572</v>
      </c>
      <c r="EZ136">
        <f>IF(BC136&lt;&gt;-999, BC136*$EY136, -999)</f>
        <v>604706.39111980225</v>
      </c>
      <c r="FA136">
        <f>IF(BD136&lt;&gt;-999, BD136*$EY136, -999)</f>
        <v>282791.92879809724</v>
      </c>
      <c r="FB136" s="23">
        <f>IF(BE136&lt;&gt;-999, BE136*$EY136, -999)</f>
        <v>887498.31991789932</v>
      </c>
      <c r="FC136">
        <f>-29.317-(0.1023*G136)+H136*(100+102.093-66.644-64.243)</f>
        <v>15.061331243074576</v>
      </c>
      <c r="FD136">
        <f>IF(BF136&lt;&gt;-999,BF136*$FC136, -999)</f>
        <v>436562.51430925675</v>
      </c>
      <c r="FE136">
        <f>IF(BG136&lt;&gt;-999,BG136*$FC136, -999)</f>
        <v>204159.24796649552</v>
      </c>
      <c r="FF136" s="23">
        <f>IF(BH136&lt;&gt;-999,BH136*$FC136, -999)</f>
        <v>640721.76227575238</v>
      </c>
      <c r="FG136">
        <f>-38.03-(0.1023*G136)+H136*(100+102.093-66.644-64.243)</f>
        <v>6.3483312430745755</v>
      </c>
      <c r="FH136">
        <f>IF(BI136&lt;&gt;-999,BI136*$FG136, -999)</f>
        <v>674487.90555714362</v>
      </c>
      <c r="FI136">
        <f>IF(BJ136&lt;&gt;-999,BJ136*$FG136, -999)</f>
        <v>315425.32509088662</v>
      </c>
      <c r="FJ136" s="23">
        <f>IF(BK136&lt;&gt;-999,BK136*$FG136, -999)</f>
        <v>989913.23064803018</v>
      </c>
      <c r="FK136" s="28">
        <f t="shared" si="102"/>
        <v>6511463.4070972316</v>
      </c>
      <c r="FL136" s="22">
        <f t="shared" si="104"/>
        <v>10.012280000000011</v>
      </c>
      <c r="FM136">
        <f>IF(AT136&lt;&gt;-999,AT136*$FL136, -999)</f>
        <v>243594.06733499194</v>
      </c>
      <c r="FN136">
        <f>IF(AU136&lt;&gt;-999,AU136*$FL136, -999)</f>
        <v>113917.5737026228</v>
      </c>
      <c r="FO136" s="29">
        <f>IF(AV136&lt;&gt;-999,AV136*$FL136, -999)</f>
        <v>357511.64103761473</v>
      </c>
      <c r="FP136">
        <f t="shared" si="105"/>
        <v>7.2392800000000115</v>
      </c>
      <c r="FQ136">
        <f>IF(AW136&lt;&gt;-999,AW136*$FP136, -999)</f>
        <v>161531.96750718754</v>
      </c>
      <c r="FR136">
        <f>IF(AX136&lt;&gt;-999,AX136*$FP136, -999)</f>
        <v>75541.2219668943</v>
      </c>
      <c r="FS136" s="29">
        <f>IF(AY136&lt;&gt;-999,AY136*$FP136, -999)</f>
        <v>237073.18947408185</v>
      </c>
      <c r="FT136">
        <f t="shared" si="106"/>
        <v>1.3112800000000142</v>
      </c>
      <c r="FU136">
        <f>IF(AZ136&lt;&gt;-999,AZ136*$FT136, -999)</f>
        <v>107248.20739153738</v>
      </c>
      <c r="FV136">
        <f>IF(BA136&lt;&gt;-999,BA136*$FT136, -999)</f>
        <v>50154.872444168497</v>
      </c>
      <c r="FW136" s="29">
        <f>IF(BB136&lt;&gt;-999,BB136*$FT136, -999)</f>
        <v>157403.29812245173</v>
      </c>
      <c r="FX136">
        <f t="shared" si="107"/>
        <v>1.9372800000000119</v>
      </c>
      <c r="FY136">
        <f>IF(BC136&lt;&gt;-999, BC136*$FX136, -999)</f>
        <v>61227.476935706327</v>
      </c>
      <c r="FZ136">
        <f>IF(BD136&lt;&gt;-999, BD136*$FX136, -999)</f>
        <v>28633.129320869197</v>
      </c>
      <c r="GA136" s="29">
        <f>IF(BE136&lt;&gt;-999, BE136*$FX136, -999)</f>
        <v>89860.606256575498</v>
      </c>
      <c r="GB136">
        <f t="shared" si="108"/>
        <v>-2.1347199999999873</v>
      </c>
      <c r="GC136">
        <f>IF(BF136&lt;&gt;-999,BF136*$GB136, -999)</f>
        <v>-61876.252205446333</v>
      </c>
      <c r="GD136">
        <f>IF(BG136&lt;&gt;-999,BG136*$GB136, -999)</f>
        <v>-28936.541052400829</v>
      </c>
      <c r="GE136" s="29">
        <f>IF(BH136&lt;&gt;-999,BH136*$GB136, -999)</f>
        <v>-90812.793257847181</v>
      </c>
      <c r="GF136">
        <f t="shared" si="109"/>
        <v>-10.847719999999988</v>
      </c>
      <c r="GG136">
        <f>IF(BI136&lt;&gt;-999,BI136*$GF136, -999)</f>
        <v>-1152532.1636063184</v>
      </c>
      <c r="GH136">
        <f>IF(BJ136&lt;&gt;-999,BJ136*$GF136, -999)</f>
        <v>-538983.47084953985</v>
      </c>
      <c r="GI136" s="29">
        <f>IF(BK136&lt;&gt;-999,BK136*$GF136, -999)</f>
        <v>-1691515.6344558583</v>
      </c>
      <c r="GJ136" s="30">
        <f t="shared" si="103"/>
        <v>-940479.69282298163</v>
      </c>
    </row>
    <row r="137" spans="1:192">
      <c r="A137" s="48" t="s">
        <v>258</v>
      </c>
      <c r="B137" s="48" t="s">
        <v>269</v>
      </c>
      <c r="C137" s="49">
        <v>54</v>
      </c>
      <c r="D137" s="50">
        <v>0.53600000000000003</v>
      </c>
      <c r="E137" s="49">
        <v>228.215577082283</v>
      </c>
      <c r="F137" s="49">
        <v>0.78434089105995697</v>
      </c>
      <c r="G137" s="49">
        <v>120.56802507348699</v>
      </c>
      <c r="H137" s="49">
        <v>0.81451855581221599</v>
      </c>
      <c r="I137" s="42">
        <v>51118.7</v>
      </c>
      <c r="J137" s="43">
        <v>93618.2</v>
      </c>
      <c r="K137" s="43">
        <f t="shared" si="78"/>
        <v>144736.9</v>
      </c>
      <c r="L137" s="43">
        <v>35481.4</v>
      </c>
      <c r="M137" s="43">
        <v>64980.1</v>
      </c>
      <c r="N137" s="43">
        <f t="shared" si="79"/>
        <v>100461.5</v>
      </c>
      <c r="O137" s="43">
        <v>17209.3</v>
      </c>
      <c r="P137" s="43">
        <v>31516.9</v>
      </c>
      <c r="Q137" s="43">
        <f t="shared" si="80"/>
        <v>48726.2</v>
      </c>
      <c r="R137" s="43">
        <v>17110.900000000001</v>
      </c>
      <c r="S137" s="43">
        <v>31336.799999999999</v>
      </c>
      <c r="T137" s="43">
        <f t="shared" si="81"/>
        <v>48447.7</v>
      </c>
      <c r="U137" s="43">
        <v>11876.7</v>
      </c>
      <c r="V137" s="43">
        <v>21750.799999999999</v>
      </c>
      <c r="W137" s="43">
        <f t="shared" si="82"/>
        <v>33627.5</v>
      </c>
      <c r="X137" s="43">
        <v>5760.5</v>
      </c>
      <c r="Y137" s="43">
        <v>10549.6</v>
      </c>
      <c r="Z137" s="43">
        <f t="shared" si="83"/>
        <v>16310.1</v>
      </c>
      <c r="AA137" s="22">
        <v>1528762.7</v>
      </c>
      <c r="AB137">
        <v>2321511.2999999998</v>
      </c>
      <c r="AC137">
        <v>3850274</v>
      </c>
      <c r="AD137">
        <v>1061110</v>
      </c>
      <c r="AE137">
        <v>1611354.7</v>
      </c>
      <c r="AF137">
        <v>2672464.7000000002</v>
      </c>
      <c r="AG137">
        <v>514664</v>
      </c>
      <c r="AH137">
        <v>781546</v>
      </c>
      <c r="AI137">
        <v>1296210</v>
      </c>
      <c r="AJ137">
        <v>511722</v>
      </c>
      <c r="AK137">
        <v>777078.4</v>
      </c>
      <c r="AL137">
        <v>1288800.3999999999</v>
      </c>
      <c r="AM137">
        <v>355184.8</v>
      </c>
      <c r="AN137">
        <v>539368</v>
      </c>
      <c r="AO137">
        <v>894552.8</v>
      </c>
      <c r="AP137">
        <v>172273.2</v>
      </c>
      <c r="AQ137">
        <v>261606.5</v>
      </c>
      <c r="AR137">
        <v>433879.7</v>
      </c>
      <c r="AS137">
        <v>10436181.65</v>
      </c>
      <c r="AT137" s="22">
        <f t="shared" si="77"/>
        <v>2544907.5326490826</v>
      </c>
      <c r="AU137">
        <f t="shared" si="77"/>
        <v>3864583.8196470672</v>
      </c>
      <c r="AV137">
        <f t="shared" si="77"/>
        <v>6409491.3522961503</v>
      </c>
      <c r="AW137">
        <f t="shared" si="77"/>
        <v>1766413.3432672499</v>
      </c>
      <c r="AX137">
        <f t="shared" si="77"/>
        <v>2682397.1528082825</v>
      </c>
      <c r="AY137">
        <f t="shared" si="77"/>
        <v>4448810.4960755333</v>
      </c>
      <c r="AZ137">
        <f t="shared" si="77"/>
        <v>856753.17064139992</v>
      </c>
      <c r="BA137">
        <f t="shared" si="76"/>
        <v>1301027.49269835</v>
      </c>
      <c r="BB137">
        <f t="shared" si="76"/>
        <v>2157780.6633397499</v>
      </c>
      <c r="BC137">
        <f t="shared" si="76"/>
        <v>851855.66891594999</v>
      </c>
      <c r="BD137">
        <f t="shared" si="76"/>
        <v>1293590.3483378401</v>
      </c>
      <c r="BE137">
        <f t="shared" si="76"/>
        <v>2145446.0172537896</v>
      </c>
      <c r="BF137">
        <f t="shared" si="76"/>
        <v>591270.62231598003</v>
      </c>
      <c r="BG137">
        <f t="shared" si="76"/>
        <v>897877.53591179999</v>
      </c>
      <c r="BH137">
        <f t="shared" si="76"/>
        <v>1489148.1582277801</v>
      </c>
      <c r="BI137">
        <f t="shared" si="76"/>
        <v>286780.52149857004</v>
      </c>
      <c r="BJ137">
        <f t="shared" si="75"/>
        <v>435492.27910908748</v>
      </c>
      <c r="BK137">
        <f t="shared" si="75"/>
        <v>722272.80060765753</v>
      </c>
      <c r="BL137">
        <f t="shared" si="75"/>
        <v>17372949.571034886</v>
      </c>
      <c r="BM137" s="22">
        <f>-17.17-(0.1023*E137)+F137*(100-8.576-13.681)</f>
        <v>20.460560358156684</v>
      </c>
      <c r="BN137">
        <f>IF(AT137&lt;&gt;-999,AT137*$BM137, -999)</f>
        <v>52070234.177694157</v>
      </c>
      <c r="BO137">
        <f>IF(AU137&lt;&gt;-999,AU137*$BM137, -999)</f>
        <v>79071550.501044527</v>
      </c>
      <c r="BP137" s="25">
        <f>IF(AV137&lt;&gt;-999,AV137*$BM137, -999)</f>
        <v>131141784.67873868</v>
      </c>
      <c r="BQ137">
        <f>-19.943-(0.1023*E137)+F137*(100-8.576-13.681)</f>
        <v>17.687560358156688</v>
      </c>
      <c r="BR137">
        <f>IF(AW137&lt;&gt;-999,AW137*$BQ137, -999)</f>
        <v>31243542.626492832</v>
      </c>
      <c r="BS137">
        <f>IF(AX137&lt;&gt;-999,AX137*$BQ137, -999)</f>
        <v>47445061.544844143</v>
      </c>
      <c r="BT137" s="25">
        <f>IF(AY137&lt;&gt;-999,AY137*$BQ137, -999)</f>
        <v>78688604.171336994</v>
      </c>
      <c r="BU137">
        <f>-25.871-(0.1023*E137)+F137*(100-8.576-13.681)</f>
        <v>11.759560358156691</v>
      </c>
      <c r="BV137">
        <f>IF(AZ137&lt;&gt;-999,AZ137*$BU137, -999)</f>
        <v>10075040.62219966</v>
      </c>
      <c r="BW137">
        <f>IF(BA137&lt;&gt;-999,BA137*$BU137, -999)</f>
        <v>15299511.32800751</v>
      </c>
      <c r="BX137" s="25">
        <f>IF(BB137&lt;&gt;-999,BB137*$BU137, -999)</f>
        <v>25374551.95020717</v>
      </c>
      <c r="BY137">
        <f>-25.245-(0.1023*E137)+F137*(100-8.576-13.681)</f>
        <v>12.385560358156688</v>
      </c>
      <c r="BZ137">
        <f>IF(BC137&lt;&gt;-999,BC137*$BY137, -999)</f>
        <v>10550709.803796439</v>
      </c>
      <c r="CA137">
        <f>IF(BD137&lt;&gt;-999,BD137*$BY137, -999)</f>
        <v>16021841.338067254</v>
      </c>
      <c r="CB137" s="25">
        <f>IF(BE137&lt;&gt;-999,BE137*$BY137, -999)</f>
        <v>26572551.141863685</v>
      </c>
      <c r="CC137">
        <f>-29.317-(0.1023*E137)+F137*(100-8.576-13.681)</f>
        <v>8.3135603581566926</v>
      </c>
      <c r="CD137">
        <f>IF(BF137&lt;&gt;-999,BF137*$CC137, -999)</f>
        <v>4915564.0066287694</v>
      </c>
      <c r="CE137">
        <f>IF(BG137&lt;&gt;-999,BG137*$CC137, -999)</f>
        <v>7464559.0890357522</v>
      </c>
      <c r="CF137" s="25">
        <f>IF(BH137&lt;&gt;-999,BH137*$CC137, -999)</f>
        <v>12380123.095664524</v>
      </c>
      <c r="CG137">
        <f>-38.03-(0.1023*E137)+F137*(100-8.576-13.681)</f>
        <v>-0.39943964184331548</v>
      </c>
      <c r="CH137">
        <f>IF(BI137&lt;&gt;-999,BI137*$CG137, -999)</f>
        <v>-114551.50879502806</v>
      </c>
      <c r="CI137">
        <f>IF(BJ137&lt;&gt;-999,BJ137*$CG137, -999)</f>
        <v>-173952.87999286308</v>
      </c>
      <c r="CJ137" s="25">
        <f>IF(BK137&lt;&gt;-999,BK137*$CG137, -999)</f>
        <v>-288504.38878789113</v>
      </c>
      <c r="CK137" s="26">
        <f t="shared" si="84"/>
        <v>273869110.64902318</v>
      </c>
      <c r="CL137">
        <f t="shared" si="85"/>
        <v>-19.15171250584806</v>
      </c>
      <c r="CM137">
        <f t="shared" si="86"/>
        <v>38.788655665682185</v>
      </c>
      <c r="CN137">
        <f t="shared" si="87"/>
        <v>-76.091240342585664</v>
      </c>
      <c r="CO137" s="22">
        <f t="shared" si="88"/>
        <v>-40.08</v>
      </c>
      <c r="CP137">
        <f>IF(AT137&lt;&gt;-999,AT137*$CO137, -999)</f>
        <v>-101999893.90857522</v>
      </c>
      <c r="CQ137">
        <f>IF(AU137&lt;&gt;-999,AU137*$CO137, -999)</f>
        <v>-154892519.49145445</v>
      </c>
      <c r="CR137" s="27">
        <f>IF(AV137&lt;&gt;-999,AV137*$CO137, -999)</f>
        <v>-256892413.40002969</v>
      </c>
      <c r="CS137">
        <f t="shared" si="89"/>
        <v>-42.853000000000002</v>
      </c>
      <c r="CT137">
        <f>IF(AW137&lt;&gt;-999,AW137*$CS137, -999)</f>
        <v>-75696110.999031454</v>
      </c>
      <c r="CU137">
        <f>IF(AX137&lt;&gt;-999,AX137*$CS137, -999)</f>
        <v>-114948765.18929334</v>
      </c>
      <c r="CV137" s="27">
        <f>IF(AY137&lt;&gt;-999,AY137*$CS137, -999)</f>
        <v>-190644876.18832484</v>
      </c>
      <c r="CW137">
        <f t="shared" si="90"/>
        <v>-48.780999999999999</v>
      </c>
      <c r="CX137">
        <f>IF(AZ137&lt;&gt;-999,AZ137*$CO137, -999)</f>
        <v>-34338667.07930731</v>
      </c>
      <c r="CY137">
        <f>IF(BA137&lt;&gt;-999,BA137*$CO137, -999)</f>
        <v>-52145181.907349862</v>
      </c>
      <c r="CZ137" s="27">
        <f>IF(BB137&lt;&gt;-999,BB137*$CO137, -999)</f>
        <v>-86483848.986657172</v>
      </c>
      <c r="DA137">
        <f t="shared" si="91"/>
        <v>-48.155000000000001</v>
      </c>
      <c r="DB137">
        <f>IF(BC137&lt;&gt;-999,BC137*$DA137, -999)</f>
        <v>-41021109.736647576</v>
      </c>
      <c r="DC137">
        <f>IF(BD137&lt;&gt;-999,BD137*$DA137, -999)</f>
        <v>-62292843.22420869</v>
      </c>
      <c r="DD137" s="27">
        <f>IF(BE137&lt;&gt;-999,BE137*$DA137, -999)</f>
        <v>-103313952.96085624</v>
      </c>
      <c r="DE137">
        <f t="shared" si="92"/>
        <v>-52.227000000000004</v>
      </c>
      <c r="DF137">
        <f>IF(BF137&lt;&gt;-999,BF137*$DE137, -999)</f>
        <v>-30880290.79169669</v>
      </c>
      <c r="DG137">
        <f>IF(BG137&lt;&gt;-999,BG137*$DE137, -999)</f>
        <v>-46893450.068065584</v>
      </c>
      <c r="DH137" s="27">
        <f>IF(BH137&lt;&gt;-999,BH137*$DE137, -999)</f>
        <v>-77773740.859762281</v>
      </c>
      <c r="DI137">
        <f t="shared" si="93"/>
        <v>-60.94</v>
      </c>
      <c r="DJ137">
        <f>IF(BI137&lt;&gt;-999,BI137*$DI137, -999)</f>
        <v>-17476404.980122857</v>
      </c>
      <c r="DK137">
        <f>IF(BJ137&lt;&gt;-999,BJ137*$DI137, -999)</f>
        <v>-26538899.488907792</v>
      </c>
      <c r="DL137" s="27">
        <f>IF(BK137&lt;&gt;-999,BK137*$DI137, -999)</f>
        <v>-44015304.469030648</v>
      </c>
      <c r="DM137" s="28">
        <f t="shared" si="94"/>
        <v>-759124136.86466086</v>
      </c>
      <c r="DN137" s="22">
        <f t="shared" si="95"/>
        <v>-17.170000000000002</v>
      </c>
      <c r="DO137">
        <f>IF(AT137&lt;&gt;-999,AT137*$DN137, -999)</f>
        <v>-43696062.335584752</v>
      </c>
      <c r="DP137">
        <f>IF(AU137&lt;&gt;-999,AU137*$DN137, -999)</f>
        <v>-66354904.183340155</v>
      </c>
      <c r="DQ137" s="24">
        <f>IF(AV137&lt;&gt;-999,AV137*$DN137, -999)</f>
        <v>-110050966.51892491</v>
      </c>
      <c r="DR137">
        <f t="shared" si="96"/>
        <v>-19.943000000000001</v>
      </c>
      <c r="DS137">
        <f>IF(AW137&lt;&gt;-999,AW137*$DR137, -999)</f>
        <v>-35227581.30477877</v>
      </c>
      <c r="DT137">
        <f>IF(AX137&lt;&gt;-999,AX137*$DR137, -999)</f>
        <v>-53495046.418455586</v>
      </c>
      <c r="DU137" s="24">
        <f>IF(AY137&lt;&gt;-999,AY137*$DR137, -999)</f>
        <v>-88722627.72323437</v>
      </c>
      <c r="DV137">
        <f t="shared" si="97"/>
        <v>-25.870999999999999</v>
      </c>
      <c r="DW137">
        <f>IF(AZ137&lt;&gt;-999,AZ137*$DV137, -999)</f>
        <v>-22165061.277663656</v>
      </c>
      <c r="DX137">
        <f>IF(BA137&lt;&gt;-999,BA137*$DV137, -999)</f>
        <v>-33658882.263599008</v>
      </c>
      <c r="DY137" s="24">
        <f>IF(BB137&lt;&gt;-999,BB137*$DV137, -999)</f>
        <v>-55823943.541262664</v>
      </c>
      <c r="DZ137">
        <f t="shared" si="98"/>
        <v>-25.245000000000001</v>
      </c>
      <c r="EA137">
        <f>IF(BC137&lt;&gt;-999, BC137*$DZ137, -999)</f>
        <v>-21505096.361783158</v>
      </c>
      <c r="EB137">
        <f>IF(BD137&lt;&gt;-999, BD137*$DZ137, -999)</f>
        <v>-32656688.343788773</v>
      </c>
      <c r="EC137" s="24">
        <f>IF(BE137&lt;&gt;-999, BE137*$DZ137, -999)</f>
        <v>-54161784.70557192</v>
      </c>
      <c r="ED137">
        <f t="shared" si="99"/>
        <v>-29.317</v>
      </c>
      <c r="EE137">
        <f>IF(BF137&lt;&gt;-999,BF137*$ED137, -999)</f>
        <v>-17334280.834437586</v>
      </c>
      <c r="EF137">
        <f>IF(BG137&lt;&gt;-999,BG137*$ED137, -999)</f>
        <v>-26323075.720326241</v>
      </c>
      <c r="EG137" s="24">
        <f>IF(BH137&lt;&gt;-999,BH137*$ED137, -999)</f>
        <v>-43657356.554763831</v>
      </c>
      <c r="EH137">
        <f t="shared" si="100"/>
        <v>-38.03</v>
      </c>
      <c r="EI137">
        <f>IF(BI137&lt;&gt;-999,BI137*$EH137, -999)</f>
        <v>-10906263.232590619</v>
      </c>
      <c r="EJ137">
        <f>IF(BJ137&lt;&gt;-999,BJ137*$EH137, -999)</f>
        <v>-16561771.374518597</v>
      </c>
      <c r="EK137" s="24">
        <f>IF(BK137&lt;&gt;-999,BK137*$EH137, -999)</f>
        <v>-27468034.607109215</v>
      </c>
      <c r="EL137" s="28">
        <f t="shared" si="101"/>
        <v>-379884713.65086693</v>
      </c>
      <c r="EM137" s="22">
        <f>-17.17-(0.1023*G137)+H137*(100+102.093-66.644-64.243)</f>
        <v>28.494499320146943</v>
      </c>
      <c r="EN137">
        <f>IF(AT137&lt;&gt;-999,AT137*$EM137, -999)</f>
        <v>72515865.958906114</v>
      </c>
      <c r="EO137">
        <f>IF(AU137&lt;&gt;-999,AU137*$EM137, -999)</f>
        <v>110119381.02158423</v>
      </c>
      <c r="EP137" s="23">
        <f>IF(AV137&lt;&gt;-999,AV137*$EM137, -999)</f>
        <v>182635246.98049036</v>
      </c>
      <c r="EQ137">
        <f>-19.943-(0.1023*G137)+H137*(100+102.093-66.644-64.243)</f>
        <v>25.721499320146947</v>
      </c>
      <c r="ER137">
        <f>IF(AW137&lt;&gt;-999,AW137*$EQ137, -999)</f>
        <v>45434799.607947066</v>
      </c>
      <c r="ES137">
        <f>IF(AX137&lt;&gt;-999,AX137*$EQ137, -999)</f>
        <v>68995276.542322338</v>
      </c>
      <c r="ET137" s="23">
        <f>IF(AY137&lt;&gt;-999,AY137*$EQ137, -999)</f>
        <v>114430076.15026943</v>
      </c>
      <c r="EU137">
        <f>-25.871-(0.1023*G137)+H137*(100+102.093-66.644-64.243)</f>
        <v>19.79349932014695</v>
      </c>
      <c r="EV137">
        <f>IF(AZ137&lt;&gt;-999,AZ137*$EU137, -999)</f>
        <v>16958143.300624292</v>
      </c>
      <c r="EW137">
        <f>IF(BA137&lt;&gt;-999,BA137*$EU137, -999)</f>
        <v>25751886.792217281</v>
      </c>
      <c r="EX137" s="23">
        <f>IF(BB137&lt;&gt;-999,BB137*$EU137, -999)</f>
        <v>42710030.092841573</v>
      </c>
      <c r="EY137">
        <f>-25.245-(0.1023*G137)+H137*(100+102.093-66.644-64.243)</f>
        <v>20.41949932014694</v>
      </c>
      <c r="EZ137">
        <f>IF(BC137&lt;&gt;-999, BC137*$EY137, -999)</f>
        <v>17394466.252292559</v>
      </c>
      <c r="FA137">
        <f>IF(BD137&lt;&gt;-999, BD137*$EY137, -999)</f>
        <v>26414467.238433167</v>
      </c>
      <c r="FB137" s="23">
        <f>IF(BE137&lt;&gt;-999, BE137*$EY137, -999)</f>
        <v>43808933.490725718</v>
      </c>
      <c r="FC137">
        <f>-29.317-(0.1023*G137)+H137*(100+102.093-66.644-64.243)</f>
        <v>16.347499320146945</v>
      </c>
      <c r="FD137">
        <f>IF(BF137&lt;&gt;-999,BF137*$FC137, -999)</f>
        <v>9665796.0963333435</v>
      </c>
      <c r="FE137">
        <f>IF(BG137&lt;&gt;-999,BG137*$FC137, -999)</f>
        <v>14678052.407893363</v>
      </c>
      <c r="FF137" s="23">
        <f>IF(BH137&lt;&gt;-999,BH137*$FC137, -999)</f>
        <v>24343848.504226711</v>
      </c>
      <c r="FG137">
        <f>-38.03-(0.1023*G137)+H137*(100+102.093-66.644-64.243)</f>
        <v>7.6344993201469435</v>
      </c>
      <c r="FH137">
        <f>IF(BI137&lt;&gt;-999,BI137*$FG137, -999)</f>
        <v>2189425.6964122187</v>
      </c>
      <c r="FI137">
        <f>IF(BJ137&lt;&gt;-999,BJ137*$FG137, -999)</f>
        <v>3324765.5087875715</v>
      </c>
      <c r="FJ137" s="23">
        <f>IF(BK137&lt;&gt;-999,BK137*$FG137, -999)</f>
        <v>5514191.2051997902</v>
      </c>
      <c r="FK137" s="28">
        <f t="shared" si="102"/>
        <v>413442326.4237535</v>
      </c>
      <c r="FL137" s="22">
        <f t="shared" si="104"/>
        <v>10.012280000000011</v>
      </c>
      <c r="FM137">
        <f>IF(AT137&lt;&gt;-999,AT137*$FL137, -999)</f>
        <v>25480326.790991787</v>
      </c>
      <c r="FN137">
        <f>IF(AU137&lt;&gt;-999,AU137*$FL137, -999)</f>
        <v>38693295.285775982</v>
      </c>
      <c r="FO137" s="29">
        <f>IF(AV137&lt;&gt;-999,AV137*$FL137, -999)</f>
        <v>64173622.076767772</v>
      </c>
      <c r="FP137">
        <f t="shared" si="105"/>
        <v>7.2392800000000115</v>
      </c>
      <c r="FQ137">
        <f>IF(AW137&lt;&gt;-999,AW137*$FP137, -999)</f>
        <v>12787560.787647758</v>
      </c>
      <c r="FR137">
        <f>IF(AX137&lt;&gt;-999,AX137*$FP137, -999)</f>
        <v>19418624.060381975</v>
      </c>
      <c r="FS137" s="29">
        <f>IF(AY137&lt;&gt;-999,AY137*$FP137, -999)</f>
        <v>32206184.848029736</v>
      </c>
      <c r="FT137">
        <f t="shared" si="106"/>
        <v>1.3112800000000142</v>
      </c>
      <c r="FU137">
        <f>IF(AZ137&lt;&gt;-999,AZ137*$FT137, -999)</f>
        <v>1123443.297598667</v>
      </c>
      <c r="FV137">
        <f>IF(BA137&lt;&gt;-999,BA137*$FT137, -999)</f>
        <v>1706011.3306255108</v>
      </c>
      <c r="FW137" s="29">
        <f>IF(BB137&lt;&gt;-999,BB137*$FT137, -999)</f>
        <v>2829454.6282241778</v>
      </c>
      <c r="FX137">
        <f t="shared" si="107"/>
        <v>1.9372800000000119</v>
      </c>
      <c r="FY137">
        <f>IF(BC137&lt;&gt;-999, BC137*$FX137, -999)</f>
        <v>1650282.9502775017</v>
      </c>
      <c r="FZ137">
        <f>IF(BD137&lt;&gt;-999, BD137*$FX137, -999)</f>
        <v>2506046.7100279462</v>
      </c>
      <c r="GA137" s="29">
        <f>IF(BE137&lt;&gt;-999, BE137*$FX137, -999)</f>
        <v>4156329.6603054469</v>
      </c>
      <c r="GB137">
        <f t="shared" si="108"/>
        <v>-2.1347199999999873</v>
      </c>
      <c r="GC137">
        <f>IF(BF137&lt;&gt;-999,BF137*$GB137, -999)</f>
        <v>-1262197.2228703613</v>
      </c>
      <c r="GD137">
        <f>IF(BG137&lt;&gt;-999,BG137*$GB137, -999)</f>
        <v>-1916717.1334616262</v>
      </c>
      <c r="GE137" s="29">
        <f>IF(BH137&lt;&gt;-999,BH137*$GB137, -999)</f>
        <v>-3178914.3563319878</v>
      </c>
      <c r="GF137">
        <f t="shared" si="109"/>
        <v>-10.847719999999988</v>
      </c>
      <c r="GG137">
        <f>IF(BI137&lt;&gt;-999,BI137*$GF137, -999)</f>
        <v>-3110914.7986704647</v>
      </c>
      <c r="GH137">
        <f>IF(BJ137&lt;&gt;-999,BJ137*$GF137, -999)</f>
        <v>-4724098.305937225</v>
      </c>
      <c r="GI137" s="29">
        <f>IF(BK137&lt;&gt;-999,BK137*$GF137, -999)</f>
        <v>-7835013.1046076901</v>
      </c>
      <c r="GJ137" s="30">
        <f t="shared" si="103"/>
        <v>92351663.752387449</v>
      </c>
    </row>
    <row r="138" spans="1:192">
      <c r="A138" s="48" t="s">
        <v>153</v>
      </c>
      <c r="B138" s="48" t="s">
        <v>270</v>
      </c>
      <c r="C138" s="49">
        <v>48</v>
      </c>
      <c r="D138" s="50">
        <v>0.52800000000000002</v>
      </c>
      <c r="E138" s="49">
        <v>197.88126875018699</v>
      </c>
      <c r="F138" s="49">
        <v>0.77524735055344896</v>
      </c>
      <c r="G138" s="49">
        <v>93.360889153419905</v>
      </c>
      <c r="H138" s="49">
        <v>0.81680216222314905</v>
      </c>
      <c r="I138" s="42">
        <v>131623.70000000001</v>
      </c>
      <c r="J138" s="43">
        <v>33014.199999999997</v>
      </c>
      <c r="K138" s="43">
        <f t="shared" si="78"/>
        <v>164637.90000000002</v>
      </c>
      <c r="L138" s="43">
        <v>89029.7</v>
      </c>
      <c r="M138" s="43">
        <v>22330.7</v>
      </c>
      <c r="N138" s="43">
        <f t="shared" si="79"/>
        <v>111360.4</v>
      </c>
      <c r="O138" s="43">
        <v>168214.9</v>
      </c>
      <c r="P138" s="43">
        <v>42192.1</v>
      </c>
      <c r="Q138" s="43">
        <f t="shared" si="80"/>
        <v>210407</v>
      </c>
      <c r="R138" s="43">
        <v>191322.8</v>
      </c>
      <c r="S138" s="43">
        <v>47988.1</v>
      </c>
      <c r="T138" s="43">
        <f t="shared" si="81"/>
        <v>239310.9</v>
      </c>
      <c r="U138" s="43">
        <v>129409.8</v>
      </c>
      <c r="V138" s="43">
        <v>32458.9</v>
      </c>
      <c r="W138" s="43">
        <f t="shared" si="82"/>
        <v>161868.70000000001</v>
      </c>
      <c r="X138" s="43">
        <v>244510.2</v>
      </c>
      <c r="Y138" s="43">
        <v>61328.7</v>
      </c>
      <c r="Z138" s="43">
        <f t="shared" si="83"/>
        <v>305838.90000000002</v>
      </c>
      <c r="AA138" s="22">
        <v>2493799</v>
      </c>
      <c r="AB138">
        <v>319691.7</v>
      </c>
      <c r="AC138">
        <v>2813490.7</v>
      </c>
      <c r="AD138">
        <v>1686793.4</v>
      </c>
      <c r="AE138">
        <v>216237.9</v>
      </c>
      <c r="AF138">
        <v>1903031.3</v>
      </c>
      <c r="AG138">
        <v>3187071.3</v>
      </c>
      <c r="AH138">
        <v>408565.5</v>
      </c>
      <c r="AI138">
        <v>3595636.8</v>
      </c>
      <c r="AJ138">
        <v>3624882.5</v>
      </c>
      <c r="AK138">
        <v>464690.5</v>
      </c>
      <c r="AL138">
        <v>4089573</v>
      </c>
      <c r="AM138">
        <v>2451852.7000000002</v>
      </c>
      <c r="AN138">
        <v>314314.40000000002</v>
      </c>
      <c r="AO138">
        <v>2766167.1</v>
      </c>
      <c r="AP138">
        <v>4632594.2</v>
      </c>
      <c r="AQ138">
        <v>593873.80000000005</v>
      </c>
      <c r="AR138">
        <v>5226468</v>
      </c>
      <c r="AS138">
        <v>20394366.899999999</v>
      </c>
      <c r="AT138" s="22">
        <f t="shared" si="77"/>
        <v>4151388.4790705252</v>
      </c>
      <c r="AU138">
        <f t="shared" si="77"/>
        <v>532185.80977635761</v>
      </c>
      <c r="AV138">
        <f t="shared" si="77"/>
        <v>4683574.288846883</v>
      </c>
      <c r="AW138">
        <f t="shared" si="77"/>
        <v>2807978.7855124651</v>
      </c>
      <c r="AX138">
        <f t="shared" si="77"/>
        <v>359967.87503660249</v>
      </c>
      <c r="AY138">
        <f t="shared" si="77"/>
        <v>3167946.6605490679</v>
      </c>
      <c r="AZ138">
        <f t="shared" si="77"/>
        <v>5305468.1138280667</v>
      </c>
      <c r="BA138">
        <f t="shared" si="76"/>
        <v>680132.64487061254</v>
      </c>
      <c r="BB138">
        <f t="shared" si="76"/>
        <v>5985600.7586986804</v>
      </c>
      <c r="BC138">
        <f t="shared" si="76"/>
        <v>6034285.6214491874</v>
      </c>
      <c r="BD138">
        <f t="shared" si="76"/>
        <v>773563.06102998753</v>
      </c>
      <c r="BE138">
        <f t="shared" si="76"/>
        <v>6807848.6824791748</v>
      </c>
      <c r="BF138">
        <f t="shared" si="76"/>
        <v>4081561.1246768325</v>
      </c>
      <c r="BG138">
        <f t="shared" si="76"/>
        <v>523234.30194894003</v>
      </c>
      <c r="BH138">
        <f t="shared" si="76"/>
        <v>4604795.4266257724</v>
      </c>
      <c r="BI138">
        <f t="shared" si="76"/>
        <v>7711807.6437150454</v>
      </c>
      <c r="BJ138">
        <f t="shared" si="75"/>
        <v>988612.49496925494</v>
      </c>
      <c r="BK138">
        <f t="shared" si="75"/>
        <v>8700420.1386842988</v>
      </c>
      <c r="BL138">
        <f t="shared" si="75"/>
        <v>33950185.955883875</v>
      </c>
      <c r="BM138" s="22">
        <f>-17.17-(0.1023*E138)+F138*(100-8.576-13.681)</f>
        <v>22.856800980932654</v>
      </c>
      <c r="BN138">
        <f>IF(AT138&lt;&gt;-999,AT138*$BM138, -999)</f>
        <v>94887460.260651693</v>
      </c>
      <c r="BO138">
        <f>IF(AU138&lt;&gt;-999,AU138*$BM138, -999)</f>
        <v>12164065.138934689</v>
      </c>
      <c r="BP138" s="25">
        <f>IF(AV138&lt;&gt;-999,AV138*$BM138, -999)</f>
        <v>107051525.39958639</v>
      </c>
      <c r="BQ138">
        <f>-19.943-(0.1023*E138)+F138*(100-8.576-13.681)</f>
        <v>20.083800980932658</v>
      </c>
      <c r="BR138">
        <f>IF(AW138&lt;&gt;-999,AW138*$BQ138, -999)</f>
        <v>56394887.08691334</v>
      </c>
      <c r="BS138">
        <f>IF(AX138&lt;&gt;-999,AX138*$BQ138, -999)</f>
        <v>7229523.1617643619</v>
      </c>
      <c r="BT138" s="25">
        <f>IF(AY138&lt;&gt;-999,AY138*$BQ138, -999)</f>
        <v>63624410.248677708</v>
      </c>
      <c r="BU138">
        <f>-25.871-(0.1023*E138)+F138*(100-8.576-13.681)</f>
        <v>14.155800980932661</v>
      </c>
      <c r="BV138">
        <f>IF(AZ138&lt;&gt;-999,AZ138*$BU138, -999)</f>
        <v>75103150.730034307</v>
      </c>
      <c r="BW138">
        <f>IF(BA138&lt;&gt;-999,BA138*$BU138, -999)</f>
        <v>9627822.361423742</v>
      </c>
      <c r="BX138" s="25">
        <f>IF(BB138&lt;&gt;-999,BB138*$BU138, -999)</f>
        <v>84730973.091458052</v>
      </c>
      <c r="BY138">
        <f>-25.245-(0.1023*E138)+F138*(100-8.576-13.681)</f>
        <v>14.781800980932658</v>
      </c>
      <c r="BZ138">
        <f>IF(BC138&lt;&gt;-999,BC138*$BY138, -999)</f>
        <v>89197609.118365437</v>
      </c>
      <c r="CA138">
        <f>IF(BD138&lt;&gt;-999,BD138*$BY138, -999)</f>
        <v>11434655.21434634</v>
      </c>
      <c r="CB138" s="25">
        <f>IF(BE138&lt;&gt;-999,BE138*$BY138, -999)</f>
        <v>100632264.33271177</v>
      </c>
      <c r="CC138">
        <f>-29.317-(0.1023*E138)+F138*(100-8.576-13.681)</f>
        <v>10.709800980932663</v>
      </c>
      <c r="CD138">
        <f>IF(BF138&lt;&gt;-999,BF138*$CC138, -999)</f>
        <v>43712707.33680056</v>
      </c>
      <c r="CE138">
        <f>IF(BG138&lt;&gt;-999,BG138*$CC138, -999)</f>
        <v>5603735.2402703753</v>
      </c>
      <c r="CF138" s="25">
        <f>IF(BH138&lt;&gt;-999,BH138*$CC138, -999)</f>
        <v>49316442.577070937</v>
      </c>
      <c r="CG138">
        <f>-38.03-(0.1023*E138)+F138*(100-8.576-13.681)</f>
        <v>1.9968009809326546</v>
      </c>
      <c r="CH138">
        <f>IF(BI138&lt;&gt;-999,BI138*$CG138, -999)</f>
        <v>15398945.067734146</v>
      </c>
      <c r="CI138">
        <f>IF(BJ138&lt;&gt;-999,BJ138*$CG138, -999)</f>
        <v>1974062.3997168874</v>
      </c>
      <c r="CJ138" s="25">
        <f>IF(BK138&lt;&gt;-999,BK138*$CG138, -999)</f>
        <v>17373007.467451032</v>
      </c>
      <c r="CK138" s="26">
        <f t="shared" si="84"/>
        <v>422728623.11695594</v>
      </c>
      <c r="CL138">
        <f t="shared" si="85"/>
        <v>-23.640281920994724</v>
      </c>
      <c r="CM138">
        <f t="shared" si="86"/>
        <v>34.979718479595903</v>
      </c>
      <c r="CN138">
        <f t="shared" si="87"/>
        <v>-81.247702272856898</v>
      </c>
      <c r="CO138" s="22">
        <f t="shared" si="88"/>
        <v>-40.08</v>
      </c>
      <c r="CP138">
        <f>IF(AT138&lt;&gt;-999,AT138*$CO138, -999)</f>
        <v>-166387650.24114665</v>
      </c>
      <c r="CQ138">
        <f>IF(AU138&lt;&gt;-999,AU138*$CO138, -999)</f>
        <v>-21330007.255836412</v>
      </c>
      <c r="CR138" s="27">
        <f>IF(AV138&lt;&gt;-999,AV138*$CO138, -999)</f>
        <v>-187717657.49698305</v>
      </c>
      <c r="CS138">
        <f t="shared" si="89"/>
        <v>-42.853000000000002</v>
      </c>
      <c r="CT138">
        <f>IF(AW138&lt;&gt;-999,AW138*$CS138, -999)</f>
        <v>-120330314.89556567</v>
      </c>
      <c r="CU138">
        <f>IF(AX138&lt;&gt;-999,AX138*$CS138, -999)</f>
        <v>-15425703.348943528</v>
      </c>
      <c r="CV138" s="27">
        <f>IF(AY138&lt;&gt;-999,AY138*$CS138, -999)</f>
        <v>-135756018.24450922</v>
      </c>
      <c r="CW138">
        <f t="shared" si="90"/>
        <v>-48.780999999999999</v>
      </c>
      <c r="CX138">
        <f>IF(AZ138&lt;&gt;-999,AZ138*$CO138, -999)</f>
        <v>-212643162.00222892</v>
      </c>
      <c r="CY138">
        <f>IF(BA138&lt;&gt;-999,BA138*$CO138, -999)</f>
        <v>-27259716.406414151</v>
      </c>
      <c r="CZ138" s="27">
        <f>IF(BB138&lt;&gt;-999,BB138*$CO138, -999)</f>
        <v>-239902878.4086431</v>
      </c>
      <c r="DA138">
        <f t="shared" si="91"/>
        <v>-48.155000000000001</v>
      </c>
      <c r="DB138">
        <f>IF(BC138&lt;&gt;-999,BC138*$DA138, -999)</f>
        <v>-290581024.10088563</v>
      </c>
      <c r="DC138">
        <f>IF(BD138&lt;&gt;-999,BD138*$DA138, -999)</f>
        <v>-37250929.203899048</v>
      </c>
      <c r="DD138" s="27">
        <f>IF(BE138&lt;&gt;-999,BE138*$DA138, -999)</f>
        <v>-327831953.30478466</v>
      </c>
      <c r="DE138">
        <f t="shared" si="92"/>
        <v>-52.227000000000004</v>
      </c>
      <c r="DF138">
        <f>IF(BF138&lt;&gt;-999,BF138*$DE138, -999)</f>
        <v>-213167692.85849693</v>
      </c>
      <c r="DG138">
        <f>IF(BG138&lt;&gt;-999,BG138*$DE138, -999)</f>
        <v>-27326957.887887292</v>
      </c>
      <c r="DH138" s="27">
        <f>IF(BH138&lt;&gt;-999,BH138*$DE138, -999)</f>
        <v>-240494650.74638423</v>
      </c>
      <c r="DI138">
        <f t="shared" si="93"/>
        <v>-60.94</v>
      </c>
      <c r="DJ138">
        <f>IF(BI138&lt;&gt;-999,BI138*$DI138, -999)</f>
        <v>-469957557.80799484</v>
      </c>
      <c r="DK138">
        <f>IF(BJ138&lt;&gt;-999,BJ138*$DI138, -999)</f>
        <v>-60246045.443426393</v>
      </c>
      <c r="DL138" s="27">
        <f>IF(BK138&lt;&gt;-999,BK138*$DI138, -999)</f>
        <v>-530203603.25142115</v>
      </c>
      <c r="DM138" s="28">
        <f t="shared" si="94"/>
        <v>-1661906761.4527254</v>
      </c>
      <c r="DN138" s="22">
        <f t="shared" si="95"/>
        <v>-17.170000000000002</v>
      </c>
      <c r="DO138">
        <f>IF(AT138&lt;&gt;-999,AT138*$DN138, -999)</f>
        <v>-71279340.185640931</v>
      </c>
      <c r="DP138">
        <f>IF(AU138&lt;&gt;-999,AU138*$DN138, -999)</f>
        <v>-9137630.3538600616</v>
      </c>
      <c r="DQ138" s="24">
        <f>IF(AV138&lt;&gt;-999,AV138*$DN138, -999)</f>
        <v>-80416970.539500982</v>
      </c>
      <c r="DR138">
        <f t="shared" si="96"/>
        <v>-19.943000000000001</v>
      </c>
      <c r="DS138">
        <f>IF(AW138&lt;&gt;-999,AW138*$DR138, -999)</f>
        <v>-55999520.919475093</v>
      </c>
      <c r="DT138">
        <f>IF(AX138&lt;&gt;-999,AX138*$DR138, -999)</f>
        <v>-7178839.3318549637</v>
      </c>
      <c r="DU138" s="24">
        <f>IF(AY138&lt;&gt;-999,AY138*$DR138, -999)</f>
        <v>-63178360.251330063</v>
      </c>
      <c r="DV138">
        <f t="shared" si="97"/>
        <v>-25.870999999999999</v>
      </c>
      <c r="DW138">
        <f>IF(AZ138&lt;&gt;-999,AZ138*$DV138, -999)</f>
        <v>-137257765.57284591</v>
      </c>
      <c r="DX138">
        <f>IF(BA138&lt;&gt;-999,BA138*$DV138, -999)</f>
        <v>-17595711.655447617</v>
      </c>
      <c r="DY138" s="24">
        <f>IF(BB138&lt;&gt;-999,BB138*$DV138, -999)</f>
        <v>-154853477.22829357</v>
      </c>
      <c r="DZ138">
        <f t="shared" si="98"/>
        <v>-25.245000000000001</v>
      </c>
      <c r="EA138">
        <f>IF(BC138&lt;&gt;-999, BC138*$DZ138, -999)</f>
        <v>-152335540.51348475</v>
      </c>
      <c r="EB138">
        <f>IF(BD138&lt;&gt;-999, BD138*$DZ138, -999)</f>
        <v>-19528599.475702036</v>
      </c>
      <c r="EC138" s="24">
        <f>IF(BE138&lt;&gt;-999, BE138*$DZ138, -999)</f>
        <v>-171864139.98918676</v>
      </c>
      <c r="ED138">
        <f t="shared" si="99"/>
        <v>-29.317</v>
      </c>
      <c r="EE138">
        <f>IF(BF138&lt;&gt;-999,BF138*$ED138, -999)</f>
        <v>-119659127.49215069</v>
      </c>
      <c r="EF138">
        <f>IF(BG138&lt;&gt;-999,BG138*$ED138, -999)</f>
        <v>-15339660.030237075</v>
      </c>
      <c r="EG138" s="24">
        <f>IF(BH138&lt;&gt;-999,BH138*$ED138, -999)</f>
        <v>-134998787.52238777</v>
      </c>
      <c r="EH138">
        <f t="shared" si="100"/>
        <v>-38.03</v>
      </c>
      <c r="EI138">
        <f>IF(BI138&lt;&gt;-999,BI138*$EH138, -999)</f>
        <v>-293280044.69048321</v>
      </c>
      <c r="EJ138">
        <f>IF(BJ138&lt;&gt;-999,BJ138*$EH138, -999)</f>
        <v>-37596933.183680765</v>
      </c>
      <c r="EK138" s="24">
        <f>IF(BK138&lt;&gt;-999,BK138*$EH138, -999)</f>
        <v>-330876977.87416387</v>
      </c>
      <c r="EL138" s="28">
        <f t="shared" si="101"/>
        <v>-936188713.404863</v>
      </c>
      <c r="EM138" s="22">
        <f>-17.17-(0.1023*G138)+H138*(100+102.093-66.644-64.243)</f>
        <v>31.440395802866711</v>
      </c>
      <c r="EN138">
        <f>IF(AT138&lt;&gt;-999,AT138*$EM138, -999)</f>
        <v>130521296.91343816</v>
      </c>
      <c r="EO138">
        <f>IF(AU138&lt;&gt;-999,AU138*$EM138, -999)</f>
        <v>16732132.500037815</v>
      </c>
      <c r="EP138" s="23">
        <f>IF(AV138&lt;&gt;-999,AV138*$EM138, -999)</f>
        <v>147253429.41347599</v>
      </c>
      <c r="EQ138">
        <f>-19.943-(0.1023*G138)+H138*(100+102.093-66.644-64.243)</f>
        <v>28.667395802866711</v>
      </c>
      <c r="ER138">
        <f>IF(AW138&lt;&gt;-999,AW138*$EQ138, -999)</f>
        <v>80497439.250338808</v>
      </c>
      <c r="ES138">
        <f>IF(AX138&lt;&gt;-999,AX138*$EQ138, -999)</f>
        <v>10319341.549991148</v>
      </c>
      <c r="ET138" s="23">
        <f>IF(AY138&lt;&gt;-999,AY138*$EQ138, -999)</f>
        <v>90816780.800329968</v>
      </c>
      <c r="EU138">
        <f>-25.871-(0.1023*G138)+H138*(100+102.093-66.644-64.243)</f>
        <v>22.73939580286671</v>
      </c>
      <c r="EV138">
        <f>IF(AZ138&lt;&gt;-999,AZ138*$EU138, -999)</f>
        <v>120643139.3598251</v>
      </c>
      <c r="EW138">
        <f>IF(BA138&lt;&gt;-999,BA138*$EU138, -999)</f>
        <v>15465805.410163442</v>
      </c>
      <c r="EX138" s="23">
        <f>IF(BB138&lt;&gt;-999,BB138*$EU138, -999)</f>
        <v>136108944.76998857</v>
      </c>
      <c r="EY138">
        <f>-25.245-(0.1023*G138)+H138*(100+102.093-66.644-64.243)</f>
        <v>23.365395802866715</v>
      </c>
      <c r="EZ138">
        <f>IF(BC138&lt;&gt;-999, BC138*$EY138, -999)</f>
        <v>140993471.93270782</v>
      </c>
      <c r="FA138">
        <f>IF(BD138&lt;&gt;-999, BD138*$EY138, -999)</f>
        <v>18074607.099442799</v>
      </c>
      <c r="FB138" s="23">
        <f>IF(BE138&lt;&gt;-999, BE138*$EY138, -999)</f>
        <v>159068079.0321506</v>
      </c>
      <c r="FC138">
        <f>-29.317-(0.1023*G138)+H138*(100+102.093-66.644-64.243)</f>
        <v>19.293395802866712</v>
      </c>
      <c r="FD138">
        <f>IF(BF138&lt;&gt;-999,BF138*$FC138, -999)</f>
        <v>78747174.271983936</v>
      </c>
      <c r="FE138">
        <f>IF(BG138&lt;&gt;-999,BG138*$FC138, -999)</f>
        <v>10094966.485137574</v>
      </c>
      <c r="FF138" s="23">
        <f>IF(BH138&lt;&gt;-999,BH138*$FC138, -999)</f>
        <v>88842140.757121503</v>
      </c>
      <c r="FG138">
        <f>-38.03-(0.1023*G138)+H138*(100+102.093-66.644-64.243)</f>
        <v>10.580395802866711</v>
      </c>
      <c r="FH138">
        <f>IF(BI138&lt;&gt;-999,BI138*$FG138, -999)</f>
        <v>81593977.226078093</v>
      </c>
      <c r="FI138">
        <f>IF(BJ138&lt;&gt;-999,BJ138*$FG138, -999)</f>
        <v>10459911.492434293</v>
      </c>
      <c r="FJ138" s="23">
        <f>IF(BK138&lt;&gt;-999,BK138*$FG138, -999)</f>
        <v>92053888.718512371</v>
      </c>
      <c r="FK138" s="28">
        <f t="shared" si="102"/>
        <v>714143263.49157917</v>
      </c>
      <c r="FL138" s="22">
        <f t="shared" si="104"/>
        <v>10.012280000000011</v>
      </c>
      <c r="FM138">
        <f>IF(AT138&lt;&gt;-999,AT138*$FL138, -999)</f>
        <v>41564863.841228284</v>
      </c>
      <c r="FN138">
        <f>IF(AU138&lt;&gt;-999,AU138*$FL138, -999)</f>
        <v>5328393.3395076357</v>
      </c>
      <c r="FO138" s="29">
        <f>IF(AV138&lt;&gt;-999,AV138*$FL138, -999)</f>
        <v>46893257.180735923</v>
      </c>
      <c r="FP138">
        <f t="shared" si="105"/>
        <v>7.2392800000000115</v>
      </c>
      <c r="FQ138">
        <f>IF(AW138&lt;&gt;-999,AW138*$FP138, -999)</f>
        <v>20327744.662384711</v>
      </c>
      <c r="FR138">
        <f>IF(AX138&lt;&gt;-999,AX138*$FP138, -999)</f>
        <v>2605908.2383949799</v>
      </c>
      <c r="FS138" s="29">
        <f>IF(AY138&lt;&gt;-999,AY138*$FP138, -999)</f>
        <v>22933652.900779694</v>
      </c>
      <c r="FT138">
        <f t="shared" si="106"/>
        <v>1.3112800000000142</v>
      </c>
      <c r="FU138">
        <f>IF(AZ138&lt;&gt;-999,AZ138*$FT138, -999)</f>
        <v>6956954.2283005426</v>
      </c>
      <c r="FV138">
        <f>IF(BA138&lt;&gt;-999,BA138*$FT138, -999)</f>
        <v>891844.33456594648</v>
      </c>
      <c r="FW138" s="29">
        <f>IF(BB138&lt;&gt;-999,BB138*$FT138, -999)</f>
        <v>7848798.5628664903</v>
      </c>
      <c r="FX138">
        <f t="shared" si="107"/>
        <v>1.9372800000000119</v>
      </c>
      <c r="FY138">
        <f>IF(BC138&lt;&gt;-999, BC138*$FX138, -999)</f>
        <v>11690100.848721154</v>
      </c>
      <c r="FZ138">
        <f>IF(BD138&lt;&gt;-999, BD138*$FX138, -999)</f>
        <v>1498608.2468721834</v>
      </c>
      <c r="GA138" s="29">
        <f>IF(BE138&lt;&gt;-999, BE138*$FX138, -999)</f>
        <v>13188709.095593337</v>
      </c>
      <c r="GB138">
        <f t="shared" si="108"/>
        <v>-2.1347199999999873</v>
      </c>
      <c r="GC138">
        <f>IF(BF138&lt;&gt;-999,BF138*$GB138, -999)</f>
        <v>-8712990.1640700754</v>
      </c>
      <c r="GD138">
        <f>IF(BG138&lt;&gt;-999,BG138*$GB138, -999)</f>
        <v>-1116958.7290564347</v>
      </c>
      <c r="GE138" s="29">
        <f>IF(BH138&lt;&gt;-999,BH138*$GB138, -999)</f>
        <v>-9829948.8931265101</v>
      </c>
      <c r="GF138">
        <f t="shared" si="109"/>
        <v>-10.847719999999988</v>
      </c>
      <c r="GG138">
        <f>IF(BI138&lt;&gt;-999,BI138*$GF138, -999)</f>
        <v>-83655530.012880489</v>
      </c>
      <c r="GH138">
        <f>IF(BJ138&lt;&gt;-999,BJ138*$GF138, -999)</f>
        <v>-10724191.533927875</v>
      </c>
      <c r="GI138" s="29">
        <f>IF(BK138&lt;&gt;-999,BK138*$GF138, -999)</f>
        <v>-94379721.546808347</v>
      </c>
      <c r="GJ138" s="30">
        <f t="shared" si="103"/>
        <v>-13345252.699959412</v>
      </c>
    </row>
    <row r="139" spans="1:192">
      <c r="A139" s="48" t="s">
        <v>142</v>
      </c>
      <c r="B139" s="48" t="s">
        <v>271</v>
      </c>
      <c r="C139" s="49">
        <v>38</v>
      </c>
      <c r="D139" s="50">
        <v>0.52700000000000002</v>
      </c>
      <c r="E139" s="49">
        <v>27.304398314003802</v>
      </c>
      <c r="F139" s="49">
        <v>0.79713366510714501</v>
      </c>
      <c r="G139" s="49">
        <v>121.20058620202801</v>
      </c>
      <c r="H139" s="49">
        <v>0.81490206438278401</v>
      </c>
      <c r="I139" s="42">
        <v>33965.599999999999</v>
      </c>
      <c r="J139" s="43">
        <v>21095.8</v>
      </c>
      <c r="K139" s="43">
        <f t="shared" si="78"/>
        <v>55061.399999999994</v>
      </c>
      <c r="L139" s="43">
        <v>57277.1</v>
      </c>
      <c r="M139" s="43">
        <v>35574.5</v>
      </c>
      <c r="N139" s="43">
        <f t="shared" si="79"/>
        <v>92851.6</v>
      </c>
      <c r="O139" s="43">
        <v>82430.5</v>
      </c>
      <c r="P139" s="43">
        <v>51197.1</v>
      </c>
      <c r="Q139" s="43">
        <f t="shared" si="80"/>
        <v>133627.6</v>
      </c>
      <c r="R139" s="43">
        <v>27593.1</v>
      </c>
      <c r="S139" s="43">
        <v>17137.900000000001</v>
      </c>
      <c r="T139" s="43">
        <f t="shared" si="81"/>
        <v>44731</v>
      </c>
      <c r="U139" s="43">
        <v>46530.9</v>
      </c>
      <c r="V139" s="43">
        <v>28900.1</v>
      </c>
      <c r="W139" s="43">
        <f t="shared" si="82"/>
        <v>75431</v>
      </c>
      <c r="X139" s="43">
        <v>66965.100000000006</v>
      </c>
      <c r="Y139" s="43">
        <v>41591.699999999997</v>
      </c>
      <c r="Z139" s="43">
        <f t="shared" si="83"/>
        <v>108556.8</v>
      </c>
      <c r="AA139" s="22">
        <v>168494.8</v>
      </c>
      <c r="AB139">
        <v>113944.3</v>
      </c>
      <c r="AC139">
        <v>282439.09999999998</v>
      </c>
      <c r="AD139">
        <v>284137.3</v>
      </c>
      <c r="AE139">
        <v>192147.3</v>
      </c>
      <c r="AF139">
        <v>476284.7</v>
      </c>
      <c r="AG139">
        <v>408917.4</v>
      </c>
      <c r="AH139">
        <v>276529.59999999998</v>
      </c>
      <c r="AI139">
        <v>685447</v>
      </c>
      <c r="AJ139">
        <v>136882.29999999999</v>
      </c>
      <c r="AK139">
        <v>92566.399999999994</v>
      </c>
      <c r="AL139">
        <v>229448.7</v>
      </c>
      <c r="AM139">
        <v>230828.4</v>
      </c>
      <c r="AN139">
        <v>156097.29999999999</v>
      </c>
      <c r="AO139">
        <v>386925.6</v>
      </c>
      <c r="AP139">
        <v>332197.59999999998</v>
      </c>
      <c r="AQ139">
        <v>224648</v>
      </c>
      <c r="AR139">
        <v>556845.5</v>
      </c>
      <c r="AS139">
        <v>2617390.59</v>
      </c>
      <c r="AT139" s="22">
        <f t="shared" si="77"/>
        <v>280490.67767822999</v>
      </c>
      <c r="AU139">
        <f t="shared" si="77"/>
        <v>189681.30722474252</v>
      </c>
      <c r="AV139">
        <f t="shared" si="77"/>
        <v>470171.98490297247</v>
      </c>
      <c r="AW139">
        <f t="shared" si="77"/>
        <v>472998.95207841747</v>
      </c>
      <c r="AX139">
        <f t="shared" si="77"/>
        <v>319864.62722316745</v>
      </c>
      <c r="AY139">
        <f t="shared" si="77"/>
        <v>792863.74577003252</v>
      </c>
      <c r="AZ139">
        <f t="shared" si="77"/>
        <v>680718.44733736501</v>
      </c>
      <c r="BA139">
        <f t="shared" si="76"/>
        <v>460334.53199795994</v>
      </c>
      <c r="BB139">
        <f t="shared" si="76"/>
        <v>1141052.9793353248</v>
      </c>
      <c r="BC139">
        <f t="shared" si="76"/>
        <v>227865.83971229248</v>
      </c>
      <c r="BD139">
        <f t="shared" si="76"/>
        <v>154093.84898663999</v>
      </c>
      <c r="BE139">
        <f t="shared" si="76"/>
        <v>381959.68869893253</v>
      </c>
      <c r="BF139">
        <f t="shared" si="76"/>
        <v>384256.45386909001</v>
      </c>
      <c r="BG139">
        <f t="shared" si="76"/>
        <v>259852.75189941746</v>
      </c>
      <c r="BH139">
        <f t="shared" si="76"/>
        <v>644109.0393000599</v>
      </c>
      <c r="BI139">
        <f t="shared" si="76"/>
        <v>553004.18735225988</v>
      </c>
      <c r="BJ139">
        <f t="shared" si="75"/>
        <v>373968.03793980001</v>
      </c>
      <c r="BK139">
        <f t="shared" si="75"/>
        <v>926972.05882361252</v>
      </c>
      <c r="BL139">
        <f t="shared" si="75"/>
        <v>4357129.4801840903</v>
      </c>
      <c r="BM139" s="22">
        <f>-17.17-(0.1023*E139)+F139*(100-8.576-13.681)</f>
        <v>42.008322578902195</v>
      </c>
      <c r="BN139">
        <f>IF(AT139&lt;&gt;-999,AT139*$BM139, -999)</f>
        <v>11782942.868281966</v>
      </c>
      <c r="BO139">
        <f>IF(AU139&lt;&gt;-999,AU139*$BM139, -999)</f>
        <v>7968193.5410848353</v>
      </c>
      <c r="BP139" s="25">
        <f>IF(AV139&lt;&gt;-999,AV139*$BM139, -999)</f>
        <v>19751136.409366801</v>
      </c>
      <c r="BQ139">
        <f>-19.943-(0.1023*E139)+F139*(100-8.576-13.681)</f>
        <v>39.235322578902192</v>
      </c>
      <c r="BR139">
        <f>IF(AW139&lt;&gt;-999,AW139*$BQ139, -999)</f>
        <v>18558266.464279409</v>
      </c>
      <c r="BS139">
        <f>IF(AX139&lt;&gt;-999,AX139*$BQ139, -999)</f>
        <v>12549991.830681276</v>
      </c>
      <c r="BT139" s="25">
        <f>IF(AY139&lt;&gt;-999,AY139*$BQ139, -999)</f>
        <v>31108264.826403923</v>
      </c>
      <c r="BU139">
        <f>-25.871-(0.1023*E139)+F139*(100-8.576-13.681)</f>
        <v>33.307322578902195</v>
      </c>
      <c r="BV139">
        <f>IF(AZ139&lt;&gt;-999,AZ139*$BU139, -999)</f>
        <v>22672908.910875063</v>
      </c>
      <c r="BW139">
        <f>IF(BA139&lt;&gt;-999,BA139*$BU139, -999)</f>
        <v>15332510.751464026</v>
      </c>
      <c r="BX139" s="25">
        <f>IF(BB139&lt;&gt;-999,BB139*$BU139, -999)</f>
        <v>38005419.662339084</v>
      </c>
      <c r="BY139">
        <f>-25.245-(0.1023*E139)+F139*(100-8.576-13.681)</f>
        <v>33.933322578902192</v>
      </c>
      <c r="BZ139">
        <f>IF(BC139&lt;&gt;-999,BC139*$BY139, -999)</f>
        <v>7732245.0436696419</v>
      </c>
      <c r="CA139">
        <f>IF(BD139&lt;&gt;-999,BD139*$BY139, -999)</f>
        <v>5228916.2850882951</v>
      </c>
      <c r="CB139" s="25">
        <f>IF(BE139&lt;&gt;-999,BE139*$BY139, -999)</f>
        <v>12961161.32875794</v>
      </c>
      <c r="CC139">
        <f>-29.317-(0.1023*E139)+F139*(100-8.576-13.681)</f>
        <v>29.861322578902197</v>
      </c>
      <c r="CD139">
        <f>IF(BF139&lt;&gt;-999,BF139*$CC139, -999)</f>
        <v>11474405.922009949</v>
      </c>
      <c r="CE139">
        <f>IF(BG139&lt;&gt;-999,BG139*$CC139, -999)</f>
        <v>7759546.8474839451</v>
      </c>
      <c r="CF139" s="25">
        <f>IF(BH139&lt;&gt;-999,BH139*$CC139, -999)</f>
        <v>19233947.798525881</v>
      </c>
      <c r="CG139">
        <f>-38.03-(0.1023*E139)+F139*(100-8.576-13.681)</f>
        <v>21.148322578902196</v>
      </c>
      <c r="CH139">
        <f>IF(BI139&lt;&gt;-999,BI139*$CG139, -999)</f>
        <v>11695110.941609258</v>
      </c>
      <c r="CI139">
        <f>IF(BJ139&lt;&gt;-999,BJ139*$CG139, -999)</f>
        <v>7908796.7005500253</v>
      </c>
      <c r="CJ139" s="25">
        <f>IF(BK139&lt;&gt;-999,BK139*$CG139, -999)</f>
        <v>19603904.121630859</v>
      </c>
      <c r="CK139" s="26">
        <f t="shared" si="84"/>
        <v>140663834.14702448</v>
      </c>
      <c r="CL139">
        <f t="shared" si="85"/>
        <v>-44.271064707126961</v>
      </c>
      <c r="CM139">
        <f t="shared" si="86"/>
        <v>12.739449324910078</v>
      </c>
      <c r="CN139">
        <f t="shared" si="87"/>
        <v>-100.29680035837073</v>
      </c>
      <c r="CO139" s="22">
        <f t="shared" si="88"/>
        <v>-40.08</v>
      </c>
      <c r="CP139">
        <f>IF(AT139&lt;&gt;-999,AT139*$CO139, -999)</f>
        <v>-11242066.361343456</v>
      </c>
      <c r="CQ139">
        <f>IF(AU139&lt;&gt;-999,AU139*$CO139, -999)</f>
        <v>-7602426.7935676798</v>
      </c>
      <c r="CR139" s="27">
        <f>IF(AV139&lt;&gt;-999,AV139*$CO139, -999)</f>
        <v>-18844493.154911134</v>
      </c>
      <c r="CS139">
        <f t="shared" si="89"/>
        <v>-42.853000000000002</v>
      </c>
      <c r="CT139">
        <f>IF(AW139&lt;&gt;-999,AW139*$CS139, -999)</f>
        <v>-20269424.093416423</v>
      </c>
      <c r="CU139">
        <f>IF(AX139&lt;&gt;-999,AX139*$CS139, -999)</f>
        <v>-13707158.870394396</v>
      </c>
      <c r="CV139" s="27">
        <f>IF(AY139&lt;&gt;-999,AY139*$CS139, -999)</f>
        <v>-33976590.097483203</v>
      </c>
      <c r="CW139">
        <f t="shared" si="90"/>
        <v>-48.780999999999999</v>
      </c>
      <c r="CX139">
        <f>IF(AZ139&lt;&gt;-999,AZ139*$CO139, -999)</f>
        <v>-27283195.36928159</v>
      </c>
      <c r="CY139">
        <f>IF(BA139&lt;&gt;-999,BA139*$CO139, -999)</f>
        <v>-18450208.042478234</v>
      </c>
      <c r="CZ139" s="27">
        <f>IF(BB139&lt;&gt;-999,BB139*$CO139, -999)</f>
        <v>-45733403.411759816</v>
      </c>
      <c r="DA139">
        <f t="shared" si="91"/>
        <v>-48.155000000000001</v>
      </c>
      <c r="DB139">
        <f>IF(BC139&lt;&gt;-999,BC139*$DA139, -999)</f>
        <v>-10972879.511345444</v>
      </c>
      <c r="DC139">
        <f>IF(BD139&lt;&gt;-999,BD139*$DA139, -999)</f>
        <v>-7420389.2979516489</v>
      </c>
      <c r="DD139" s="27">
        <f>IF(BE139&lt;&gt;-999,BE139*$DA139, -999)</f>
        <v>-18393268.809297096</v>
      </c>
      <c r="DE139">
        <f t="shared" si="92"/>
        <v>-52.227000000000004</v>
      </c>
      <c r="DF139">
        <f>IF(BF139&lt;&gt;-999,BF139*$DE139, -999)</f>
        <v>-20068561.816220965</v>
      </c>
      <c r="DG139">
        <f>IF(BG139&lt;&gt;-999,BG139*$DE139, -999)</f>
        <v>-13571329.673450876</v>
      </c>
      <c r="DH139" s="27">
        <f>IF(BH139&lt;&gt;-999,BH139*$DE139, -999)</f>
        <v>-33639882.795524232</v>
      </c>
      <c r="DI139">
        <f t="shared" si="93"/>
        <v>-60.94</v>
      </c>
      <c r="DJ139">
        <f>IF(BI139&lt;&gt;-999,BI139*$DI139, -999)</f>
        <v>-33700075.177246712</v>
      </c>
      <c r="DK139">
        <f>IF(BJ139&lt;&gt;-999,BJ139*$DI139, -999)</f>
        <v>-22789612.23205141</v>
      </c>
      <c r="DL139" s="27">
        <f>IF(BK139&lt;&gt;-999,BK139*$DI139, -999)</f>
        <v>-56489677.264710948</v>
      </c>
      <c r="DM139" s="28">
        <f t="shared" si="94"/>
        <v>-207077315.5336864</v>
      </c>
      <c r="DN139" s="22">
        <f t="shared" si="95"/>
        <v>-17.170000000000002</v>
      </c>
      <c r="DO139">
        <f>IF(AT139&lt;&gt;-999,AT139*$DN139, -999)</f>
        <v>-4816024.9357352089</v>
      </c>
      <c r="DP139">
        <f>IF(AU139&lt;&gt;-999,AU139*$DN139, -999)</f>
        <v>-3256828.0450488292</v>
      </c>
      <c r="DQ139" s="24">
        <f>IF(AV139&lt;&gt;-999,AV139*$DN139, -999)</f>
        <v>-8072852.9807840381</v>
      </c>
      <c r="DR139">
        <f t="shared" si="96"/>
        <v>-19.943000000000001</v>
      </c>
      <c r="DS139">
        <f>IF(AW139&lt;&gt;-999,AW139*$DR139, -999)</f>
        <v>-9433018.1012998801</v>
      </c>
      <c r="DT139">
        <f>IF(AX139&lt;&gt;-999,AX139*$DR139, -999)</f>
        <v>-6379060.2607116289</v>
      </c>
      <c r="DU139" s="24">
        <f>IF(AY139&lt;&gt;-999,AY139*$DR139, -999)</f>
        <v>-15812081.68189176</v>
      </c>
      <c r="DV139">
        <f t="shared" si="97"/>
        <v>-25.870999999999999</v>
      </c>
      <c r="DW139">
        <f>IF(AZ139&lt;&gt;-999,AZ139*$DV139, -999)</f>
        <v>-17610866.95106497</v>
      </c>
      <c r="DX139">
        <f>IF(BA139&lt;&gt;-999,BA139*$DV139, -999)</f>
        <v>-11909314.677319221</v>
      </c>
      <c r="DY139" s="24">
        <f>IF(BB139&lt;&gt;-999,BB139*$DV139, -999)</f>
        <v>-29520181.628384188</v>
      </c>
      <c r="DZ139">
        <f t="shared" si="98"/>
        <v>-25.245000000000001</v>
      </c>
      <c r="EA139">
        <f>IF(BC139&lt;&gt;-999, BC139*$DZ139, -999)</f>
        <v>-5752473.1235368242</v>
      </c>
      <c r="EB139">
        <f>IF(BD139&lt;&gt;-999, BD139*$DZ139, -999)</f>
        <v>-3890099.2176677268</v>
      </c>
      <c r="EC139" s="24">
        <f>IF(BE139&lt;&gt;-999, BE139*$DZ139, -999)</f>
        <v>-9642572.341204552</v>
      </c>
      <c r="ED139">
        <f t="shared" si="99"/>
        <v>-29.317</v>
      </c>
      <c r="EE139">
        <f>IF(BF139&lt;&gt;-999,BF139*$ED139, -999)</f>
        <v>-11265246.458080111</v>
      </c>
      <c r="EF139">
        <f>IF(BG139&lt;&gt;-999,BG139*$ED139, -999)</f>
        <v>-7618103.1274352213</v>
      </c>
      <c r="EG139" s="24">
        <f>IF(BH139&lt;&gt;-999,BH139*$ED139, -999)</f>
        <v>-18883344.705159858</v>
      </c>
      <c r="EH139">
        <f t="shared" si="100"/>
        <v>-38.03</v>
      </c>
      <c r="EI139">
        <f>IF(BI139&lt;&gt;-999,BI139*$EH139, -999)</f>
        <v>-21030749.245006442</v>
      </c>
      <c r="EJ139">
        <f>IF(BJ139&lt;&gt;-999,BJ139*$EH139, -999)</f>
        <v>-14222004.482850594</v>
      </c>
      <c r="EK139" s="24">
        <f>IF(BK139&lt;&gt;-999,BK139*$EH139, -999)</f>
        <v>-35252747.397061989</v>
      </c>
      <c r="EL139" s="28">
        <f t="shared" si="101"/>
        <v>-117183780.73448639</v>
      </c>
      <c r="EM139" s="22">
        <f>-17.17-(0.1023*G139)+H139*(100+102.093-66.644-64.243)</f>
        <v>28.457096427973063</v>
      </c>
      <c r="EN139">
        <f>IF(AT139&lt;&gt;-999,AT139*$EM139, -999)</f>
        <v>7981950.2618369022</v>
      </c>
      <c r="EO139">
        <f>IF(AU139&lt;&gt;-999,AU139*$EM139, -999)</f>
        <v>5397779.2502784813</v>
      </c>
      <c r="EP139" s="23">
        <f>IF(AV139&lt;&gt;-999,AV139*$EM139, -999)</f>
        <v>13379729.512115384</v>
      </c>
      <c r="EQ139">
        <f>-19.943-(0.1023*G139)+H139*(100+102.093-66.644-64.243)</f>
        <v>25.68409642797306</v>
      </c>
      <c r="ER139">
        <f>IF(AW139&lt;&gt;-999,AW139*$EQ139, -999)</f>
        <v>12148550.695512282</v>
      </c>
      <c r="ES139">
        <f>IF(AX139&lt;&gt;-999,AX139*$EQ139, -999)</f>
        <v>8215433.9294974897</v>
      </c>
      <c r="ET139" s="23">
        <f>IF(AY139&lt;&gt;-999,AY139*$EQ139, -999)</f>
        <v>20363988.900601432</v>
      </c>
      <c r="EU139">
        <f>-25.871-(0.1023*G139)+H139*(100+102.093-66.644-64.243)</f>
        <v>19.756096427973063</v>
      </c>
      <c r="EV139">
        <f>IF(AZ139&lt;&gt;-999,AZ139*$EU139, -999)</f>
        <v>13448339.285897085</v>
      </c>
      <c r="EW139">
        <f>IF(BA139&lt;&gt;-999,BA139*$EU139, -999)</f>
        <v>9094413.403277548</v>
      </c>
      <c r="EX139" s="23">
        <f>IF(BB139&lt;&gt;-999,BB139*$EU139, -999)</f>
        <v>22542752.689174633</v>
      </c>
      <c r="EY139">
        <f>-25.245-(0.1023*G139)+H139*(100+102.093-66.644-64.243)</f>
        <v>20.38209642797306</v>
      </c>
      <c r="EZ139">
        <f>IF(BC139&lt;&gt;-999, BC139*$EY139, -999)</f>
        <v>4644383.5176569987</v>
      </c>
      <c r="FA139">
        <f>IF(BD139&lt;&gt;-999, BD139*$EY139, -999)</f>
        <v>3140755.6890032152</v>
      </c>
      <c r="FB139" s="23">
        <f>IF(BE139&lt;&gt;-999, BE139*$EY139, -999)</f>
        <v>7785139.2066602148</v>
      </c>
      <c r="FC139">
        <f>-29.317-(0.1023*G139)+H139*(100+102.093-66.644-64.243)</f>
        <v>16.310096427973065</v>
      </c>
      <c r="FD139">
        <f>IF(BF139&lt;&gt;-999,BF139*$FC139, -999)</f>
        <v>6267259.8156758416</v>
      </c>
      <c r="FE139">
        <f>IF(BG139&lt;&gt;-999,BG139*$FC139, -999)</f>
        <v>4238223.4405536596</v>
      </c>
      <c r="FF139" s="23">
        <f>IF(BH139&lt;&gt;-999,BH139*$FC139, -999)</f>
        <v>10505480.541113069</v>
      </c>
      <c r="FG139">
        <f>-38.03-(0.1023*G139)+H139*(100+102.093-66.644-64.243)</f>
        <v>7.5970964279730637</v>
      </c>
      <c r="FH139">
        <f>IF(BI139&lt;&gt;-999,BI139*$FG139, -999)</f>
        <v>4201226.1363880001</v>
      </c>
      <c r="FI139">
        <f>IF(BJ139&lt;&gt;-999,BJ139*$FG139, -999)</f>
        <v>2841071.2452085498</v>
      </c>
      <c r="FJ139" s="23">
        <f>IF(BK139&lt;&gt;-999,BK139*$FG139, -999)</f>
        <v>7042296.1169197038</v>
      </c>
      <c r="FK139" s="28">
        <f t="shared" si="102"/>
        <v>81619386.966584414</v>
      </c>
      <c r="FL139" s="22">
        <f t="shared" si="104"/>
        <v>10.012280000000011</v>
      </c>
      <c r="FM139">
        <f>IF(AT139&lt;&gt;-999,AT139*$FL139, -999)</f>
        <v>2808351.2023041919</v>
      </c>
      <c r="FN139">
        <f>IF(AU139&lt;&gt;-999,AU139*$FL139, -999)</f>
        <v>1899142.3587001471</v>
      </c>
      <c r="FO139" s="29">
        <f>IF(AV139&lt;&gt;-999,AV139*$FL139, -999)</f>
        <v>4707493.5610043388</v>
      </c>
      <c r="FP139">
        <f t="shared" si="105"/>
        <v>7.2392800000000115</v>
      </c>
      <c r="FQ139">
        <f>IF(AW139&lt;&gt;-999,AW139*$FP139, -999)</f>
        <v>3424171.8538022516</v>
      </c>
      <c r="FR139">
        <f>IF(AX139&lt;&gt;-999,AX139*$FP139, -999)</f>
        <v>2315589.5985641354</v>
      </c>
      <c r="FS139" s="29">
        <f>IF(AY139&lt;&gt;-999,AY139*$FP139, -999)</f>
        <v>5739762.6574780904</v>
      </c>
      <c r="FT139">
        <f t="shared" si="106"/>
        <v>1.3112800000000142</v>
      </c>
      <c r="FU139">
        <f>IF(AZ139&lt;&gt;-999,AZ139*$FT139, -999)</f>
        <v>892612.48562454968</v>
      </c>
      <c r="FV139">
        <f>IF(BA139&lt;&gt;-999,BA139*$FT139, -999)</f>
        <v>603627.46511829144</v>
      </c>
      <c r="FW139" s="29">
        <f>IF(BB139&lt;&gt;-999,BB139*$FT139, -999)</f>
        <v>1496239.950742841</v>
      </c>
      <c r="FX139">
        <f t="shared" si="107"/>
        <v>1.9372800000000119</v>
      </c>
      <c r="FY139">
        <f>IF(BC139&lt;&gt;-999, BC139*$FX139, -999)</f>
        <v>441439.93395783269</v>
      </c>
      <c r="FZ139">
        <f>IF(BD139&lt;&gt;-999, BD139*$FX139, -999)</f>
        <v>298522.93176483974</v>
      </c>
      <c r="GA139" s="29">
        <f>IF(BE139&lt;&gt;-999, BE139*$FX139, -999)</f>
        <v>739962.86572267255</v>
      </c>
      <c r="GB139">
        <f t="shared" si="108"/>
        <v>-2.1347199999999873</v>
      </c>
      <c r="GC139">
        <f>IF(BF139&lt;&gt;-999,BF139*$GB139, -999)</f>
        <v>-820279.93720341893</v>
      </c>
      <c r="GD139">
        <f>IF(BG139&lt;&gt;-999,BG139*$GB139, -999)</f>
        <v>-554712.86653472111</v>
      </c>
      <c r="GE139" s="29">
        <f>IF(BH139&lt;&gt;-999,BH139*$GB139, -999)</f>
        <v>-1374992.4483746157</v>
      </c>
      <c r="GF139">
        <f t="shared" si="109"/>
        <v>-10.847719999999988</v>
      </c>
      <c r="GG139">
        <f>IF(BI139&lt;&gt;-999,BI139*$GF139, -999)</f>
        <v>-5998834.5832248498</v>
      </c>
      <c r="GH139">
        <f>IF(BJ139&lt;&gt;-999,BJ139*$GF139, -999)</f>
        <v>-4056700.5645203227</v>
      </c>
      <c r="GI139" s="29">
        <f>IF(BK139&lt;&gt;-999,BK139*$GF139, -999)</f>
        <v>-10055533.341942066</v>
      </c>
      <c r="GJ139" s="30">
        <f t="shared" si="103"/>
        <v>1252933.2446312606</v>
      </c>
    </row>
    <row r="140" spans="1:192">
      <c r="A140" s="48" t="s">
        <v>160</v>
      </c>
      <c r="B140" s="48" t="s">
        <v>272</v>
      </c>
      <c r="C140" s="49">
        <v>90</v>
      </c>
      <c r="D140" s="50">
        <v>0.52400000000000002</v>
      </c>
      <c r="E140" s="49">
        <v>111.92511170042199</v>
      </c>
      <c r="F140" s="49">
        <v>0.75579478403921596</v>
      </c>
      <c r="G140" s="49">
        <v>79.429813711266107</v>
      </c>
      <c r="H140" s="49">
        <v>0.81759275715227098</v>
      </c>
      <c r="I140" s="42">
        <v>94750.3</v>
      </c>
      <c r="J140" s="43">
        <v>214540.3</v>
      </c>
      <c r="K140" s="43">
        <f t="shared" si="78"/>
        <v>309290.59999999998</v>
      </c>
      <c r="L140" s="43">
        <v>47580.4</v>
      </c>
      <c r="M140" s="43">
        <v>107734.8</v>
      </c>
      <c r="N140" s="43">
        <f t="shared" si="79"/>
        <v>155315.20000000001</v>
      </c>
      <c r="O140" s="43">
        <v>74212.5</v>
      </c>
      <c r="P140" s="43">
        <v>168037.1</v>
      </c>
      <c r="Q140" s="43">
        <f t="shared" si="80"/>
        <v>242249.60000000001</v>
      </c>
      <c r="R140" s="43">
        <v>69636</v>
      </c>
      <c r="S140" s="43">
        <v>157674.79999999999</v>
      </c>
      <c r="T140" s="43">
        <f t="shared" si="81"/>
        <v>227310.8</v>
      </c>
      <c r="U140" s="43">
        <v>34968.800000000003</v>
      </c>
      <c r="V140" s="43">
        <v>79178.899999999994</v>
      </c>
      <c r="W140" s="43">
        <f t="shared" si="82"/>
        <v>114147.7</v>
      </c>
      <c r="X140" s="43">
        <v>54541.9</v>
      </c>
      <c r="Y140" s="43">
        <v>123497.60000000001</v>
      </c>
      <c r="Z140" s="43">
        <f t="shared" si="83"/>
        <v>178039.5</v>
      </c>
      <c r="AA140" s="22">
        <v>4057852.1</v>
      </c>
      <c r="AB140">
        <v>5269824.7</v>
      </c>
      <c r="AC140">
        <v>9327676.8000000007</v>
      </c>
      <c r="AD140">
        <v>2037713.9</v>
      </c>
      <c r="AE140">
        <v>2646325</v>
      </c>
      <c r="AF140">
        <v>4684038.9000000004</v>
      </c>
      <c r="AG140">
        <v>3178282.9</v>
      </c>
      <c r="AH140">
        <v>4127551.6</v>
      </c>
      <c r="AI140">
        <v>7305834.5</v>
      </c>
      <c r="AJ140">
        <v>2982288.4</v>
      </c>
      <c r="AK140">
        <v>3873018.7</v>
      </c>
      <c r="AL140">
        <v>6855307.0999999996</v>
      </c>
      <c r="AM140">
        <v>1497602.8</v>
      </c>
      <c r="AN140">
        <v>1944897</v>
      </c>
      <c r="AO140">
        <v>3442499.8</v>
      </c>
      <c r="AP140">
        <v>2335855.5</v>
      </c>
      <c r="AQ140">
        <v>3033513.6</v>
      </c>
      <c r="AR140">
        <v>5369369.0999999996</v>
      </c>
      <c r="AS140">
        <v>36984726.280000001</v>
      </c>
      <c r="AT140" s="22">
        <f t="shared" si="77"/>
        <v>6755043.3927161479</v>
      </c>
      <c r="AU140">
        <f t="shared" si="77"/>
        <v>8772595.3640615325</v>
      </c>
      <c r="AV140">
        <f t="shared" si="77"/>
        <v>15527638.75677768</v>
      </c>
      <c r="AW140">
        <f t="shared" si="77"/>
        <v>3392150.6938217022</v>
      </c>
      <c r="AX140">
        <f t="shared" si="77"/>
        <v>4405296.143304375</v>
      </c>
      <c r="AY140">
        <f t="shared" si="77"/>
        <v>7797446.8371260781</v>
      </c>
      <c r="AZ140">
        <f t="shared" si="77"/>
        <v>5290838.2007879773</v>
      </c>
      <c r="BA140">
        <f t="shared" si="76"/>
        <v>6871071.0682814103</v>
      </c>
      <c r="BB140">
        <f t="shared" si="76"/>
        <v>12161909.269069387</v>
      </c>
      <c r="BC140">
        <f t="shared" si="76"/>
        <v>4964569.1994525902</v>
      </c>
      <c r="BD140">
        <f t="shared" si="76"/>
        <v>6447354.1012746831</v>
      </c>
      <c r="BE140">
        <f t="shared" si="76"/>
        <v>11411923.300727271</v>
      </c>
      <c r="BF140">
        <f t="shared" si="76"/>
        <v>2493036.13087653</v>
      </c>
      <c r="BG140">
        <f t="shared" si="76"/>
        <v>3237639.841374075</v>
      </c>
      <c r="BH140">
        <f t="shared" si="76"/>
        <v>5730675.972250605</v>
      </c>
      <c r="BI140">
        <f t="shared" si="76"/>
        <v>3888462.3866933626</v>
      </c>
      <c r="BJ140">
        <f t="shared" si="75"/>
        <v>5049842.9946213607</v>
      </c>
      <c r="BK140">
        <f t="shared" si="75"/>
        <v>8938305.3813147228</v>
      </c>
      <c r="BL140">
        <f t="shared" si="75"/>
        <v>61567899.650440507</v>
      </c>
      <c r="BM140" s="22">
        <f>-17.17-(0.1023*E140)+F140*(100-8.576-13.681)</f>
        <v>30.137814968607604</v>
      </c>
      <c r="BN140">
        <f>IF(AT140&lt;&gt;-999,AT140*$BM140, -999)</f>
        <v>203582247.8745946</v>
      </c>
      <c r="BO140">
        <f>IF(AU140&lt;&gt;-999,AU140*$BM140, -999)</f>
        <v>264386855.87655133</v>
      </c>
      <c r="BP140" s="25">
        <f>IF(AV140&lt;&gt;-999,AV140*$BM140, -999)</f>
        <v>467969103.7511459</v>
      </c>
      <c r="BQ140">
        <f>-19.943-(0.1023*E140)+F140*(100-8.576-13.681)</f>
        <v>27.364814968607604</v>
      </c>
      <c r="BR140">
        <f>IF(AW140&lt;&gt;-999,AW140*$BQ140, -999)</f>
        <v>92825576.082064778</v>
      </c>
      <c r="BS140">
        <f>IF(AX140&lt;&gt;-999,AX140*$BQ140, -999)</f>
        <v>120550113.84344491</v>
      </c>
      <c r="BT140" s="25">
        <f>IF(AY140&lt;&gt;-999,AY140*$BQ140, -999)</f>
        <v>213375689.92550972</v>
      </c>
      <c r="BU140">
        <f>-25.871-(0.1023*E140)+F140*(100-8.576-13.681)</f>
        <v>21.436814968607607</v>
      </c>
      <c r="BV140">
        <f>IF(AZ140&lt;&gt;-999,AZ140*$BU140, -999)</f>
        <v>113418719.53913265</v>
      </c>
      <c r="BW140">
        <f>IF(BA140&lt;&gt;-999,BA140*$BU140, -999)</f>
        <v>147293879.1269016</v>
      </c>
      <c r="BX140" s="25">
        <f>IF(BB140&lt;&gt;-999,BB140*$BU140, -999)</f>
        <v>260712598.66603422</v>
      </c>
      <c r="BY140">
        <f>-25.245-(0.1023*E140)+F140*(100-8.576-13.681)</f>
        <v>22.062814968607604</v>
      </c>
      <c r="BZ140">
        <f>IF(BC140&lt;&gt;-999,BC140*$BY140, -999)</f>
        <v>109532371.64637087</v>
      </c>
      <c r="CA140">
        <f>IF(BD140&lt;&gt;-999,BD140*$BY140, -999)</f>
        <v>142246780.5735167</v>
      </c>
      <c r="CB140" s="25">
        <f>IF(BE140&lt;&gt;-999,BE140*$BY140, -999)</f>
        <v>251779152.21988752</v>
      </c>
      <c r="CC140">
        <f>-29.317-(0.1023*E140)+F140*(100-8.576-13.681)</f>
        <v>17.990814968607602</v>
      </c>
      <c r="CD140">
        <f>IF(BF140&lt;&gt;-999,BF140*$CC140, -999)</f>
        <v>44851751.740653053</v>
      </c>
      <c r="CE140">
        <f>IF(BG140&lt;&gt;-999,BG140*$CC140, -999)</f>
        <v>58247779.321153052</v>
      </c>
      <c r="CF140" s="25">
        <f>IF(BH140&lt;&gt;-999,BH140*$CC140, -999)</f>
        <v>103099531.0618061</v>
      </c>
      <c r="CG140">
        <f>-38.03-(0.1023*E140)+F140*(100-8.576-13.681)</f>
        <v>9.2778149686076077</v>
      </c>
      <c r="CH140">
        <f>IF(BI140&lt;&gt;-999,BI140*$CG140, -999)</f>
        <v>36076434.536131345</v>
      </c>
      <c r="CI140">
        <f>IF(BJ140&lt;&gt;-999,BJ140*$CG140, -999)</f>
        <v>46851508.924616329</v>
      </c>
      <c r="CJ140" s="25">
        <f>IF(BK140&lt;&gt;-999,BK140*$CG140, -999)</f>
        <v>82927943.460747659</v>
      </c>
      <c r="CK140" s="26">
        <f t="shared" si="84"/>
        <v>1379864019.0851314</v>
      </c>
      <c r="CL140">
        <f t="shared" si="85"/>
        <v>-36.456108386236693</v>
      </c>
      <c r="CM140">
        <f t="shared" si="86"/>
        <v>23.672647407931372</v>
      </c>
      <c r="CN140">
        <f t="shared" si="87"/>
        <v>-95.546222453076709</v>
      </c>
      <c r="CO140" s="22">
        <f t="shared" si="88"/>
        <v>-40.08</v>
      </c>
      <c r="CP140">
        <f>IF(AT140&lt;&gt;-999,AT140*$CO140, -999)</f>
        <v>-270742139.18006319</v>
      </c>
      <c r="CQ140">
        <f>IF(AU140&lt;&gt;-999,AU140*$CO140, -999)</f>
        <v>-351605622.1915862</v>
      </c>
      <c r="CR140" s="27">
        <f>IF(AV140&lt;&gt;-999,AV140*$CO140, -999)</f>
        <v>-622347761.37164938</v>
      </c>
      <c r="CS140">
        <f t="shared" si="89"/>
        <v>-42.853000000000002</v>
      </c>
      <c r="CT140">
        <f>IF(AW140&lt;&gt;-999,AW140*$CS140, -999)</f>
        <v>-145363833.6823414</v>
      </c>
      <c r="CU140">
        <f>IF(AX140&lt;&gt;-999,AX140*$CS140, -999)</f>
        <v>-188780155.62902239</v>
      </c>
      <c r="CV140" s="27">
        <f>IF(AY140&lt;&gt;-999,AY140*$CS140, -999)</f>
        <v>-334143989.31136382</v>
      </c>
      <c r="CW140">
        <f t="shared" si="90"/>
        <v>-48.780999999999999</v>
      </c>
      <c r="CX140">
        <f>IF(AZ140&lt;&gt;-999,AZ140*$CO140, -999)</f>
        <v>-212056795.08758211</v>
      </c>
      <c r="CY140">
        <f>IF(BA140&lt;&gt;-999,BA140*$CO140, -999)</f>
        <v>-275392528.4167189</v>
      </c>
      <c r="CZ140" s="27">
        <f>IF(BB140&lt;&gt;-999,BB140*$CO140, -999)</f>
        <v>-487449323.50430101</v>
      </c>
      <c r="DA140">
        <f t="shared" si="91"/>
        <v>-48.155000000000001</v>
      </c>
      <c r="DB140">
        <f>IF(BC140&lt;&gt;-999,BC140*$DA140, -999)</f>
        <v>-239068829.79963949</v>
      </c>
      <c r="DC140">
        <f>IF(BD140&lt;&gt;-999,BD140*$DA140, -999)</f>
        <v>-310472336.74688238</v>
      </c>
      <c r="DD140" s="27">
        <f>IF(BE140&lt;&gt;-999,BE140*$DA140, -999)</f>
        <v>-549541166.54652178</v>
      </c>
      <c r="DE140">
        <f t="shared" si="92"/>
        <v>-52.227000000000004</v>
      </c>
      <c r="DF140">
        <f>IF(BF140&lt;&gt;-999,BF140*$DE140, -999)</f>
        <v>-130203798.00728855</v>
      </c>
      <c r="DG140">
        <f>IF(BG140&lt;&gt;-999,BG140*$DE140, -999)</f>
        <v>-169092215.99544382</v>
      </c>
      <c r="DH140" s="27">
        <f>IF(BH140&lt;&gt;-999,BH140*$DE140, -999)</f>
        <v>-299296014.0027324</v>
      </c>
      <c r="DI140">
        <f t="shared" si="93"/>
        <v>-60.94</v>
      </c>
      <c r="DJ140">
        <f>IF(BI140&lt;&gt;-999,BI140*$DI140, -999)</f>
        <v>-236962897.84509352</v>
      </c>
      <c r="DK140">
        <f>IF(BJ140&lt;&gt;-999,BJ140*$DI140, -999)</f>
        <v>-307737432.09222573</v>
      </c>
      <c r="DL140" s="27">
        <f>IF(BK140&lt;&gt;-999,BK140*$DI140, -999)</f>
        <v>-544700329.93731916</v>
      </c>
      <c r="DM140" s="28">
        <f t="shared" si="94"/>
        <v>-2837478584.6738877</v>
      </c>
      <c r="DN140" s="22">
        <f t="shared" si="95"/>
        <v>-17.170000000000002</v>
      </c>
      <c r="DO140">
        <f>IF(AT140&lt;&gt;-999,AT140*$DN140, -999)</f>
        <v>-115984095.05293627</v>
      </c>
      <c r="DP140">
        <f>IF(AU140&lt;&gt;-999,AU140*$DN140, -999)</f>
        <v>-150625462.40093651</v>
      </c>
      <c r="DQ140" s="24">
        <f>IF(AV140&lt;&gt;-999,AV140*$DN140, -999)</f>
        <v>-266609557.45387277</v>
      </c>
      <c r="DR140">
        <f t="shared" si="96"/>
        <v>-19.943000000000001</v>
      </c>
      <c r="DS140">
        <f>IF(AW140&lt;&gt;-999,AW140*$DR140, -999)</f>
        <v>-67649661.286886215</v>
      </c>
      <c r="DT140">
        <f>IF(AX140&lt;&gt;-999,AX140*$DR140, -999)</f>
        <v>-87854820.985919163</v>
      </c>
      <c r="DU140" s="24">
        <f>IF(AY140&lt;&gt;-999,AY140*$DR140, -999)</f>
        <v>-155504482.27280539</v>
      </c>
      <c r="DV140">
        <f t="shared" si="97"/>
        <v>-25.870999999999999</v>
      </c>
      <c r="DW140">
        <f>IF(AZ140&lt;&gt;-999,AZ140*$DV140, -999)</f>
        <v>-136879275.09258574</v>
      </c>
      <c r="DX140">
        <f>IF(BA140&lt;&gt;-999,BA140*$DV140, -999)</f>
        <v>-177761479.60750836</v>
      </c>
      <c r="DY140" s="24">
        <f>IF(BB140&lt;&gt;-999,BB140*$DV140, -999)</f>
        <v>-314640754.7000941</v>
      </c>
      <c r="DZ140">
        <f t="shared" si="98"/>
        <v>-25.245000000000001</v>
      </c>
      <c r="EA140">
        <f>IF(BC140&lt;&gt;-999, BC140*$DZ140, -999)</f>
        <v>-125330549.44018064</v>
      </c>
      <c r="EB140">
        <f>IF(BD140&lt;&gt;-999, BD140*$DZ140, -999)</f>
        <v>-162763454.28667939</v>
      </c>
      <c r="EC140" s="24">
        <f>IF(BE140&lt;&gt;-999, BE140*$DZ140, -999)</f>
        <v>-288094003.72685993</v>
      </c>
      <c r="ED140">
        <f t="shared" si="99"/>
        <v>-29.317</v>
      </c>
      <c r="EE140">
        <f>IF(BF140&lt;&gt;-999,BF140*$ED140, -999)</f>
        <v>-73088340.248907223</v>
      </c>
      <c r="EF140">
        <f>IF(BG140&lt;&gt;-999,BG140*$ED140, -999)</f>
        <v>-94917887.229563758</v>
      </c>
      <c r="EG140" s="24">
        <f>IF(BH140&lt;&gt;-999,BH140*$ED140, -999)</f>
        <v>-168006227.47847098</v>
      </c>
      <c r="EH140">
        <f t="shared" si="100"/>
        <v>-38.03</v>
      </c>
      <c r="EI140">
        <f>IF(BI140&lt;&gt;-999,BI140*$EH140, -999)</f>
        <v>-147878224.56594858</v>
      </c>
      <c r="EJ140">
        <f>IF(BJ140&lt;&gt;-999,BJ140*$EH140, -999)</f>
        <v>-192045529.08545035</v>
      </c>
      <c r="EK140" s="24">
        <f>IF(BK140&lt;&gt;-999,BK140*$EH140, -999)</f>
        <v>-339923753.6513989</v>
      </c>
      <c r="EL140" s="28">
        <f t="shared" si="101"/>
        <v>-1532778779.2835021</v>
      </c>
      <c r="EM140" s="22">
        <f>-17.17-(0.1023*G140)+H140*(100+102.093-66.644-64.243)</f>
        <v>32.921839923122093</v>
      </c>
      <c r="EN140">
        <f>IF(AT140&lt;&gt;-999,AT140*$EM140, -999)</f>
        <v>222388457.24874458</v>
      </c>
      <c r="EO140">
        <f>IF(AU140&lt;&gt;-999,AU140*$EM140, -999)</f>
        <v>288809980.28595674</v>
      </c>
      <c r="EP140" s="23">
        <f>IF(AV140&lt;&gt;-999,AV140*$EM140, -999)</f>
        <v>511198437.53470129</v>
      </c>
      <c r="EQ140">
        <f>-19.943-(0.1023*G140)+H140*(100+102.093-66.644-64.243)</f>
        <v>30.148839923122097</v>
      </c>
      <c r="ER140">
        <f>IF(AW140&lt;&gt;-999,AW140*$EQ140, -999)</f>
        <v>102269408.26313806</v>
      </c>
      <c r="ES140">
        <f>IF(AX140&lt;&gt;-999,AX140*$EQ140, -999)</f>
        <v>132814568.23843074</v>
      </c>
      <c r="ET140" s="23">
        <f>IF(AY140&lt;&gt;-999,AY140*$EQ140, -999)</f>
        <v>235083976.50156882</v>
      </c>
      <c r="EU140">
        <f>-25.871-(0.1023*G140)+H140*(100+102.093-66.644-64.243)</f>
        <v>24.220839923122099</v>
      </c>
      <c r="EV140">
        <f>IF(AZ140&lt;&gt;-999,AZ140*$EU140, -999)</f>
        <v>128148545.12042494</v>
      </c>
      <c r="EW140">
        <f>IF(BA140&lt;&gt;-999,BA140*$EU140, -999)</f>
        <v>166423112.4452396</v>
      </c>
      <c r="EX140" s="23">
        <f>IF(BB140&lt;&gt;-999,BB140*$EU140, -999)</f>
        <v>294571657.56566453</v>
      </c>
      <c r="EY140">
        <f>-25.245-(0.1023*G140)+H140*(100+102.093-66.644-64.243)</f>
        <v>24.846839923122097</v>
      </c>
      <c r="EZ140">
        <f>IF(BC140&lt;&gt;-999, BC140*$EY140, -999)</f>
        <v>123353856.18606092</v>
      </c>
      <c r="FA140">
        <f>IF(BD140&lt;&gt;-999, BD140*$EY140, -999)</f>
        <v>160196375.28205678</v>
      </c>
      <c r="FB140" s="23">
        <f>IF(BE140&lt;&gt;-999, BE140*$EY140, -999)</f>
        <v>283550231.46811765</v>
      </c>
      <c r="FC140">
        <f>-29.317-(0.1023*G140)+H140*(100+102.093-66.644-64.243)</f>
        <v>20.774839923122101</v>
      </c>
      <c r="FD140">
        <f>IF(BF140&lt;&gt;-999,BF140*$FC140, -999)</f>
        <v>51792426.54151959</v>
      </c>
      <c r="FE140">
        <f>IF(BG140&lt;&gt;-999,BG140*$FC140, -999)</f>
        <v>67261449.433268845</v>
      </c>
      <c r="FF140" s="23">
        <f>IF(BH140&lt;&gt;-999,BH140*$FC140, -999)</f>
        <v>119053875.97478843</v>
      </c>
      <c r="FG140">
        <f>-38.03-(0.1023*G140)+H140*(100+102.093-66.644-64.243)</f>
        <v>12.061839923122093</v>
      </c>
      <c r="FH140">
        <f>IF(BI140&lt;&gt;-999,BI140*$FG140, -999)</f>
        <v>46902010.855376624</v>
      </c>
      <c r="FI140">
        <f>IF(BJ140&lt;&gt;-999,BJ140*$FG140, -999)</f>
        <v>60910397.838022359</v>
      </c>
      <c r="FJ140" s="23">
        <f>IF(BK140&lt;&gt;-999,BK140*$FG140, -999)</f>
        <v>107812408.69339897</v>
      </c>
      <c r="FK140" s="28">
        <f t="shared" si="102"/>
        <v>1551270587.7382398</v>
      </c>
      <c r="FL140" s="22">
        <f t="shared" si="104"/>
        <v>10.012280000000011</v>
      </c>
      <c r="FM140">
        <f>IF(AT140&lt;&gt;-999,AT140*$FL140, -999)</f>
        <v>67633385.860024109</v>
      </c>
      <c r="FN140">
        <f>IF(AU140&lt;&gt;-999,AU140*$FL140, -999)</f>
        <v>87833681.111686096</v>
      </c>
      <c r="FO140" s="29">
        <f>IF(AV140&lt;&gt;-999,AV140*$FL140, -999)</f>
        <v>155467066.97171021</v>
      </c>
      <c r="FP140">
        <f t="shared" si="105"/>
        <v>7.2392800000000115</v>
      </c>
      <c r="FQ140">
        <f>IF(AW140&lt;&gt;-999,AW140*$FP140, -999)</f>
        <v>24556728.67476961</v>
      </c>
      <c r="FR140">
        <f>IF(AX140&lt;&gt;-999,AX140*$FP140, -999)</f>
        <v>31891172.264300548</v>
      </c>
      <c r="FS140" s="29">
        <f>IF(AY140&lt;&gt;-999,AY140*$FP140, -999)</f>
        <v>56447900.939070165</v>
      </c>
      <c r="FT140">
        <f t="shared" si="106"/>
        <v>1.3112800000000142</v>
      </c>
      <c r="FU140">
        <f>IF(AZ140&lt;&gt;-999,AZ140*$FT140, -999)</f>
        <v>6937770.3159293337</v>
      </c>
      <c r="FV140">
        <f>IF(BA140&lt;&gt;-999,BA140*$FT140, -999)</f>
        <v>9009898.070416145</v>
      </c>
      <c r="FW140" s="29">
        <f>IF(BB140&lt;&gt;-999,BB140*$FT140, -999)</f>
        <v>15947668.386345478</v>
      </c>
      <c r="FX140">
        <f t="shared" si="107"/>
        <v>1.9372800000000119</v>
      </c>
      <c r="FY140">
        <f>IF(BC140&lt;&gt;-999, BC140*$FX140, -999)</f>
        <v>9617760.6187155731</v>
      </c>
      <c r="FZ140">
        <f>IF(BD140&lt;&gt;-999, BD140*$FX140, -999)</f>
        <v>12490330.153317494</v>
      </c>
      <c r="GA140" s="29">
        <f>IF(BE140&lt;&gt;-999, BE140*$FX140, -999)</f>
        <v>22108090.772033062</v>
      </c>
      <c r="GB140">
        <f t="shared" si="108"/>
        <v>-2.1347199999999873</v>
      </c>
      <c r="GC140">
        <f>IF(BF140&lt;&gt;-999,BF140*$GB140, -999)</f>
        <v>-5321934.0893047145</v>
      </c>
      <c r="GD140">
        <f>IF(BG140&lt;&gt;-999,BG140*$GB140, -999)</f>
        <v>-6911454.5221780241</v>
      </c>
      <c r="GE140" s="29">
        <f>IF(BH140&lt;&gt;-999,BH140*$GB140, -999)</f>
        <v>-12233388.611482739</v>
      </c>
      <c r="GF140">
        <f t="shared" si="109"/>
        <v>-10.847719999999988</v>
      </c>
      <c r="GG140">
        <f>IF(BI140&lt;&gt;-999,BI140*$GF140, -999)</f>
        <v>-42180951.201381281</v>
      </c>
      <c r="GH140">
        <f>IF(BJ140&lt;&gt;-999,BJ140*$GF140, -999)</f>
        <v>-54779282.849613965</v>
      </c>
      <c r="GI140" s="29">
        <f>IF(BK140&lt;&gt;-999,BK140*$GF140, -999)</f>
        <v>-96960234.050995246</v>
      </c>
      <c r="GJ140" s="30">
        <f t="shared" si="103"/>
        <v>140777104.40668094</v>
      </c>
    </row>
    <row r="141" spans="1:192">
      <c r="A141" s="48" t="s">
        <v>161</v>
      </c>
      <c r="B141" s="48" t="s">
        <v>273</v>
      </c>
      <c r="C141" s="49">
        <v>24</v>
      </c>
      <c r="D141" s="50">
        <v>0.51600000000000001</v>
      </c>
      <c r="E141" s="49">
        <v>22.4848082664594</v>
      </c>
      <c r="F141" s="49">
        <v>0.79770103289739602</v>
      </c>
      <c r="G141" s="49">
        <v>262.30088019818498</v>
      </c>
      <c r="H141" s="49">
        <v>0.80494871559832604</v>
      </c>
      <c r="I141" s="42">
        <v>15629.6</v>
      </c>
      <c r="J141" s="43">
        <v>-999</v>
      </c>
      <c r="K141" s="43">
        <f t="shared" si="78"/>
        <v>15629.6</v>
      </c>
      <c r="L141" s="43">
        <v>19129</v>
      </c>
      <c r="M141" s="43">
        <v>-999</v>
      </c>
      <c r="N141" s="43">
        <f t="shared" si="79"/>
        <v>19129</v>
      </c>
      <c r="O141" s="43">
        <v>31924.799999999999</v>
      </c>
      <c r="P141" s="43">
        <v>-999</v>
      </c>
      <c r="Q141" s="43">
        <f t="shared" si="80"/>
        <v>31924.799999999999</v>
      </c>
      <c r="R141" s="43">
        <v>21897.1</v>
      </c>
      <c r="S141" s="43">
        <v>-999</v>
      </c>
      <c r="T141" s="43">
        <f t="shared" si="81"/>
        <v>21897.1</v>
      </c>
      <c r="U141" s="43">
        <v>26799.8</v>
      </c>
      <c r="V141" s="43">
        <v>-999</v>
      </c>
      <c r="W141" s="43">
        <f t="shared" si="82"/>
        <v>26799.8</v>
      </c>
      <c r="X141" s="43">
        <v>44726.7</v>
      </c>
      <c r="Y141" s="43">
        <v>-999</v>
      </c>
      <c r="Z141" s="43">
        <f t="shared" si="83"/>
        <v>44726.7</v>
      </c>
      <c r="AA141" s="22">
        <v>230065.6</v>
      </c>
      <c r="AB141">
        <v>-999</v>
      </c>
      <c r="AC141">
        <v>230065.6</v>
      </c>
      <c r="AD141">
        <v>281576.09999999998</v>
      </c>
      <c r="AE141">
        <v>-999</v>
      </c>
      <c r="AF141">
        <v>281576.09999999998</v>
      </c>
      <c r="AG141">
        <v>469928</v>
      </c>
      <c r="AH141">
        <v>-999</v>
      </c>
      <c r="AI141">
        <v>469928</v>
      </c>
      <c r="AJ141">
        <v>322322.2</v>
      </c>
      <c r="AK141">
        <v>-999</v>
      </c>
      <c r="AL141">
        <v>322322.2</v>
      </c>
      <c r="AM141">
        <v>394488.4</v>
      </c>
      <c r="AN141">
        <v>-999</v>
      </c>
      <c r="AO141">
        <v>394488.4</v>
      </c>
      <c r="AP141">
        <v>658369.6</v>
      </c>
      <c r="AQ141">
        <v>-999</v>
      </c>
      <c r="AR141">
        <v>658369.6</v>
      </c>
      <c r="AS141">
        <v>2356749.87</v>
      </c>
      <c r="AT141" s="22">
        <f t="shared" si="77"/>
        <v>382986.63255156</v>
      </c>
      <c r="AU141">
        <f t="shared" si="77"/>
        <v>-999</v>
      </c>
      <c r="AV141">
        <f t="shared" si="77"/>
        <v>382986.63255156</v>
      </c>
      <c r="AW141">
        <f t="shared" si="77"/>
        <v>468735.36220104748</v>
      </c>
      <c r="AX141">
        <f t="shared" si="77"/>
        <v>-999</v>
      </c>
      <c r="AY141">
        <f t="shared" si="77"/>
        <v>468735.36220104748</v>
      </c>
      <c r="AZ141">
        <f t="shared" si="77"/>
        <v>782281.84596780001</v>
      </c>
      <c r="BA141">
        <f t="shared" si="76"/>
        <v>-999</v>
      </c>
      <c r="BB141">
        <f t="shared" si="76"/>
        <v>782281.84596780001</v>
      </c>
      <c r="BC141">
        <f t="shared" si="76"/>
        <v>536564.76228784502</v>
      </c>
      <c r="BD141">
        <f t="shared" si="76"/>
        <v>-999</v>
      </c>
      <c r="BE141">
        <f t="shared" si="76"/>
        <v>536564.76228784502</v>
      </c>
      <c r="BF141">
        <f t="shared" si="76"/>
        <v>656698.71504759009</v>
      </c>
      <c r="BG141">
        <f t="shared" si="76"/>
        <v>-999</v>
      </c>
      <c r="BH141">
        <f t="shared" si="76"/>
        <v>656698.71504759009</v>
      </c>
      <c r="BI141">
        <f t="shared" si="76"/>
        <v>1095977.6519319601</v>
      </c>
      <c r="BJ141">
        <f t="shared" si="75"/>
        <v>-999</v>
      </c>
      <c r="BK141">
        <f t="shared" si="75"/>
        <v>1095977.6519319601</v>
      </c>
      <c r="BL141">
        <f t="shared" si="75"/>
        <v>3923244.9200472683</v>
      </c>
      <c r="BM141" s="22">
        <f>-17.17-(0.1023*E141)+F141*(100-8.576-13.681)</f>
        <v>42.545475514883471</v>
      </c>
      <c r="BN141">
        <f>IF(AT141&lt;&gt;-999,AT141*$BM141, -999)</f>
        <v>16294348.397750068</v>
      </c>
      <c r="BO141">
        <f>IF(AU141&lt;&gt;-999,AU141*$BM141, -999)</f>
        <v>-999</v>
      </c>
      <c r="BP141" s="25">
        <f>IF(AV141&lt;&gt;-999,AV141*$BM141, -999)</f>
        <v>16294348.397750068</v>
      </c>
      <c r="BQ141">
        <f>-19.943-(0.1023*E141)+F141*(100-8.576-13.681)</f>
        <v>39.772475514883467</v>
      </c>
      <c r="BR141">
        <f>IF(AW141&lt;&gt;-999,AW141*$BQ141, -999)</f>
        <v>18642765.716101196</v>
      </c>
      <c r="BS141">
        <f>IF(AX141&lt;&gt;-999,AX141*$BQ141, -999)</f>
        <v>-999</v>
      </c>
      <c r="BT141" s="25">
        <f>IF(AY141&lt;&gt;-999,AY141*$BQ141, -999)</f>
        <v>18642765.716101196</v>
      </c>
      <c r="BU141">
        <f>-25.871-(0.1023*E141)+F141*(100-8.576-13.681)</f>
        <v>33.84447551488347</v>
      </c>
      <c r="BV141">
        <f>IF(AZ141&lt;&gt;-999,AZ141*$BU141, -999)</f>
        <v>26475918.781595051</v>
      </c>
      <c r="BW141">
        <f>IF(BA141&lt;&gt;-999,BA141*$BU141, -999)</f>
        <v>-999</v>
      </c>
      <c r="BX141" s="25">
        <f>IF(BB141&lt;&gt;-999,BB141*$BU141, -999)</f>
        <v>26475918.781595051</v>
      </c>
      <c r="BY141">
        <f>-25.245-(0.1023*E141)+F141*(100-8.576-13.681)</f>
        <v>34.470475514883468</v>
      </c>
      <c r="BZ141">
        <f>IF(BC141&lt;&gt;-999,BC141*$BY141, -999)</f>
        <v>18495642.500592429</v>
      </c>
      <c r="CA141">
        <f>IF(BD141&lt;&gt;-999,BD141*$BY141, -999)</f>
        <v>-999</v>
      </c>
      <c r="CB141" s="25">
        <f>IF(BE141&lt;&gt;-999,BE141*$BY141, -999)</f>
        <v>18495642.500592429</v>
      </c>
      <c r="CC141">
        <f>-29.317-(0.1023*E141)+F141*(100-8.576-13.681)</f>
        <v>30.398475514883472</v>
      </c>
      <c r="CD141">
        <f>IF(BF141&lt;&gt;-999,BF141*$CC141, -999)</f>
        <v>19962639.810029607</v>
      </c>
      <c r="CE141">
        <f>IF(BG141&lt;&gt;-999,BG141*$CC141, -999)</f>
        <v>-999</v>
      </c>
      <c r="CF141" s="25">
        <f>IF(BH141&lt;&gt;-999,BH141*$CC141, -999)</f>
        <v>19962639.810029607</v>
      </c>
      <c r="CG141">
        <f>-38.03-(0.1023*E141)+F141*(100-8.576-13.681)</f>
        <v>21.685475514883471</v>
      </c>
      <c r="CH141">
        <f>IF(BI141&lt;&gt;-999,BI141*$CG141, -999)</f>
        <v>23766796.535830002</v>
      </c>
      <c r="CI141">
        <f>IF(BJ141&lt;&gt;-999,BJ141*$CG141, -999)</f>
        <v>-999</v>
      </c>
      <c r="CJ141" s="25">
        <f>IF(BK141&lt;&gt;-999,BK141*$CG141, -999)</f>
        <v>23766796.535830002</v>
      </c>
      <c r="CK141" s="26">
        <f t="shared" si="84"/>
        <v>123638111.74189836</v>
      </c>
      <c r="CL141">
        <f t="shared" si="85"/>
        <v>-44.841827639635035</v>
      </c>
      <c r="CM141">
        <f t="shared" si="86"/>
        <v>12.128137454850876</v>
      </c>
      <c r="CN141">
        <f t="shared" si="87"/>
        <v>-100.82771478056891</v>
      </c>
      <c r="CO141" s="22">
        <f t="shared" si="88"/>
        <v>-40.08</v>
      </c>
      <c r="CP141">
        <f>IF(AT141&lt;&gt;-999,AT141*$CO141, -999)</f>
        <v>-15350104.232666524</v>
      </c>
      <c r="CQ141">
        <f>IF(AU141&lt;&gt;-999,AU141*$CO141, -999)</f>
        <v>-999</v>
      </c>
      <c r="CR141" s="27">
        <f>IF(AV141&lt;&gt;-999,AV141*$CO141, -999)</f>
        <v>-15350104.232666524</v>
      </c>
      <c r="CS141">
        <f t="shared" si="89"/>
        <v>-42.853000000000002</v>
      </c>
      <c r="CT141">
        <f>IF(AW141&lt;&gt;-999,AW141*$CS141, -999)</f>
        <v>-20086716.476401489</v>
      </c>
      <c r="CU141">
        <f>IF(AX141&lt;&gt;-999,AX141*$CS141, -999)</f>
        <v>-999</v>
      </c>
      <c r="CV141" s="27">
        <f>IF(AY141&lt;&gt;-999,AY141*$CS141, -999)</f>
        <v>-20086716.476401489</v>
      </c>
      <c r="CW141">
        <f t="shared" si="90"/>
        <v>-48.780999999999999</v>
      </c>
      <c r="CX141">
        <f>IF(AZ141&lt;&gt;-999,AZ141*$CO141, -999)</f>
        <v>-31353856.386389423</v>
      </c>
      <c r="CY141">
        <f>IF(BA141&lt;&gt;-999,BA141*$CO141, -999)</f>
        <v>-999</v>
      </c>
      <c r="CZ141" s="27">
        <f>IF(BB141&lt;&gt;-999,BB141*$CO141, -999)</f>
        <v>-31353856.386389423</v>
      </c>
      <c r="DA141">
        <f t="shared" si="91"/>
        <v>-48.155000000000001</v>
      </c>
      <c r="DB141">
        <f>IF(BC141&lt;&gt;-999,BC141*$DA141, -999)</f>
        <v>-25838276.127971176</v>
      </c>
      <c r="DC141">
        <f>IF(BD141&lt;&gt;-999,BD141*$DA141, -999)</f>
        <v>-999</v>
      </c>
      <c r="DD141" s="27">
        <f>IF(BE141&lt;&gt;-999,BE141*$DA141, -999)</f>
        <v>-25838276.127971176</v>
      </c>
      <c r="DE141">
        <f t="shared" si="92"/>
        <v>-52.227000000000004</v>
      </c>
      <c r="DF141">
        <f>IF(BF141&lt;&gt;-999,BF141*$DE141, -999)</f>
        <v>-34297403.790790491</v>
      </c>
      <c r="DG141">
        <f>IF(BG141&lt;&gt;-999,BG141*$DE141, -999)</f>
        <v>-999</v>
      </c>
      <c r="DH141" s="27">
        <f>IF(BH141&lt;&gt;-999,BH141*$DE141, -999)</f>
        <v>-34297403.790790491</v>
      </c>
      <c r="DI141">
        <f t="shared" si="93"/>
        <v>-60.94</v>
      </c>
      <c r="DJ141">
        <f>IF(BI141&lt;&gt;-999,BI141*$DI141, -999)</f>
        <v>-66788878.108733647</v>
      </c>
      <c r="DK141">
        <f>IF(BJ141&lt;&gt;-999,BJ141*$DI141, -999)</f>
        <v>-999</v>
      </c>
      <c r="DL141" s="27">
        <f>IF(BK141&lt;&gt;-999,BK141*$DI141, -999)</f>
        <v>-66788878.108733647</v>
      </c>
      <c r="DM141" s="28">
        <f t="shared" si="94"/>
        <v>-193715235.12295276</v>
      </c>
      <c r="DN141" s="22">
        <f t="shared" si="95"/>
        <v>-17.170000000000002</v>
      </c>
      <c r="DO141">
        <f>IF(AT141&lt;&gt;-999,AT141*$DN141, -999)</f>
        <v>-6575880.4809102863</v>
      </c>
      <c r="DP141">
        <f>IF(AU141&lt;&gt;-999,AU141*$DN141, -999)</f>
        <v>-999</v>
      </c>
      <c r="DQ141" s="24">
        <f>IF(AV141&lt;&gt;-999,AV141*$DN141, -999)</f>
        <v>-6575880.4809102863</v>
      </c>
      <c r="DR141">
        <f t="shared" si="96"/>
        <v>-19.943000000000001</v>
      </c>
      <c r="DS141">
        <f>IF(AW141&lt;&gt;-999,AW141*$DR141, -999)</f>
        <v>-9347989.3283754904</v>
      </c>
      <c r="DT141">
        <f>IF(AX141&lt;&gt;-999,AX141*$DR141, -999)</f>
        <v>-999</v>
      </c>
      <c r="DU141" s="24">
        <f>IF(AY141&lt;&gt;-999,AY141*$DR141, -999)</f>
        <v>-9347989.3283754904</v>
      </c>
      <c r="DV141">
        <f t="shared" si="97"/>
        <v>-25.870999999999999</v>
      </c>
      <c r="DW141">
        <f>IF(AZ141&lt;&gt;-999,AZ141*$DV141, -999)</f>
        <v>-20238413.637032952</v>
      </c>
      <c r="DX141">
        <f>IF(BA141&lt;&gt;-999,BA141*$DV141, -999)</f>
        <v>-999</v>
      </c>
      <c r="DY141" s="24">
        <f>IF(BB141&lt;&gt;-999,BB141*$DV141, -999)</f>
        <v>-20238413.637032952</v>
      </c>
      <c r="DZ141">
        <f t="shared" si="98"/>
        <v>-25.245000000000001</v>
      </c>
      <c r="EA141">
        <f>IF(BC141&lt;&gt;-999, BC141*$DZ141, -999)</f>
        <v>-13545577.423956648</v>
      </c>
      <c r="EB141">
        <f>IF(BD141&lt;&gt;-999, BD141*$DZ141, -999)</f>
        <v>-999</v>
      </c>
      <c r="EC141" s="24">
        <f>IF(BE141&lt;&gt;-999, BE141*$DZ141, -999)</f>
        <v>-13545577.423956648</v>
      </c>
      <c r="ED141">
        <f t="shared" si="99"/>
        <v>-29.317</v>
      </c>
      <c r="EE141">
        <f>IF(BF141&lt;&gt;-999,BF141*$ED141, -999)</f>
        <v>-19252436.2290502</v>
      </c>
      <c r="EF141">
        <f>IF(BG141&lt;&gt;-999,BG141*$ED141, -999)</f>
        <v>-999</v>
      </c>
      <c r="EG141" s="24">
        <f>IF(BH141&lt;&gt;-999,BH141*$ED141, -999)</f>
        <v>-19252436.2290502</v>
      </c>
      <c r="EH141">
        <f t="shared" si="100"/>
        <v>-38.03</v>
      </c>
      <c r="EI141">
        <f>IF(BI141&lt;&gt;-999,BI141*$EH141, -999)</f>
        <v>-41680030.102972448</v>
      </c>
      <c r="EJ141">
        <f>IF(BJ141&lt;&gt;-999,BJ141*$EH141, -999)</f>
        <v>-999</v>
      </c>
      <c r="EK141" s="24">
        <f>IF(BK141&lt;&gt;-999,BK141*$EH141, -999)</f>
        <v>-41680030.102972448</v>
      </c>
      <c r="EL141" s="28">
        <f t="shared" si="101"/>
        <v>-110640327.20229803</v>
      </c>
      <c r="EM141" s="22">
        <f>-17.17-(0.1023*G141)+H141*(100+102.093-66.644-64.243)</f>
        <v>13.313798198620098</v>
      </c>
      <c r="EN141">
        <f>IF(AT141&lt;&gt;-999,AT141*$EM141, -999)</f>
        <v>5099006.7385605369</v>
      </c>
      <c r="EO141">
        <f>IF(AU141&lt;&gt;-999,AU141*$EM141, -999)</f>
        <v>-999</v>
      </c>
      <c r="EP141" s="23">
        <f>IF(AV141&lt;&gt;-999,AV141*$EM141, -999)</f>
        <v>5099006.7385605369</v>
      </c>
      <c r="EQ141">
        <f>-19.943-(0.1023*G141)+H141*(100+102.093-66.644-64.243)</f>
        <v>10.540798198620095</v>
      </c>
      <c r="ER141">
        <f>IF(AW141&lt;&gt;-999,AW141*$EQ141, -999)</f>
        <v>4940844.8615183393</v>
      </c>
      <c r="ES141">
        <f>IF(AX141&lt;&gt;-999,AX141*$EQ141, -999)</f>
        <v>-999</v>
      </c>
      <c r="ET141" s="23">
        <f>IF(AY141&lt;&gt;-999,AY141*$EQ141, -999)</f>
        <v>4940844.8615183393</v>
      </c>
      <c r="EU141">
        <f>-25.871-(0.1023*G141)+H141*(100+102.093-66.644-64.243)</f>
        <v>4.6127981986200979</v>
      </c>
      <c r="EV141">
        <f>IF(AZ141&lt;&gt;-999,AZ141*$EU141, -999)</f>
        <v>3608508.2898934726</v>
      </c>
      <c r="EW141">
        <f>IF(BA141&lt;&gt;-999,BA141*$EU141, -999)</f>
        <v>-999</v>
      </c>
      <c r="EX141" s="23">
        <f>IF(BB141&lt;&gt;-999,BB141*$EU141, -999)</f>
        <v>3608508.2898934726</v>
      </c>
      <c r="EY141">
        <f>-25.245-(0.1023*G141)+H141*(100+102.093-66.644-64.243)</f>
        <v>5.2387981986200955</v>
      </c>
      <c r="EZ141">
        <f>IF(BC141&lt;&gt;-999, BC141*$EY141, -999)</f>
        <v>2810954.5101165823</v>
      </c>
      <c r="FA141">
        <f>IF(BD141&lt;&gt;-999, BD141*$EY141, -999)</f>
        <v>-999</v>
      </c>
      <c r="FB141" s="23">
        <f>IF(BE141&lt;&gt;-999, BE141*$EY141, -999)</f>
        <v>2810954.5101165823</v>
      </c>
      <c r="FC141">
        <f>-29.317-(0.1023*G141)+H141*(100+102.093-66.644-64.243)</f>
        <v>1.1667981986200928</v>
      </c>
      <c r="FD141">
        <f>IF(BF141&lt;&gt;-999,BF141*$FC141, -999)</f>
        <v>766234.87775365775</v>
      </c>
      <c r="FE141">
        <f>IF(BG141&lt;&gt;-999,BG141*$FC141, -999)</f>
        <v>-999</v>
      </c>
      <c r="FF141" s="23">
        <f>IF(BH141&lt;&gt;-999,BH141*$FC141, -999)</f>
        <v>766234.87775365775</v>
      </c>
      <c r="FG141">
        <f>-38.03-(0.1023*G141)+H141*(100+102.093-66.644-64.243)</f>
        <v>-7.546201801379901</v>
      </c>
      <c r="FH141">
        <f>IF(BI141&lt;&gt;-999,BI141*$FG141, -999)</f>
        <v>-8270468.5312810717</v>
      </c>
      <c r="FI141">
        <f>IF(BJ141&lt;&gt;-999,BJ141*$FG141, -999)</f>
        <v>-999</v>
      </c>
      <c r="FJ141" s="23">
        <f>IF(BK141&lt;&gt;-999,BK141*$FG141, -999)</f>
        <v>-8270468.5312810717</v>
      </c>
      <c r="FK141" s="28">
        <f t="shared" si="102"/>
        <v>8955080.7465615161</v>
      </c>
      <c r="FL141" s="22">
        <f t="shared" si="104"/>
        <v>10.012280000000011</v>
      </c>
      <c r="FM141">
        <f>IF(AT141&lt;&gt;-999,AT141*$FL141, -999)</f>
        <v>3834569.4013633374</v>
      </c>
      <c r="FN141">
        <f>IF(AU141&lt;&gt;-999,AU141*$FL141, -999)</f>
        <v>-999</v>
      </c>
      <c r="FO141" s="29">
        <f>IF(AV141&lt;&gt;-999,AV141*$FL141, -999)</f>
        <v>3834569.4013633374</v>
      </c>
      <c r="FP141">
        <f t="shared" si="105"/>
        <v>7.2392800000000115</v>
      </c>
      <c r="FQ141">
        <f>IF(AW141&lt;&gt;-999,AW141*$FP141, -999)</f>
        <v>3393306.5328748045</v>
      </c>
      <c r="FR141">
        <f>IF(AX141&lt;&gt;-999,AX141*$FP141, -999)</f>
        <v>-999</v>
      </c>
      <c r="FS141" s="29">
        <f>IF(AY141&lt;&gt;-999,AY141*$FP141, -999)</f>
        <v>3393306.5328748045</v>
      </c>
      <c r="FT141">
        <f t="shared" si="106"/>
        <v>1.3112800000000142</v>
      </c>
      <c r="FU141">
        <f>IF(AZ141&lt;&gt;-999,AZ141*$FT141, -999)</f>
        <v>1025790.5389806679</v>
      </c>
      <c r="FV141">
        <f>IF(BA141&lt;&gt;-999,BA141*$FT141, -999)</f>
        <v>-999</v>
      </c>
      <c r="FW141" s="29">
        <f>IF(BB141&lt;&gt;-999,BB141*$FT141, -999)</f>
        <v>1025790.5389806679</v>
      </c>
      <c r="FX141">
        <f t="shared" si="107"/>
        <v>1.9372800000000119</v>
      </c>
      <c r="FY141">
        <f>IF(BC141&lt;&gt;-999, BC141*$FX141, -999)</f>
        <v>1039476.1826850028</v>
      </c>
      <c r="FZ141">
        <f>IF(BD141&lt;&gt;-999, BD141*$FX141, -999)</f>
        <v>-999</v>
      </c>
      <c r="GA141" s="29">
        <f>IF(BE141&lt;&gt;-999, BE141*$FX141, -999)</f>
        <v>1039476.1826850028</v>
      </c>
      <c r="GB141">
        <f t="shared" si="108"/>
        <v>-2.1347199999999873</v>
      </c>
      <c r="GC141">
        <f>IF(BF141&lt;&gt;-999,BF141*$GB141, -999)</f>
        <v>-1401867.8809863832</v>
      </c>
      <c r="GD141">
        <f>IF(BG141&lt;&gt;-999,BG141*$GB141, -999)</f>
        <v>-999</v>
      </c>
      <c r="GE141" s="29">
        <f>IF(BH141&lt;&gt;-999,BH141*$GB141, -999)</f>
        <v>-1401867.8809863832</v>
      </c>
      <c r="GF141">
        <f t="shared" si="109"/>
        <v>-10.847719999999988</v>
      </c>
      <c r="GG141">
        <f>IF(BI141&lt;&gt;-999,BI141*$GF141, -999)</f>
        <v>-11888858.69441535</v>
      </c>
      <c r="GH141">
        <f>IF(BJ141&lt;&gt;-999,BJ141*$GF141, -999)</f>
        <v>-999</v>
      </c>
      <c r="GI141" s="29">
        <f>IF(BK141&lt;&gt;-999,BK141*$GF141, -999)</f>
        <v>-11888858.69441535</v>
      </c>
      <c r="GJ141" s="30">
        <f t="shared" si="103"/>
        <v>-3997583.9194979202</v>
      </c>
    </row>
    <row r="142" spans="1:192">
      <c r="A142" s="48" t="s">
        <v>178</v>
      </c>
      <c r="B142" s="48" t="s">
        <v>274</v>
      </c>
      <c r="C142" s="49">
        <v>29</v>
      </c>
      <c r="D142" s="50">
        <v>0.51600000000000001</v>
      </c>
      <c r="E142" s="49">
        <v>47.6606344706247</v>
      </c>
      <c r="F142" s="49">
        <v>0.78955600331319697</v>
      </c>
      <c r="G142" s="49">
        <v>63.137884782807497</v>
      </c>
      <c r="H142" s="49">
        <v>0.81895282818983095</v>
      </c>
      <c r="I142" s="42">
        <v>93831</v>
      </c>
      <c r="J142" s="43">
        <v>7637.8</v>
      </c>
      <c r="K142" s="43">
        <f t="shared" si="78"/>
        <v>101468.8</v>
      </c>
      <c r="L142" s="43">
        <v>104989.2</v>
      </c>
      <c r="M142" s="43">
        <v>8546</v>
      </c>
      <c r="N142" s="43">
        <f t="shared" si="79"/>
        <v>113535.2</v>
      </c>
      <c r="O142" s="43">
        <v>66696.3</v>
      </c>
      <c r="P142" s="43">
        <v>5429</v>
      </c>
      <c r="Q142" s="43">
        <f t="shared" si="80"/>
        <v>72125.3</v>
      </c>
      <c r="R142" s="43">
        <v>160021.20000000001</v>
      </c>
      <c r="S142" s="43">
        <v>13025.6</v>
      </c>
      <c r="T142" s="43">
        <f t="shared" si="81"/>
        <v>173046.80000000002</v>
      </c>
      <c r="U142" s="43">
        <v>179050.6</v>
      </c>
      <c r="V142" s="43">
        <v>14574.6</v>
      </c>
      <c r="W142" s="43">
        <f t="shared" si="82"/>
        <v>193625.2</v>
      </c>
      <c r="X142" s="43">
        <v>113745.2</v>
      </c>
      <c r="Y142" s="43">
        <v>9258.7999999999993</v>
      </c>
      <c r="Z142" s="43">
        <f t="shared" si="83"/>
        <v>123004</v>
      </c>
      <c r="AA142" s="22">
        <v>706465.1</v>
      </c>
      <c r="AB142">
        <v>105547.6</v>
      </c>
      <c r="AC142">
        <v>812012.7</v>
      </c>
      <c r="AD142">
        <v>790476.5</v>
      </c>
      <c r="AE142">
        <v>118099.1</v>
      </c>
      <c r="AF142">
        <v>908575.6</v>
      </c>
      <c r="AG142">
        <v>502164.5</v>
      </c>
      <c r="AH142">
        <v>75024.600000000006</v>
      </c>
      <c r="AI142">
        <v>577189.1</v>
      </c>
      <c r="AJ142">
        <v>1204819</v>
      </c>
      <c r="AK142">
        <v>180002.9</v>
      </c>
      <c r="AL142">
        <v>1384821.8</v>
      </c>
      <c r="AM142">
        <v>1348093.5</v>
      </c>
      <c r="AN142">
        <v>201408.4</v>
      </c>
      <c r="AO142">
        <v>1549502</v>
      </c>
      <c r="AP142">
        <v>856400.9</v>
      </c>
      <c r="AQ142">
        <v>127948.4</v>
      </c>
      <c r="AR142">
        <v>984349.2</v>
      </c>
      <c r="AS142">
        <v>6216450.4000000004</v>
      </c>
      <c r="AT142" s="22">
        <f t="shared" si="77"/>
        <v>1176041.4840993225</v>
      </c>
      <c r="AU142">
        <f t="shared" si="77"/>
        <v>175703.45109351003</v>
      </c>
      <c r="AV142">
        <f t="shared" si="77"/>
        <v>1351744.9351928325</v>
      </c>
      <c r="AW142">
        <f t="shared" si="77"/>
        <v>1315893.9574023376</v>
      </c>
      <c r="AX142">
        <f t="shared" si="77"/>
        <v>196597.7382814725</v>
      </c>
      <c r="AY142">
        <f t="shared" si="77"/>
        <v>1512491.6956838102</v>
      </c>
      <c r="AZ142">
        <f t="shared" si="77"/>
        <v>835945.44704613741</v>
      </c>
      <c r="BA142">
        <f t="shared" si="76"/>
        <v>124892.286863085</v>
      </c>
      <c r="BB142">
        <f t="shared" si="76"/>
        <v>960837.73390922253</v>
      </c>
      <c r="BC142">
        <f t="shared" si="76"/>
        <v>2005643.4844850248</v>
      </c>
      <c r="BD142">
        <f t="shared" si="76"/>
        <v>299648.03308497748</v>
      </c>
      <c r="BE142">
        <f t="shared" si="76"/>
        <v>2305291.3511015549</v>
      </c>
      <c r="BF142">
        <f t="shared" si="76"/>
        <v>2244150.3202984123</v>
      </c>
      <c r="BG142">
        <f t="shared" si="76"/>
        <v>335281.43661459</v>
      </c>
      <c r="BH142">
        <f t="shared" si="76"/>
        <v>2579431.9233814501</v>
      </c>
      <c r="BI142">
        <f t="shared" si="76"/>
        <v>1425637.2826060276</v>
      </c>
      <c r="BJ142">
        <f t="shared" si="75"/>
        <v>212993.71508108999</v>
      </c>
      <c r="BK142">
        <f t="shared" si="75"/>
        <v>1638630.8312186699</v>
      </c>
      <c r="BL142">
        <f t="shared" si="75"/>
        <v>10348428.470487541</v>
      </c>
      <c r="BM142" s="22">
        <f>-17.17-(0.1023*E142)+F142*(100-8.576-13.681)</f>
        <v>39.336769459232968</v>
      </c>
      <c r="BN142">
        <f>IF(AT142&lt;&gt;-999,AT142*$BM142, -999)</f>
        <v>46261672.734509245</v>
      </c>
      <c r="BO142">
        <f>IF(AU142&lt;&gt;-999,AU142*$BM142, -999)</f>
        <v>6911606.1488570189</v>
      </c>
      <c r="BP142" s="25">
        <f>IF(AV142&lt;&gt;-999,AV142*$BM142, -999)</f>
        <v>53173278.883366264</v>
      </c>
      <c r="BQ142">
        <f>-19.943-(0.1023*E142)+F142*(100-8.576-13.681)</f>
        <v>36.563769459232972</v>
      </c>
      <c r="BR142">
        <f>IF(AW142&lt;&gt;-999,AW142*$BQ142, -999)</f>
        <v>48114043.291256808</v>
      </c>
      <c r="BS142">
        <f>IF(AX142&lt;&gt;-999,AX142*$BQ142, -999)</f>
        <v>7188354.3787303809</v>
      </c>
      <c r="BT142" s="25">
        <f>IF(AY142&lt;&gt;-999,AY142*$BQ142, -999)</f>
        <v>55302397.669987187</v>
      </c>
      <c r="BU142">
        <f>-25.871-(0.1023*E142)+F142*(100-8.576-13.681)</f>
        <v>30.635769459232971</v>
      </c>
      <c r="BV142">
        <f>IF(AZ142&lt;&gt;-999,AZ142*$BU142, -999)</f>
        <v>25609831.996200908</v>
      </c>
      <c r="BW142">
        <f>IF(BA142&lt;&gt;-999,BA142*$BU142, -999)</f>
        <v>3826171.3075738628</v>
      </c>
      <c r="BX142" s="25">
        <f>IF(BB142&lt;&gt;-999,BB142*$BU142, -999)</f>
        <v>29436003.303774778</v>
      </c>
      <c r="BY142">
        <f>-25.245-(0.1023*E142)+F142*(100-8.576-13.681)</f>
        <v>31.261769459232969</v>
      </c>
      <c r="BZ142">
        <f>IF(BC142&lt;&gt;-999,BC142*$BY142, -999)</f>
        <v>62699964.229383543</v>
      </c>
      <c r="CA142">
        <f>IF(BD142&lt;&gt;-999,BD142*$BY142, -999)</f>
        <v>9367527.7292151786</v>
      </c>
      <c r="CB142" s="25">
        <f>IF(BE142&lt;&gt;-999,BE142*$BY142, -999)</f>
        <v>72067486.754500493</v>
      </c>
      <c r="CC142">
        <f>-29.317-(0.1023*E142)+F142*(100-8.576-13.681)</f>
        <v>27.18976945923297</v>
      </c>
      <c r="CD142">
        <f>IF(BF142&lt;&gt;-999,BF142*$CC142, -999)</f>
        <v>61017929.840777658</v>
      </c>
      <c r="CE142">
        <f>IF(BG142&lt;&gt;-999,BG142*$CC142, -999)</f>
        <v>9116224.9655111339</v>
      </c>
      <c r="CF142" s="25">
        <f>IF(BH142&lt;&gt;-999,BH142*$CC142, -999)</f>
        <v>70134159.332527503</v>
      </c>
      <c r="CG142">
        <f>-38.03-(0.1023*E142)+F142*(100-8.576-13.681)</f>
        <v>18.476769459232969</v>
      </c>
      <c r="CH142">
        <f>IF(BI142&lt;&gt;-999,BI142*$CG142, -999)</f>
        <v>26341171.403198931</v>
      </c>
      <c r="CI142">
        <f>IF(BJ142&lt;&gt;-999,BJ142*$CG142, -999)</f>
        <v>3935435.7698188522</v>
      </c>
      <c r="CJ142" s="25">
        <f>IF(BK142&lt;&gt;-999,BK142*$CG142, -999)</f>
        <v>30276604.097218655</v>
      </c>
      <c r="CK142" s="26">
        <f t="shared" si="84"/>
        <v>310389930.04137486</v>
      </c>
      <c r="CL142">
        <f t="shared" si="85"/>
        <v>-42.272073149792497</v>
      </c>
      <c r="CM142">
        <f t="shared" si="86"/>
        <v>15.285591929442059</v>
      </c>
      <c r="CN142">
        <f t="shared" si="87"/>
        <v>-98.835508564879191</v>
      </c>
      <c r="CO142" s="22">
        <f t="shared" si="88"/>
        <v>-40.08</v>
      </c>
      <c r="CP142">
        <f>IF(AT142&lt;&gt;-999,AT142*$CO142, -999)</f>
        <v>-47135742.682700843</v>
      </c>
      <c r="CQ142">
        <f>IF(AU142&lt;&gt;-999,AU142*$CO142, -999)</f>
        <v>-7042194.3198278816</v>
      </c>
      <c r="CR142" s="27">
        <f>IF(AV142&lt;&gt;-999,AV142*$CO142, -999)</f>
        <v>-54177937.002528727</v>
      </c>
      <c r="CS142">
        <f t="shared" si="89"/>
        <v>-42.853000000000002</v>
      </c>
      <c r="CT142">
        <f>IF(AW142&lt;&gt;-999,AW142*$CS142, -999)</f>
        <v>-56390003.756562375</v>
      </c>
      <c r="CU142">
        <f>IF(AX142&lt;&gt;-999,AX142*$CS142, -999)</f>
        <v>-8424802.8785759415</v>
      </c>
      <c r="CV142" s="27">
        <f>IF(AY142&lt;&gt;-999,AY142*$CS142, -999)</f>
        <v>-64814806.635138318</v>
      </c>
      <c r="CW142">
        <f t="shared" si="90"/>
        <v>-48.780999999999999</v>
      </c>
      <c r="CX142">
        <f>IF(AZ142&lt;&gt;-999,AZ142*$CO142, -999)</f>
        <v>-33504693.517609186</v>
      </c>
      <c r="CY142">
        <f>IF(BA142&lt;&gt;-999,BA142*$CO142, -999)</f>
        <v>-5005682.8574724467</v>
      </c>
      <c r="CZ142" s="27">
        <f>IF(BB142&lt;&gt;-999,BB142*$CO142, -999)</f>
        <v>-38510376.375081636</v>
      </c>
      <c r="DA142">
        <f t="shared" si="91"/>
        <v>-48.155000000000001</v>
      </c>
      <c r="DB142">
        <f>IF(BC142&lt;&gt;-999,BC142*$DA142, -999)</f>
        <v>-96581761.995376378</v>
      </c>
      <c r="DC142">
        <f>IF(BD142&lt;&gt;-999,BD142*$DA142, -999)</f>
        <v>-14429551.033207091</v>
      </c>
      <c r="DD142" s="27">
        <f>IF(BE142&lt;&gt;-999,BE142*$DA142, -999)</f>
        <v>-111011305.01229538</v>
      </c>
      <c r="DE142">
        <f t="shared" si="92"/>
        <v>-52.227000000000004</v>
      </c>
      <c r="DF142">
        <f>IF(BF142&lt;&gt;-999,BF142*$DE142, -999)</f>
        <v>-117205238.77822518</v>
      </c>
      <c r="DG142">
        <f>IF(BG142&lt;&gt;-999,BG142*$DE142, -999)</f>
        <v>-17510743.590070192</v>
      </c>
      <c r="DH142" s="27">
        <f>IF(BH142&lt;&gt;-999,BH142*$DE142, -999)</f>
        <v>-134715991.06244302</v>
      </c>
      <c r="DI142">
        <f t="shared" si="93"/>
        <v>-60.94</v>
      </c>
      <c r="DJ142">
        <f>IF(BI142&lt;&gt;-999,BI142*$DI142, -999)</f>
        <v>-86878336.002011314</v>
      </c>
      <c r="DK142">
        <f>IF(BJ142&lt;&gt;-999,BJ142*$DI142, -999)</f>
        <v>-12979836.997041624</v>
      </c>
      <c r="DL142" s="27">
        <f>IF(BK142&lt;&gt;-999,BK142*$DI142, -999)</f>
        <v>-99858162.854465738</v>
      </c>
      <c r="DM142" s="28">
        <f t="shared" si="94"/>
        <v>-503088578.94195282</v>
      </c>
      <c r="DN142" s="22">
        <f t="shared" si="95"/>
        <v>-17.170000000000002</v>
      </c>
      <c r="DO142">
        <f>IF(AT142&lt;&gt;-999,AT142*$DN142, -999)</f>
        <v>-20192632.281985369</v>
      </c>
      <c r="DP142">
        <f>IF(AU142&lt;&gt;-999,AU142*$DN142, -999)</f>
        <v>-3016828.2552755675</v>
      </c>
      <c r="DQ142" s="24">
        <f>IF(AV142&lt;&gt;-999,AV142*$DN142, -999)</f>
        <v>-23209460.537260935</v>
      </c>
      <c r="DR142">
        <f t="shared" si="96"/>
        <v>-19.943000000000001</v>
      </c>
      <c r="DS142">
        <f>IF(AW142&lt;&gt;-999,AW142*$DR142, -999)</f>
        <v>-26242873.19247482</v>
      </c>
      <c r="DT142">
        <f>IF(AX142&lt;&gt;-999,AX142*$DR142, -999)</f>
        <v>-3920748.6945474064</v>
      </c>
      <c r="DU142" s="24">
        <f>IF(AY142&lt;&gt;-999,AY142*$DR142, -999)</f>
        <v>-30163621.887022227</v>
      </c>
      <c r="DV142">
        <f t="shared" si="97"/>
        <v>-25.870999999999999</v>
      </c>
      <c r="DW142">
        <f>IF(AZ142&lt;&gt;-999,AZ142*$DV142, -999)</f>
        <v>-21626744.660530619</v>
      </c>
      <c r="DX142">
        <f>IF(BA142&lt;&gt;-999,BA142*$DV142, -999)</f>
        <v>-3231088.3534348719</v>
      </c>
      <c r="DY142" s="24">
        <f>IF(BB142&lt;&gt;-999,BB142*$DV142, -999)</f>
        <v>-24857833.013965495</v>
      </c>
      <c r="DZ142">
        <f t="shared" si="98"/>
        <v>-25.245000000000001</v>
      </c>
      <c r="EA142">
        <f>IF(BC142&lt;&gt;-999, BC142*$DZ142, -999)</f>
        <v>-50632469.765824452</v>
      </c>
      <c r="EB142">
        <f>IF(BD142&lt;&gt;-999, BD142*$DZ142, -999)</f>
        <v>-7564614.5952302571</v>
      </c>
      <c r="EC142" s="24">
        <f>IF(BE142&lt;&gt;-999, BE142*$DZ142, -999)</f>
        <v>-58197080.158558756</v>
      </c>
      <c r="ED142">
        <f t="shared" si="99"/>
        <v>-29.317</v>
      </c>
      <c r="EE142">
        <f>IF(BF142&lt;&gt;-999,BF142*$ED142, -999)</f>
        <v>-65791754.940188557</v>
      </c>
      <c r="EF142">
        <f>IF(BG142&lt;&gt;-999,BG142*$ED142, -999)</f>
        <v>-9829445.8772299346</v>
      </c>
      <c r="EG142" s="24">
        <f>IF(BH142&lt;&gt;-999,BH142*$ED142, -999)</f>
        <v>-75621205.697773978</v>
      </c>
      <c r="EH142">
        <f t="shared" si="100"/>
        <v>-38.03</v>
      </c>
      <c r="EI142">
        <f>IF(BI142&lt;&gt;-999,BI142*$EH142, -999)</f>
        <v>-54216985.857507229</v>
      </c>
      <c r="EJ142">
        <f>IF(BJ142&lt;&gt;-999,BJ142*$EH142, -999)</f>
        <v>-8100150.9845338529</v>
      </c>
      <c r="EK142" s="24">
        <f>IF(BK142&lt;&gt;-999,BK142*$EH142, -999)</f>
        <v>-62317130.511246018</v>
      </c>
      <c r="EL142" s="28">
        <f t="shared" si="101"/>
        <v>-274366331.80582744</v>
      </c>
      <c r="EM142" s="22">
        <f>-17.17-(0.1023*G142)+H142*(100+102.093-66.644-64.243)</f>
        <v>34.685349470803907</v>
      </c>
      <c r="EN142">
        <f>IF(AT142&lt;&gt;-999,AT142*$EM142, -999)</f>
        <v>40791409.868147872</v>
      </c>
      <c r="EO142">
        <f>IF(AU142&lt;&gt;-999,AU142*$EM142, -999)</f>
        <v>6094335.6044046981</v>
      </c>
      <c r="EP142" s="23">
        <f>IF(AV142&lt;&gt;-999,AV142*$EM142, -999)</f>
        <v>46885745.472552575</v>
      </c>
      <c r="EQ142">
        <f>-19.943-(0.1023*G142)+H142*(100+102.093-66.644-64.243)</f>
        <v>31.912349470803907</v>
      </c>
      <c r="ER142">
        <f>IF(AW142&lt;&gt;-999,AW142*$EQ142, -999)</f>
        <v>41993267.835142545</v>
      </c>
      <c r="ES142">
        <f>IF(AX142&lt;&gt;-999,AX142*$EQ142, -999)</f>
        <v>6273895.7292079935</v>
      </c>
      <c r="ET142" s="23">
        <f>IF(AY142&lt;&gt;-999,AY142*$EQ142, -999)</f>
        <v>48267163.564350545</v>
      </c>
      <c r="EU142">
        <f>-25.871-(0.1023*G142)+H142*(100+102.093-66.644-64.243)</f>
        <v>25.984349470803906</v>
      </c>
      <c r="EV142">
        <f>IF(AZ142&lt;&gt;-999,AZ142*$EU142, -999)</f>
        <v>21721498.634574234</v>
      </c>
      <c r="EW142">
        <f>IF(BA142&lt;&gt;-999,BA142*$EU142, -999)</f>
        <v>3245244.8280582922</v>
      </c>
      <c r="EX142" s="23">
        <f>IF(BB142&lt;&gt;-999,BB142*$EU142, -999)</f>
        <v>24966743.462632529</v>
      </c>
      <c r="EY142">
        <f>-25.245-(0.1023*G142)+H142*(100+102.093-66.644-64.243)</f>
        <v>26.610349470803907</v>
      </c>
      <c r="EZ142">
        <f>IF(BC142&lt;&gt;-999, BC142*$EY142, -999)</f>
        <v>53370874.035987385</v>
      </c>
      <c r="FA142">
        <f>IF(BD142&lt;&gt;-999, BD142*$EY142, -999)</f>
        <v>7973738.8786302619</v>
      </c>
      <c r="FB142" s="23">
        <f>IF(BE142&lt;&gt;-999, BE142*$EY142, -999)</f>
        <v>61344608.48483409</v>
      </c>
      <c r="FC142">
        <f>-29.317-(0.1023*G142)+H142*(100+102.093-66.644-64.243)</f>
        <v>22.538349470803908</v>
      </c>
      <c r="FD142">
        <f>IF(BF142&lt;&gt;-999,BF142*$FC142, -999)</f>
        <v>50579444.183902144</v>
      </c>
      <c r="FE142">
        <f>IF(BG142&lt;&gt;-999,BG142*$FC142, -999)</f>
        <v>7556690.1894928189</v>
      </c>
      <c r="FF142" s="23">
        <f>IF(BH142&lt;&gt;-999,BH142*$FC142, -999)</f>
        <v>58136138.125319012</v>
      </c>
      <c r="FG142">
        <f>-38.03-(0.1023*G142)+H142*(100+102.093-66.644-64.243)</f>
        <v>13.825349470803907</v>
      </c>
      <c r="FH142">
        <f>IF(BI142&lt;&gt;-999,BI142*$FG142, -999)</f>
        <v>19709933.650635563</v>
      </c>
      <c r="FI142">
        <f>IF(BJ142&lt;&gt;-999,BJ142*$FG142, -999)</f>
        <v>2944712.5460809055</v>
      </c>
      <c r="FJ142" s="23">
        <f>IF(BK142&lt;&gt;-999,BK142*$FG142, -999)</f>
        <v>22654643.895232003</v>
      </c>
      <c r="FK142" s="28">
        <f t="shared" si="102"/>
        <v>262255043.00492075</v>
      </c>
      <c r="FL142" s="22">
        <f t="shared" si="104"/>
        <v>10.012280000000011</v>
      </c>
      <c r="FM142">
        <f>IF(AT142&lt;&gt;-999,AT142*$FL142, -999)</f>
        <v>11774856.630417978</v>
      </c>
      <c r="FN142">
        <f>IF(AU142&lt;&gt;-999,AU142*$FL142, -999)</f>
        <v>1759192.1493145304</v>
      </c>
      <c r="FO142" s="29">
        <f>IF(AV142&lt;&gt;-999,AV142*$FL142, -999)</f>
        <v>13534048.779732509</v>
      </c>
      <c r="FP142">
        <f t="shared" si="105"/>
        <v>7.2392800000000115</v>
      </c>
      <c r="FQ142">
        <f>IF(AW142&lt;&gt;-999,AW142*$FP142, -999)</f>
        <v>9526124.8079436086</v>
      </c>
      <c r="FR142">
        <f>IF(AX142&lt;&gt;-999,AX142*$FP142, -999)</f>
        <v>1423226.0747863005</v>
      </c>
      <c r="FS142" s="29">
        <f>IF(AY142&lt;&gt;-999,AY142*$FP142, -999)</f>
        <v>10949350.88272991</v>
      </c>
      <c r="FT142">
        <f t="shared" si="106"/>
        <v>1.3112800000000142</v>
      </c>
      <c r="FU142">
        <f>IF(AZ142&lt;&gt;-999,AZ142*$FT142, -999)</f>
        <v>1096158.545802671</v>
      </c>
      <c r="FV142">
        <f>IF(BA142&lt;&gt;-999,BA142*$FT142, -999)</f>
        <v>163768.75791782787</v>
      </c>
      <c r="FW142" s="29">
        <f>IF(BB142&lt;&gt;-999,BB142*$FT142, -999)</f>
        <v>1259927.3037204989</v>
      </c>
      <c r="FX142">
        <f t="shared" si="107"/>
        <v>1.9372800000000119</v>
      </c>
      <c r="FY142">
        <f>IF(BC142&lt;&gt;-999, BC142*$FX142, -999)</f>
        <v>3885493.0096231727</v>
      </c>
      <c r="FZ142">
        <f>IF(BD142&lt;&gt;-999, BD142*$FX142, -999)</f>
        <v>580502.14153486874</v>
      </c>
      <c r="GA142" s="29">
        <f>IF(BE142&lt;&gt;-999, BE142*$FX142, -999)</f>
        <v>4465994.8286620481</v>
      </c>
      <c r="GB142">
        <f t="shared" si="108"/>
        <v>-2.1347199999999873</v>
      </c>
      <c r="GC142">
        <f>IF(BF142&lt;&gt;-999,BF142*$GB142, -999)</f>
        <v>-4790632.571747398</v>
      </c>
      <c r="GD142">
        <f>IF(BG142&lt;&gt;-999,BG142*$GB142, -999)</f>
        <v>-715731.98836989328</v>
      </c>
      <c r="GE142" s="29">
        <f>IF(BH142&lt;&gt;-999,BH142*$GB142, -999)</f>
        <v>-5506364.9154808167</v>
      </c>
      <c r="GF142">
        <f t="shared" si="109"/>
        <v>-10.847719999999988</v>
      </c>
      <c r="GG142">
        <f>IF(BI142&lt;&gt;-999,BI142*$GF142, -999)</f>
        <v>-15464914.06327104</v>
      </c>
      <c r="GH142">
        <f>IF(BJ142&lt;&gt;-999,BJ142*$GF142, -999)</f>
        <v>-2310496.1829594392</v>
      </c>
      <c r="GI142" s="29">
        <f>IF(BK142&lt;&gt;-999,BK142*$GF142, -999)</f>
        <v>-17775408.44042737</v>
      </c>
      <c r="GJ142" s="30">
        <f t="shared" si="103"/>
        <v>6927548.4389367849</v>
      </c>
    </row>
    <row r="143" spans="1:192">
      <c r="A143" s="48" t="s">
        <v>258</v>
      </c>
      <c r="B143" s="48" t="s">
        <v>256</v>
      </c>
      <c r="C143" s="49">
        <v>30</v>
      </c>
      <c r="D143" s="50">
        <v>0.50800000000000001</v>
      </c>
      <c r="E143" s="49">
        <v>164.31916039733599</v>
      </c>
      <c r="F143" s="49">
        <v>0.78538657813234602</v>
      </c>
      <c r="G143" s="49">
        <v>223.530319583085</v>
      </c>
      <c r="H143" s="49">
        <v>0.807023982076713</v>
      </c>
      <c r="I143" s="42">
        <v>81209.7</v>
      </c>
      <c r="J143" s="43">
        <v>23166.7</v>
      </c>
      <c r="K143" s="43">
        <f t="shared" si="78"/>
        <v>104376.4</v>
      </c>
      <c r="L143" s="43">
        <v>41006.800000000003</v>
      </c>
      <c r="M143" s="43">
        <v>11698</v>
      </c>
      <c r="N143" s="43">
        <f t="shared" si="79"/>
        <v>52704.800000000003</v>
      </c>
      <c r="O143" s="43">
        <v>57617.1</v>
      </c>
      <c r="P143" s="43">
        <v>16436.5</v>
      </c>
      <c r="Q143" s="43">
        <f t="shared" si="80"/>
        <v>74053.600000000006</v>
      </c>
      <c r="R143" s="43">
        <v>45472.4</v>
      </c>
      <c r="S143" s="43">
        <v>12972</v>
      </c>
      <c r="T143" s="43">
        <f t="shared" si="81"/>
        <v>58444.4</v>
      </c>
      <c r="U143" s="43">
        <v>22961.3</v>
      </c>
      <c r="V143" s="43">
        <v>6550.2</v>
      </c>
      <c r="W143" s="43">
        <f t="shared" si="82"/>
        <v>29511.5</v>
      </c>
      <c r="X143" s="43">
        <v>32262</v>
      </c>
      <c r="Y143" s="43">
        <v>9203.4</v>
      </c>
      <c r="Z143" s="43">
        <f t="shared" si="83"/>
        <v>41465.4</v>
      </c>
      <c r="AA143" s="22">
        <v>2284696.4</v>
      </c>
      <c r="AB143">
        <v>479465.1</v>
      </c>
      <c r="AC143">
        <v>2764161.5</v>
      </c>
      <c r="AD143">
        <v>1153657.2</v>
      </c>
      <c r="AE143">
        <v>242105.8</v>
      </c>
      <c r="AF143">
        <v>1395763</v>
      </c>
      <c r="AG143">
        <v>1620960</v>
      </c>
      <c r="AH143">
        <v>340173.7</v>
      </c>
      <c r="AI143">
        <v>1961133.7</v>
      </c>
      <c r="AJ143">
        <v>1279290.1000000001</v>
      </c>
      <c r="AK143">
        <v>268471.09999999998</v>
      </c>
      <c r="AL143">
        <v>1547761.1</v>
      </c>
      <c r="AM143">
        <v>645977.30000000005</v>
      </c>
      <c r="AN143">
        <v>135564.4</v>
      </c>
      <c r="AO143">
        <v>781541.8</v>
      </c>
      <c r="AP143">
        <v>907638.3</v>
      </c>
      <c r="AQ143">
        <v>190476.5</v>
      </c>
      <c r="AR143">
        <v>1098114.8</v>
      </c>
      <c r="AS143">
        <v>9548475.9000000004</v>
      </c>
      <c r="AT143" s="22">
        <f t="shared" si="77"/>
        <v>3803298.62716839</v>
      </c>
      <c r="AU143">
        <f t="shared" si="77"/>
        <v>798158.10827432247</v>
      </c>
      <c r="AV143">
        <f t="shared" si="77"/>
        <v>4601456.7354427129</v>
      </c>
      <c r="AW143">
        <f t="shared" si="77"/>
        <v>1920475.23031197</v>
      </c>
      <c r="AX143">
        <f t="shared" si="77"/>
        <v>403029.76656745496</v>
      </c>
      <c r="AY143">
        <f t="shared" si="77"/>
        <v>2323504.9968794249</v>
      </c>
      <c r="AZ143">
        <f t="shared" si="77"/>
        <v>2698386.9465960003</v>
      </c>
      <c r="BA143">
        <f t="shared" si="76"/>
        <v>566281.8771933075</v>
      </c>
      <c r="BB143">
        <f t="shared" si="76"/>
        <v>3264668.8237893074</v>
      </c>
      <c r="BC143">
        <f t="shared" si="76"/>
        <v>2129614.3684911979</v>
      </c>
      <c r="BD143">
        <f t="shared" si="76"/>
        <v>446919.67215617246</v>
      </c>
      <c r="BE143">
        <f t="shared" si="76"/>
        <v>2576533.8741789227</v>
      </c>
      <c r="BF143">
        <f t="shared" si="76"/>
        <v>1075348.3825124176</v>
      </c>
      <c r="BG143">
        <f t="shared" si="76"/>
        <v>225671.95204268998</v>
      </c>
      <c r="BH143">
        <f t="shared" si="76"/>
        <v>1301020.5010235549</v>
      </c>
      <c r="BI143">
        <f t="shared" si="76"/>
        <v>1510931.3869253926</v>
      </c>
      <c r="BJ143">
        <f t="shared" si="75"/>
        <v>317083.27240233752</v>
      </c>
      <c r="BK143">
        <f t="shared" si="75"/>
        <v>1828014.6593277301</v>
      </c>
      <c r="BL143">
        <f t="shared" si="75"/>
        <v>15895199.590641655</v>
      </c>
      <c r="BM143" s="22">
        <f>-17.17-(0.1023*E143)+F143*(100-8.576-13.681)</f>
        <v>27.078458635095515</v>
      </c>
      <c r="BN143">
        <f>IF(AT143&lt;&gt;-999,AT143*$BM143, -999)</f>
        <v>102987464.55269481</v>
      </c>
      <c r="BO143">
        <f>IF(AU143&lt;&gt;-999,AU143*$BM143, -999)</f>
        <v>21612891.31917233</v>
      </c>
      <c r="BP143" s="25">
        <f>IF(AV143&lt;&gt;-999,AV143*$BM143, -999)</f>
        <v>124600355.87186715</v>
      </c>
      <c r="BQ143">
        <f>-19.943-(0.1023*E143)+F143*(100-8.576-13.681)</f>
        <v>24.305458635095512</v>
      </c>
      <c r="BR143">
        <f>IF(AW143&lt;&gt;-999,AW143*$BQ143, -999)</f>
        <v>46678031.270073116</v>
      </c>
      <c r="BS143">
        <f>IF(AX143&lt;&gt;-999,AX143*$BQ143, -999)</f>
        <v>9795823.3200174775</v>
      </c>
      <c r="BT143" s="25">
        <f>IF(AY143&lt;&gt;-999,AY143*$BQ143, -999)</f>
        <v>56473854.590090588</v>
      </c>
      <c r="BU143">
        <f>-25.871-(0.1023*E143)+F143*(100-8.576-13.681)</f>
        <v>18.377458635095515</v>
      </c>
      <c r="BV143">
        <f>IF(AZ143&lt;&gt;-999,AZ143*$BU143, -999)</f>
        <v>49589494.492549688</v>
      </c>
      <c r="BW143">
        <f>IF(BA143&lt;&gt;-999,BA143*$BU143, -999)</f>
        <v>10406821.773924246</v>
      </c>
      <c r="BX143" s="25">
        <f>IF(BB143&lt;&gt;-999,BB143*$BU143, -999)</f>
        <v>59996316.266473927</v>
      </c>
      <c r="BY143">
        <f>-25.245-(0.1023*E143)+F143*(100-8.576-13.681)</f>
        <v>19.003458635095512</v>
      </c>
      <c r="BZ143">
        <f>IF(BC143&lt;&gt;-999,BC143*$BY143, -999)</f>
        <v>40470038.56032753</v>
      </c>
      <c r="CA143">
        <f>IF(BD143&lt;&gt;-999,BD143*$BY143, -999)</f>
        <v>8493019.5030302703</v>
      </c>
      <c r="CB143" s="25">
        <f>IF(BE143&lt;&gt;-999,BE143*$BY143, -999)</f>
        <v>48963054.899881542</v>
      </c>
      <c r="CC143">
        <f>-29.317-(0.1023*E143)+F143*(100-8.576-13.681)</f>
        <v>14.93145863509551</v>
      </c>
      <c r="CD143">
        <f>IF(BF143&lt;&gt;-999,BF143*$CC143, -999)</f>
        <v>16056519.891801028</v>
      </c>
      <c r="CE143">
        <f>IF(BG143&lt;&gt;-999,BG143*$CC143, -999)</f>
        <v>3369611.4170266832</v>
      </c>
      <c r="CF143" s="25">
        <f>IF(BH143&lt;&gt;-999,BH143*$CC143, -999)</f>
        <v>19426133.794444446</v>
      </c>
      <c r="CG143">
        <f>-38.03-(0.1023*E143)+F143*(100-8.576-13.681)</f>
        <v>6.2184586350955158</v>
      </c>
      <c r="CH143">
        <f>IF(BI143&lt;&gt;-999,BI143*$CG143, -999)</f>
        <v>9395664.3300630506</v>
      </c>
      <c r="CI143">
        <f>IF(BJ143&lt;&gt;-999,BJ143*$CG143, -999)</f>
        <v>1971769.2133146594</v>
      </c>
      <c r="CJ143" s="25">
        <f>IF(BK143&lt;&gt;-999,BK143*$CG143, -999)</f>
        <v>11367433.543377711</v>
      </c>
      <c r="CK143" s="26">
        <f t="shared" si="84"/>
        <v>320827148.96613532</v>
      </c>
      <c r="CL143">
        <f t="shared" si="85"/>
        <v>-27.41936445243411</v>
      </c>
      <c r="CM143">
        <f t="shared" si="86"/>
        <v>30.443860187931513</v>
      </c>
      <c r="CN143">
        <f t="shared" si="87"/>
        <v>-84.283081306625505</v>
      </c>
      <c r="CO143" s="22">
        <f t="shared" si="88"/>
        <v>-40.08</v>
      </c>
      <c r="CP143">
        <f>IF(AT143&lt;&gt;-999,AT143*$CO143, -999)</f>
        <v>-152436208.97690907</v>
      </c>
      <c r="CQ143">
        <f>IF(AU143&lt;&gt;-999,AU143*$CO143, -999)</f>
        <v>-31990176.979634844</v>
      </c>
      <c r="CR143" s="27">
        <f>IF(AV143&lt;&gt;-999,AV143*$CO143, -999)</f>
        <v>-184426385.95654392</v>
      </c>
      <c r="CS143">
        <f t="shared" si="89"/>
        <v>-42.853000000000002</v>
      </c>
      <c r="CT143">
        <f>IF(AW143&lt;&gt;-999,AW143*$CS143, -999)</f>
        <v>-82298125.044558853</v>
      </c>
      <c r="CU143">
        <f>IF(AX143&lt;&gt;-999,AX143*$CS143, -999)</f>
        <v>-17271034.586715147</v>
      </c>
      <c r="CV143" s="27">
        <f>IF(AY143&lt;&gt;-999,AY143*$CS143, -999)</f>
        <v>-99569159.631274</v>
      </c>
      <c r="CW143">
        <f t="shared" si="90"/>
        <v>-48.780999999999999</v>
      </c>
      <c r="CX143">
        <f>IF(AZ143&lt;&gt;-999,AZ143*$CO143, -999)</f>
        <v>-108151348.8195677</v>
      </c>
      <c r="CY143">
        <f>IF(BA143&lt;&gt;-999,BA143*$CO143, -999)</f>
        <v>-22696577.637907762</v>
      </c>
      <c r="CZ143" s="27">
        <f>IF(BB143&lt;&gt;-999,BB143*$CO143, -999)</f>
        <v>-130847926.45747544</v>
      </c>
      <c r="DA143">
        <f t="shared" si="91"/>
        <v>-48.155000000000001</v>
      </c>
      <c r="DB143">
        <f>IF(BC143&lt;&gt;-999,BC143*$DA143, -999)</f>
        <v>-102551579.91469364</v>
      </c>
      <c r="DC143">
        <f>IF(BD143&lt;&gt;-999,BD143*$DA143, -999)</f>
        <v>-21521416.812680487</v>
      </c>
      <c r="DD143" s="27">
        <f>IF(BE143&lt;&gt;-999,BE143*$DA143, -999)</f>
        <v>-124072988.71108602</v>
      </c>
      <c r="DE143">
        <f t="shared" si="92"/>
        <v>-52.227000000000004</v>
      </c>
      <c r="DF143">
        <f>IF(BF143&lt;&gt;-999,BF143*$DE143, -999)</f>
        <v>-56162219.973476037</v>
      </c>
      <c r="DG143">
        <f>IF(BG143&lt;&gt;-999,BG143*$DE143, -999)</f>
        <v>-11786169.039333571</v>
      </c>
      <c r="DH143" s="27">
        <f>IF(BH143&lt;&gt;-999,BH143*$DE143, -999)</f>
        <v>-67948397.706957206</v>
      </c>
      <c r="DI143">
        <f t="shared" si="93"/>
        <v>-60.94</v>
      </c>
      <c r="DJ143">
        <f>IF(BI143&lt;&gt;-999,BI143*$DI143, -999)</f>
        <v>-92076158.719233423</v>
      </c>
      <c r="DK143">
        <f>IF(BJ143&lt;&gt;-999,BJ143*$DI143, -999)</f>
        <v>-19323054.620198447</v>
      </c>
      <c r="DL143" s="27">
        <f>IF(BK143&lt;&gt;-999,BK143*$DI143, -999)</f>
        <v>-111399213.33943187</v>
      </c>
      <c r="DM143" s="28">
        <f t="shared" si="94"/>
        <v>-718264071.80276847</v>
      </c>
      <c r="DN143" s="22">
        <f t="shared" si="95"/>
        <v>-17.170000000000002</v>
      </c>
      <c r="DO143">
        <f>IF(AT143&lt;&gt;-999,AT143*$DN143, -999)</f>
        <v>-65302637.428481266</v>
      </c>
      <c r="DP143">
        <f>IF(AU143&lt;&gt;-999,AU143*$DN143, -999)</f>
        <v>-13704374.719070118</v>
      </c>
      <c r="DQ143" s="24">
        <f>IF(AV143&lt;&gt;-999,AV143*$DN143, -999)</f>
        <v>-79007012.147551388</v>
      </c>
      <c r="DR143">
        <f t="shared" si="96"/>
        <v>-19.943000000000001</v>
      </c>
      <c r="DS143">
        <f>IF(AW143&lt;&gt;-999,AW143*$DR143, -999)</f>
        <v>-38300037.518111624</v>
      </c>
      <c r="DT143">
        <f>IF(AX143&lt;&gt;-999,AX143*$DR143, -999)</f>
        <v>-8037622.6346547548</v>
      </c>
      <c r="DU143" s="24">
        <f>IF(AY143&lt;&gt;-999,AY143*$DR143, -999)</f>
        <v>-46337660.152766377</v>
      </c>
      <c r="DV143">
        <f t="shared" si="97"/>
        <v>-25.870999999999999</v>
      </c>
      <c r="DW143">
        <f>IF(AZ143&lt;&gt;-999,AZ143*$DV143, -999)</f>
        <v>-69809968.695385128</v>
      </c>
      <c r="DX143">
        <f>IF(BA143&lt;&gt;-999,BA143*$DV143, -999)</f>
        <v>-14650278.444868058</v>
      </c>
      <c r="DY143" s="24">
        <f>IF(BB143&lt;&gt;-999,BB143*$DV143, -999)</f>
        <v>-84460247.140253171</v>
      </c>
      <c r="DZ143">
        <f t="shared" si="98"/>
        <v>-25.245000000000001</v>
      </c>
      <c r="EA143">
        <f>IF(BC143&lt;&gt;-999, BC143*$DZ143, -999)</f>
        <v>-53762114.732560292</v>
      </c>
      <c r="EB143">
        <f>IF(BD143&lt;&gt;-999, BD143*$DZ143, -999)</f>
        <v>-11282487.123582574</v>
      </c>
      <c r="EC143" s="24">
        <f>IF(BE143&lt;&gt;-999, BE143*$DZ143, -999)</f>
        <v>-65044597.653646909</v>
      </c>
      <c r="ED143">
        <f t="shared" si="99"/>
        <v>-29.317</v>
      </c>
      <c r="EE143">
        <f>IF(BF143&lt;&gt;-999,BF143*$ED143, -999)</f>
        <v>-31525988.530116547</v>
      </c>
      <c r="EF143">
        <f>IF(BG143&lt;&gt;-999,BG143*$ED143, -999)</f>
        <v>-6616024.6180355418</v>
      </c>
      <c r="EG143" s="24">
        <f>IF(BH143&lt;&gt;-999,BH143*$ED143, -999)</f>
        <v>-38142018.02850756</v>
      </c>
      <c r="EH143">
        <f t="shared" si="100"/>
        <v>-38.03</v>
      </c>
      <c r="EI143">
        <f>IF(BI143&lt;&gt;-999,BI143*$EH143, -999)</f>
        <v>-57460720.644772679</v>
      </c>
      <c r="EJ143">
        <f>IF(BJ143&lt;&gt;-999,BJ143*$EH143, -999)</f>
        <v>-12058676.849460896</v>
      </c>
      <c r="EK143" s="24">
        <f>IF(BK143&lt;&gt;-999,BK143*$EH143, -999)</f>
        <v>-69519397.494233578</v>
      </c>
      <c r="EL143" s="28">
        <f t="shared" si="101"/>
        <v>-382510932.61695898</v>
      </c>
      <c r="EM143" s="22">
        <f>-17.17-(0.1023*G143)+H143*(100+102.093-66.644-64.243)</f>
        <v>17.427797974404839</v>
      </c>
      <c r="EN143">
        <f>IF(AT143&lt;&gt;-999,AT143*$EM143, -999)</f>
        <v>66283120.110621974</v>
      </c>
      <c r="EO143">
        <f>IF(AU143&lt;&gt;-999,AU143*$EM143, -999)</f>
        <v>13910138.262638036</v>
      </c>
      <c r="EP143" s="23">
        <f>IF(AV143&lt;&gt;-999,AV143*$EM143, -999)</f>
        <v>80193258.373260021</v>
      </c>
      <c r="EQ143">
        <f>-19.943-(0.1023*G143)+H143*(100+102.093-66.644-64.243)</f>
        <v>14.654797974404843</v>
      </c>
      <c r="ER143">
        <f>IF(AW143&lt;&gt;-999,AW143*$EQ143, -999)</f>
        <v>28144176.515070532</v>
      </c>
      <c r="ES143">
        <f>IF(AX143&lt;&gt;-999,AX143*$EQ143, -999)</f>
        <v>5906319.806717596</v>
      </c>
      <c r="ET143" s="23">
        <f>IF(AY143&lt;&gt;-999,AY143*$EQ143, -999)</f>
        <v>34050496.321788125</v>
      </c>
      <c r="EU143">
        <f>-25.871-(0.1023*G143)+H143*(100+102.093-66.644-64.243)</f>
        <v>8.7267979744048461</v>
      </c>
      <c r="EV143">
        <f>IF(AZ143&lt;&gt;-999,AZ143*$EU143, -999)</f>
        <v>23548277.739714455</v>
      </c>
      <c r="EW143">
        <f>IF(BA143&lt;&gt;-999,BA143*$EU143, -999)</f>
        <v>4941827.5388327297</v>
      </c>
      <c r="EX143" s="23">
        <f>IF(BB143&lt;&gt;-999,BB143*$EU143, -999)</f>
        <v>28490105.278547179</v>
      </c>
      <c r="EY143">
        <f>-25.245-(0.1023*G143)+H143*(100+102.093-66.644-64.243)</f>
        <v>9.3527979744048366</v>
      </c>
      <c r="EZ143">
        <f>IF(BC143&lt;&gt;-999, BC143*$EY143, -999)</f>
        <v>19917852.951887913</v>
      </c>
      <c r="FA143">
        <f>IF(BD143&lt;&gt;-999, BD143*$EY143, -999)</f>
        <v>4179949.4044639235</v>
      </c>
      <c r="FB143" s="23">
        <f>IF(BE143&lt;&gt;-999, BE143*$EY143, -999)</f>
        <v>24097800.799406074</v>
      </c>
      <c r="FC143">
        <f>-29.317-(0.1023*G143)+H143*(100+102.093-66.644-64.243)</f>
        <v>5.280797974404841</v>
      </c>
      <c r="FD143">
        <f>IF(BF143&lt;&gt;-999,BF143*$FC143, -999)</f>
        <v>5678697.5601510974</v>
      </c>
      <c r="FE143">
        <f>IF(BG143&lt;&gt;-999,BG143*$FC143, -999)</f>
        <v>1191727.9872270236</v>
      </c>
      <c r="FF143" s="23">
        <f>IF(BH143&lt;&gt;-999,BH143*$FC143, -999)</f>
        <v>6870426.4264643602</v>
      </c>
      <c r="FG143">
        <f>-38.03-(0.1023*G143)+H143*(100+102.093-66.644-64.243)</f>
        <v>-3.43220202559516</v>
      </c>
      <c r="FH143">
        <f>IF(BI143&lt;&gt;-999,BI143*$FG143, -999)</f>
        <v>-5185821.7667406369</v>
      </c>
      <c r="FI143">
        <f>IF(BJ143&lt;&gt;-999,BJ143*$FG143, -999)</f>
        <v>-1088293.8498216448</v>
      </c>
      <c r="FJ143" s="23">
        <f>IF(BK143&lt;&gt;-999,BK143*$FG143, -999)</f>
        <v>-6274115.6165622817</v>
      </c>
      <c r="FK143" s="28">
        <f t="shared" si="102"/>
        <v>167427971.58290347</v>
      </c>
      <c r="FL143" s="22">
        <f t="shared" si="104"/>
        <v>10.012280000000011</v>
      </c>
      <c r="FM143">
        <f>IF(AT143&lt;&gt;-999,AT143*$FL143, -999)</f>
        <v>38079690.778825574</v>
      </c>
      <c r="FN143">
        <f>IF(AU143&lt;&gt;-999,AU143*$FL143, -999)</f>
        <v>7991382.4643128421</v>
      </c>
      <c r="FO143" s="29">
        <f>IF(AV143&lt;&gt;-999,AV143*$FL143, -999)</f>
        <v>46071073.243138418</v>
      </c>
      <c r="FP143">
        <f t="shared" si="105"/>
        <v>7.2392800000000115</v>
      </c>
      <c r="FQ143">
        <f>IF(AW143&lt;&gt;-999,AW143*$FP143, -999)</f>
        <v>13902857.925292861</v>
      </c>
      <c r="FR143">
        <f>IF(AX143&lt;&gt;-999,AX143*$FP143, -999)</f>
        <v>2917645.3285164498</v>
      </c>
      <c r="FS143" s="29">
        <f>IF(AY143&lt;&gt;-999,AY143*$FP143, -999)</f>
        <v>16820503.25380931</v>
      </c>
      <c r="FT143">
        <f t="shared" si="106"/>
        <v>1.3112800000000142</v>
      </c>
      <c r="FU143">
        <f>IF(AZ143&lt;&gt;-999,AZ143*$FT143, -999)</f>
        <v>3538340.8353324416</v>
      </c>
      <c r="FV143">
        <f>IF(BA143&lt;&gt;-999,BA143*$FT143, -999)</f>
        <v>742554.09992604831</v>
      </c>
      <c r="FW143" s="29">
        <f>IF(BB143&lt;&gt;-999,BB143*$FT143, -999)</f>
        <v>4280894.9352584891</v>
      </c>
      <c r="FX143">
        <f t="shared" si="107"/>
        <v>1.9372800000000119</v>
      </c>
      <c r="FY143">
        <f>IF(BC143&lt;&gt;-999, BC143*$FX143, -999)</f>
        <v>4125659.3237906531</v>
      </c>
      <c r="FZ143">
        <f>IF(BD143&lt;&gt;-999, BD143*$FX143, -999)</f>
        <v>865808.54247471504</v>
      </c>
      <c r="GA143" s="29">
        <f>IF(BE143&lt;&gt;-999, BE143*$FX143, -999)</f>
        <v>4991467.5437693745</v>
      </c>
      <c r="GB143">
        <f t="shared" si="108"/>
        <v>-2.1347199999999873</v>
      </c>
      <c r="GC143">
        <f>IF(BF143&lt;&gt;-999,BF143*$GB143, -999)</f>
        <v>-2295567.6991168945</v>
      </c>
      <c r="GD143">
        <f>IF(BG143&lt;&gt;-999,BG143*$GB143, -999)</f>
        <v>-481746.42946456827</v>
      </c>
      <c r="GE143" s="29">
        <f>IF(BH143&lt;&gt;-999,BH143*$GB143, -999)</f>
        <v>-2777314.4839449865</v>
      </c>
      <c r="GF143">
        <f t="shared" si="109"/>
        <v>-10.847719999999988</v>
      </c>
      <c r="GG143">
        <f>IF(BI143&lt;&gt;-999,BI143*$GF143, -999)</f>
        <v>-16390160.624578301</v>
      </c>
      <c r="GH143">
        <f>IF(BJ143&lt;&gt;-999,BJ143*$GF143, -999)</f>
        <v>-3439630.5557042812</v>
      </c>
      <c r="GI143" s="29">
        <f>IF(BK143&lt;&gt;-999,BK143*$GF143, -999)</f>
        <v>-19829791.180282582</v>
      </c>
      <c r="GJ143" s="30">
        <f t="shared" si="103"/>
        <v>49556833.311748028</v>
      </c>
    </row>
    <row r="144" spans="1:192">
      <c r="A144" s="48" t="s">
        <v>146</v>
      </c>
      <c r="B144" s="48" t="s">
        <v>275</v>
      </c>
      <c r="C144" s="49">
        <v>63</v>
      </c>
      <c r="D144" s="50">
        <v>0.498</v>
      </c>
      <c r="E144" s="49">
        <v>93.833480894140095</v>
      </c>
      <c r="F144" s="49">
        <v>0.78941364730106101</v>
      </c>
      <c r="G144" s="49">
        <v>288.006119500007</v>
      </c>
      <c r="H144" s="49">
        <v>0.802657195812012</v>
      </c>
      <c r="I144" s="42">
        <v>17847.599999999999</v>
      </c>
      <c r="J144" s="43">
        <v>6737.8</v>
      </c>
      <c r="K144" s="43">
        <f t="shared" si="78"/>
        <v>24585.399999999998</v>
      </c>
      <c r="L144" s="43">
        <v>18051</v>
      </c>
      <c r="M144" s="43">
        <v>6814.6</v>
      </c>
      <c r="N144" s="43">
        <f t="shared" si="79"/>
        <v>24865.599999999999</v>
      </c>
      <c r="O144" s="43">
        <v>38530.6</v>
      </c>
      <c r="P144" s="43">
        <v>14546</v>
      </c>
      <c r="Q144" s="43">
        <f t="shared" si="80"/>
        <v>53076.6</v>
      </c>
      <c r="R144" s="43">
        <v>38054.9</v>
      </c>
      <c r="S144" s="43">
        <v>14366.4</v>
      </c>
      <c r="T144" s="43">
        <f t="shared" si="81"/>
        <v>52421.3</v>
      </c>
      <c r="U144" s="43">
        <v>38488.6</v>
      </c>
      <c r="V144" s="43">
        <v>14530.1</v>
      </c>
      <c r="W144" s="43">
        <f t="shared" si="82"/>
        <v>53018.7</v>
      </c>
      <c r="X144" s="43">
        <v>82155.600000000006</v>
      </c>
      <c r="Y144" s="43">
        <v>31015.1</v>
      </c>
      <c r="Z144" s="43">
        <f t="shared" si="83"/>
        <v>113170.70000000001</v>
      </c>
      <c r="AA144" s="22">
        <v>368591.4</v>
      </c>
      <c r="AB144">
        <v>109572.9</v>
      </c>
      <c r="AC144">
        <v>478164.2</v>
      </c>
      <c r="AD144">
        <v>372792.6</v>
      </c>
      <c r="AE144">
        <v>110821.8</v>
      </c>
      <c r="AF144">
        <v>483614.4</v>
      </c>
      <c r="AG144">
        <v>795740.9</v>
      </c>
      <c r="AH144">
        <v>236553.60000000001</v>
      </c>
      <c r="AI144">
        <v>1032294.5</v>
      </c>
      <c r="AJ144">
        <v>785916</v>
      </c>
      <c r="AK144">
        <v>233632.9</v>
      </c>
      <c r="AL144">
        <v>1019548.9</v>
      </c>
      <c r="AM144">
        <v>794873.9</v>
      </c>
      <c r="AN144">
        <v>236295.9</v>
      </c>
      <c r="AO144">
        <v>1031169.8</v>
      </c>
      <c r="AP144">
        <v>1696690.5</v>
      </c>
      <c r="AQ144">
        <v>504383.1</v>
      </c>
      <c r="AR144">
        <v>2201073.7000000002</v>
      </c>
      <c r="AS144">
        <v>6245865.4000000004</v>
      </c>
      <c r="AT144" s="22">
        <f t="shared" si="77"/>
        <v>613588.38119851507</v>
      </c>
      <c r="AU144">
        <f t="shared" si="77"/>
        <v>182404.30551072748</v>
      </c>
      <c r="AV144">
        <f t="shared" si="77"/>
        <v>795992.5202407951</v>
      </c>
      <c r="AW144">
        <f t="shared" si="77"/>
        <v>620582.05361488496</v>
      </c>
      <c r="AX144">
        <f t="shared" si="77"/>
        <v>184483.329951555</v>
      </c>
      <c r="AY144">
        <f t="shared" si="77"/>
        <v>805065.38356643997</v>
      </c>
      <c r="AZ144">
        <f t="shared" si="77"/>
        <v>1324657.5223525276</v>
      </c>
      <c r="BA144">
        <f t="shared" si="76"/>
        <v>393787.10542536003</v>
      </c>
      <c r="BB144">
        <f t="shared" si="76"/>
        <v>1718444.6277778875</v>
      </c>
      <c r="BC144">
        <f t="shared" si="76"/>
        <v>1308302.1638540998</v>
      </c>
      <c r="BD144">
        <f t="shared" si="76"/>
        <v>388925.0614792275</v>
      </c>
      <c r="BE144">
        <f t="shared" si="76"/>
        <v>1697227.2253333274</v>
      </c>
      <c r="BF144">
        <f t="shared" si="76"/>
        <v>1323214.2409127026</v>
      </c>
      <c r="BG144">
        <f t="shared" si="76"/>
        <v>393358.11623615248</v>
      </c>
      <c r="BH144">
        <f t="shared" si="76"/>
        <v>1716572.3571488552</v>
      </c>
      <c r="BI144">
        <f t="shared" si="76"/>
        <v>2824454.3342299876</v>
      </c>
      <c r="BJ144">
        <f t="shared" si="75"/>
        <v>839638.71602237248</v>
      </c>
      <c r="BK144">
        <f t="shared" si="75"/>
        <v>3664093.2167208078</v>
      </c>
      <c r="BL144">
        <f t="shared" si="75"/>
        <v>10397395.164319664</v>
      </c>
      <c r="BM144" s="22">
        <f>-17.17-(0.1023*E144)+F144*(100-8.576-13.681)</f>
        <v>34.602220086655862</v>
      </c>
      <c r="BN144">
        <f>IF(AT144&lt;&gt;-999,AT144*$BM144, -999)</f>
        <v>21231520.208845913</v>
      </c>
      <c r="BO144">
        <f>IF(AU144&lt;&gt;-999,AU144*$BM144, -999)</f>
        <v>6311593.9240358071</v>
      </c>
      <c r="BP144" s="25">
        <f>IF(AV144&lt;&gt;-999,AV144*$BM144, -999)</f>
        <v>27543108.372703861</v>
      </c>
      <c r="BQ144">
        <f>-19.943-(0.1023*E144)+F144*(100-8.576-13.681)</f>
        <v>31.829220086655862</v>
      </c>
      <c r="BR144">
        <f>IF(AW144&lt;&gt;-999,AW144*$BQ144, -999)</f>
        <v>19752642.766337041</v>
      </c>
      <c r="BS144">
        <f>IF(AX144&lt;&gt;-999,AX144*$BQ144, -999)</f>
        <v>5871960.5113471951</v>
      </c>
      <c r="BT144" s="25">
        <f>IF(AY144&lt;&gt;-999,AY144*$BQ144, -999)</f>
        <v>25624603.277684238</v>
      </c>
      <c r="BU144">
        <f>-25.871-(0.1023*E144)+F144*(100-8.576-13.681)</f>
        <v>25.901220086655862</v>
      </c>
      <c r="BV144">
        <f>IF(AZ144&lt;&gt;-999,AZ144*$BU144, -999)</f>
        <v>34310246.025897071</v>
      </c>
      <c r="BW144">
        <f>IF(BA144&lt;&gt;-999,BA144*$BU144, -999)</f>
        <v>10199566.484909404</v>
      </c>
      <c r="BX144" s="25">
        <f>IF(BB144&lt;&gt;-999,BB144*$BU144, -999)</f>
        <v>44509812.510806479</v>
      </c>
      <c r="BY144">
        <f>-25.245-(0.1023*E144)+F144*(100-8.576-13.681)</f>
        <v>26.527220086655866</v>
      </c>
      <c r="BZ144">
        <f>IF(BC144&lt;&gt;-999,BC144*$BY144, -999)</f>
        <v>34705619.440405808</v>
      </c>
      <c r="CA144">
        <f>IF(BD144&lt;&gt;-999,BD144*$BY144, -999)</f>
        <v>10317100.703075631</v>
      </c>
      <c r="CB144" s="25">
        <f>IF(BE144&lt;&gt;-999,BE144*$BY144, -999)</f>
        <v>45022720.143481448</v>
      </c>
      <c r="CC144">
        <f>-29.317-(0.1023*E144)+F144*(100-8.576-13.681)</f>
        <v>22.455220086655864</v>
      </c>
      <c r="CD144">
        <f>IF(BF144&lt;&gt;-999,BF144*$CC144, -999)</f>
        <v>29713067.001492012</v>
      </c>
      <c r="CE144">
        <f>IF(BG144&lt;&gt;-999,BG144*$CC144, -999)</f>
        <v>8832943.0729551632</v>
      </c>
      <c r="CF144" s="25">
        <f>IF(BH144&lt;&gt;-999,BH144*$CC144, -999)</f>
        <v>38546010.074447177</v>
      </c>
      <c r="CG144">
        <f>-38.03-(0.1023*E144)+F144*(100-8.576-13.681)</f>
        <v>13.742220086655863</v>
      </c>
      <c r="CH144">
        <f>IF(BI144&lt;&gt;-999,BI144*$CG144, -999)</f>
        <v>38814273.085697547</v>
      </c>
      <c r="CI144">
        <f>IF(BJ144&lt;&gt;-999,BJ144*$CG144, -999)</f>
        <v>11538500.028856585</v>
      </c>
      <c r="CJ144" s="25">
        <f>IF(BK144&lt;&gt;-999,BK144*$CG144, -999)</f>
        <v>50352775.402200177</v>
      </c>
      <c r="CK144" s="26">
        <f t="shared" si="84"/>
        <v>231599029.78132337</v>
      </c>
      <c r="CL144">
        <f t="shared" si="85"/>
        <v>-36.300177295542994</v>
      </c>
      <c r="CM144">
        <f t="shared" si="86"/>
        <v>21.267867233928527</v>
      </c>
      <c r="CN144">
        <f t="shared" si="87"/>
        <v>-92.873812870110001</v>
      </c>
      <c r="CO144" s="22">
        <f t="shared" si="88"/>
        <v>-40.08</v>
      </c>
      <c r="CP144">
        <f>IF(AT144&lt;&gt;-999,AT144*$CO144, -999)</f>
        <v>-24592622.318436481</v>
      </c>
      <c r="CQ144">
        <f>IF(AU144&lt;&gt;-999,AU144*$CO144, -999)</f>
        <v>-7310764.564869957</v>
      </c>
      <c r="CR144" s="27">
        <f>IF(AV144&lt;&gt;-999,AV144*$CO144, -999)</f>
        <v>-31903380.211251065</v>
      </c>
      <c r="CS144">
        <f t="shared" si="89"/>
        <v>-42.853000000000002</v>
      </c>
      <c r="CT144">
        <f>IF(AW144&lt;&gt;-999,AW144*$CS144, -999)</f>
        <v>-26593802.743558668</v>
      </c>
      <c r="CU144">
        <f>IF(AX144&lt;&gt;-999,AX144*$CS144, -999)</f>
        <v>-7905664.1384139871</v>
      </c>
      <c r="CV144" s="27">
        <f>IF(AY144&lt;&gt;-999,AY144*$CS144, -999)</f>
        <v>-34499466.881972656</v>
      </c>
      <c r="CW144">
        <f t="shared" si="90"/>
        <v>-48.780999999999999</v>
      </c>
      <c r="CX144">
        <f>IF(AZ144&lt;&gt;-999,AZ144*$CO144, -999)</f>
        <v>-53092273.495889306</v>
      </c>
      <c r="CY144">
        <f>IF(BA144&lt;&gt;-999,BA144*$CO144, -999)</f>
        <v>-15782987.185448429</v>
      </c>
      <c r="CZ144" s="27">
        <f>IF(BB144&lt;&gt;-999,BB144*$CO144, -999)</f>
        <v>-68875260.681337729</v>
      </c>
      <c r="DA144">
        <f t="shared" si="91"/>
        <v>-48.155000000000001</v>
      </c>
      <c r="DB144">
        <f>IF(BC144&lt;&gt;-999,BC144*$DA144, -999)</f>
        <v>-63001290.700394176</v>
      </c>
      <c r="DC144">
        <f>IF(BD144&lt;&gt;-999,BD144*$DA144, -999)</f>
        <v>-18728686.3355322</v>
      </c>
      <c r="DD144" s="27">
        <f>IF(BE144&lt;&gt;-999,BE144*$DA144, -999)</f>
        <v>-81729977.035926387</v>
      </c>
      <c r="DE144">
        <f t="shared" si="92"/>
        <v>-52.227000000000004</v>
      </c>
      <c r="DF144">
        <f>IF(BF144&lt;&gt;-999,BF144*$DE144, -999)</f>
        <v>-69107510.160147727</v>
      </c>
      <c r="DG144">
        <f>IF(BG144&lt;&gt;-999,BG144*$DE144, -999)</f>
        <v>-20543914.336665537</v>
      </c>
      <c r="DH144" s="27">
        <f>IF(BH144&lt;&gt;-999,BH144*$DE144, -999)</f>
        <v>-89651424.496813267</v>
      </c>
      <c r="DI144">
        <f t="shared" si="93"/>
        <v>-60.94</v>
      </c>
      <c r="DJ144">
        <f>IF(BI144&lt;&gt;-999,BI144*$DI144, -999)</f>
        <v>-172122247.12797543</v>
      </c>
      <c r="DK144">
        <f>IF(BJ144&lt;&gt;-999,BJ144*$DI144, -999)</f>
        <v>-51167583.354403377</v>
      </c>
      <c r="DL144" s="27">
        <f>IF(BK144&lt;&gt;-999,BK144*$DI144, -999)</f>
        <v>-223289840.62696603</v>
      </c>
      <c r="DM144" s="28">
        <f t="shared" si="94"/>
        <v>-529949349.93426716</v>
      </c>
      <c r="DN144" s="22">
        <f t="shared" si="95"/>
        <v>-17.170000000000002</v>
      </c>
      <c r="DO144">
        <f>IF(AT144&lt;&gt;-999,AT144*$DN144, -999)</f>
        <v>-10535312.505178506</v>
      </c>
      <c r="DP144">
        <f>IF(AU144&lt;&gt;-999,AU144*$DN144, -999)</f>
        <v>-3131881.925619191</v>
      </c>
      <c r="DQ144" s="24">
        <f>IF(AV144&lt;&gt;-999,AV144*$DN144, -999)</f>
        <v>-13667191.572534453</v>
      </c>
      <c r="DR144">
        <f t="shared" si="96"/>
        <v>-19.943000000000001</v>
      </c>
      <c r="DS144">
        <f>IF(AW144&lt;&gt;-999,AW144*$DR144, -999)</f>
        <v>-12376267.895241652</v>
      </c>
      <c r="DT144">
        <f>IF(AX144&lt;&gt;-999,AX144*$DR144, -999)</f>
        <v>-3679151.0492238617</v>
      </c>
      <c r="DU144" s="24">
        <f>IF(AY144&lt;&gt;-999,AY144*$DR144, -999)</f>
        <v>-16055418.944465514</v>
      </c>
      <c r="DV144">
        <f t="shared" si="97"/>
        <v>-25.870999999999999</v>
      </c>
      <c r="DW144">
        <f>IF(AZ144&lt;&gt;-999,AZ144*$DV144, -999)</f>
        <v>-34270214.760782242</v>
      </c>
      <c r="DX144">
        <f>IF(BA144&lt;&gt;-999,BA144*$DV144, -999)</f>
        <v>-10187666.204459488</v>
      </c>
      <c r="DY144" s="24">
        <f>IF(BB144&lt;&gt;-999,BB144*$DV144, -999)</f>
        <v>-44457880.965241723</v>
      </c>
      <c r="DZ144">
        <f t="shared" si="98"/>
        <v>-25.245000000000001</v>
      </c>
      <c r="EA144">
        <f>IF(BC144&lt;&gt;-999, BC144*$DZ144, -999)</f>
        <v>-33028088.126496751</v>
      </c>
      <c r="EB144">
        <f>IF(BD144&lt;&gt;-999, BD144*$DZ144, -999)</f>
        <v>-9818413.177043099</v>
      </c>
      <c r="EC144" s="24">
        <f>IF(BE144&lt;&gt;-999, BE144*$DZ144, -999)</f>
        <v>-42846501.30353985</v>
      </c>
      <c r="ED144">
        <f t="shared" si="99"/>
        <v>-29.317</v>
      </c>
      <c r="EE144">
        <f>IF(BF144&lt;&gt;-999,BF144*$ED144, -999)</f>
        <v>-38792671.900837705</v>
      </c>
      <c r="EF144">
        <f>IF(BG144&lt;&gt;-999,BG144*$ED144, -999)</f>
        <v>-11532079.893695282</v>
      </c>
      <c r="EG144" s="24">
        <f>IF(BH144&lt;&gt;-999,BH144*$ED144, -999)</f>
        <v>-50324751.794532992</v>
      </c>
      <c r="EH144">
        <f t="shared" si="100"/>
        <v>-38.03</v>
      </c>
      <c r="EI144">
        <f>IF(BI144&lt;&gt;-999,BI144*$EH144, -999)</f>
        <v>-107413998.33076642</v>
      </c>
      <c r="EJ144">
        <f>IF(BJ144&lt;&gt;-999,BJ144*$EH144, -999)</f>
        <v>-31931460.370330825</v>
      </c>
      <c r="EK144" s="24">
        <f>IF(BK144&lt;&gt;-999,BK144*$EH144, -999)</f>
        <v>-139345465.03189233</v>
      </c>
      <c r="EL144" s="28">
        <f t="shared" si="101"/>
        <v>-306697209.61220682</v>
      </c>
      <c r="EM144" s="22">
        <f>-17.17-(0.1023*G144)+H144*(100+102.093-66.644-64.243)</f>
        <v>10.520982260139419</v>
      </c>
      <c r="EN144">
        <f>IF(AT144&lt;&gt;-999,AT144*$EM144, -999)</f>
        <v>6455552.4736172408</v>
      </c>
      <c r="EO144">
        <f>IF(AU144&lt;&gt;-999,AU144*$EM144, -999)</f>
        <v>1919072.4624514149</v>
      </c>
      <c r="EP144" s="23">
        <f>IF(AV144&lt;&gt;-999,AV144*$EM144, -999)</f>
        <v>8374623.1846570726</v>
      </c>
      <c r="EQ144">
        <f>-19.943-(0.1023*G144)+H144*(100+102.093-66.644-64.243)</f>
        <v>7.7479822601394233</v>
      </c>
      <c r="ER144">
        <f>IF(AW144&lt;&gt;-999,AW144*$EQ144, -999)</f>
        <v>4808258.7423690213</v>
      </c>
      <c r="ES144">
        <f>IF(AX144&lt;&gt;-999,AX144*$EQ144, -999)</f>
        <v>1429373.5677560961</v>
      </c>
      <c r="ET144" s="23">
        <f>IF(AY144&lt;&gt;-999,AY144*$EQ144, -999)</f>
        <v>6237632.3101251172</v>
      </c>
      <c r="EU144">
        <f>-25.871-(0.1023*G144)+H144*(100+102.093-66.644-64.243)</f>
        <v>1.819982260139426</v>
      </c>
      <c r="EV144">
        <f>IF(AZ144&lt;&gt;-999,AZ144*$EU144, -999)</f>
        <v>2410853.1914418451</v>
      </c>
      <c r="EW144">
        <f>IF(BA144&lt;&gt;-999,BA144*$EU144, -999)</f>
        <v>716685.54614580912</v>
      </c>
      <c r="EX144" s="23">
        <f>IF(BB144&lt;&gt;-999,BB144*$EU144, -999)</f>
        <v>3127538.7375876545</v>
      </c>
      <c r="EY144">
        <f>-25.245-(0.1023*G144)+H144*(100+102.093-66.644-64.243)</f>
        <v>2.4459822601394237</v>
      </c>
      <c r="EZ144">
        <f>IF(BC144&lt;&gt;-999, BC144*$EY144, -999)</f>
        <v>3200083.8836891497</v>
      </c>
      <c r="FA144">
        <f>IF(BD144&lt;&gt;-999, BD144*$EY144, -999)</f>
        <v>951303.80090182519</v>
      </c>
      <c r="FB144" s="23">
        <f>IF(BE144&lt;&gt;-999, BE144*$EY144, -999)</f>
        <v>4151387.6845909753</v>
      </c>
      <c r="FC144">
        <f>-29.317-(0.1023*G144)+H144*(100+102.093-66.644-64.243)</f>
        <v>-1.626017739860572</v>
      </c>
      <c r="FD144">
        <f>IF(BF144&lt;&gt;-999,BF144*$FC144, -999)</f>
        <v>-2151569.829360195</v>
      </c>
      <c r="FE144">
        <f>IF(BG144&lt;&gt;-999,BG144*$FC144, -999)</f>
        <v>-639607.27511812083</v>
      </c>
      <c r="FF144" s="23">
        <f>IF(BH144&lt;&gt;-999,BH144*$FC144, -999)</f>
        <v>-2791177.1044783159</v>
      </c>
      <c r="FG144">
        <f>-38.03-(0.1023*G144)+H144*(100+102.093-66.644-64.243)</f>
        <v>-10.33901773986058</v>
      </c>
      <c r="FH144">
        <f>IF(BI144&lt;&gt;-999,BI144*$FG144, -999)</f>
        <v>-29202083.467029944</v>
      </c>
      <c r="FI144">
        <f>IF(BJ144&lt;&gt;-999,BJ144*$FG144, -999)</f>
        <v>-8681039.5800290685</v>
      </c>
      <c r="FJ144" s="23">
        <f>IF(BK144&lt;&gt;-999,BK144*$FG144, -999)</f>
        <v>-37883124.768179253</v>
      </c>
      <c r="FK144" s="28">
        <f t="shared" si="102"/>
        <v>-18783119.955696747</v>
      </c>
      <c r="FL144" s="22">
        <f t="shared" si="104"/>
        <v>10.012280000000011</v>
      </c>
      <c r="FM144">
        <f>IF(AT144&lt;&gt;-999,AT144*$FL144, -999)</f>
        <v>6143418.6773062749</v>
      </c>
      <c r="FN144">
        <f>IF(AU144&lt;&gt;-999,AU144*$FL144, -999)</f>
        <v>1826282.9799789486</v>
      </c>
      <c r="FO144" s="29">
        <f>IF(AV144&lt;&gt;-999,AV144*$FL144, -999)</f>
        <v>7969699.9905565167</v>
      </c>
      <c r="FP144">
        <f t="shared" si="105"/>
        <v>7.2392800000000115</v>
      </c>
      <c r="FQ144">
        <f>IF(AW144&lt;&gt;-999,AW144*$FP144, -999)</f>
        <v>4492567.2490931712</v>
      </c>
      <c r="FR144">
        <f>IF(AX144&lt;&gt;-999,AX144*$FP144, -999)</f>
        <v>1335526.4808516952</v>
      </c>
      <c r="FS144" s="29">
        <f>IF(AY144&lt;&gt;-999,AY144*$FP144, -999)</f>
        <v>5828093.7299448671</v>
      </c>
      <c r="FT144">
        <f t="shared" si="106"/>
        <v>1.3112800000000142</v>
      </c>
      <c r="FU144">
        <f>IF(AZ144&lt;&gt;-999,AZ144*$FT144, -999)</f>
        <v>1736996.9159104412</v>
      </c>
      <c r="FV144">
        <f>IF(BA144&lt;&gt;-999,BA144*$FT144, -999)</f>
        <v>516365.15560217173</v>
      </c>
      <c r="FW144" s="29">
        <f>IF(BB144&lt;&gt;-999,BB144*$FT144, -999)</f>
        <v>2253362.071512613</v>
      </c>
      <c r="FX144">
        <f t="shared" si="107"/>
        <v>1.9372800000000119</v>
      </c>
      <c r="FY144">
        <f>IF(BC144&lt;&gt;-999, BC144*$FX144, -999)</f>
        <v>2534547.615991286</v>
      </c>
      <c r="FZ144">
        <f>IF(BD144&lt;&gt;-999, BD144*$FX144, -999)</f>
        <v>753456.74310248252</v>
      </c>
      <c r="GA144" s="29">
        <f>IF(BE144&lt;&gt;-999, BE144*$FX144, -999)</f>
        <v>3288004.3590937685</v>
      </c>
      <c r="GB144">
        <f t="shared" si="108"/>
        <v>-2.1347199999999873</v>
      </c>
      <c r="GC144">
        <f>IF(BF144&lt;&gt;-999,BF144*$GB144, -999)</f>
        <v>-2824691.9043611479</v>
      </c>
      <c r="GD144">
        <f>IF(BG144&lt;&gt;-999,BG144*$GB144, -999)</f>
        <v>-839709.43789163441</v>
      </c>
      <c r="GE144" s="29">
        <f>IF(BH144&lt;&gt;-999,BH144*$GB144, -999)</f>
        <v>-3664401.3422527825</v>
      </c>
      <c r="GF144">
        <f t="shared" si="109"/>
        <v>-10.847719999999988</v>
      </c>
      <c r="GG144">
        <f>IF(BI144&lt;&gt;-999,BI144*$GF144, -999)</f>
        <v>-30638889.770513289</v>
      </c>
      <c r="GH144">
        <f>IF(BJ144&lt;&gt;-999,BJ144*$GF144, -999)</f>
        <v>-9108165.6925702002</v>
      </c>
      <c r="GI144" s="29">
        <f>IF(BK144&lt;&gt;-999,BK144*$GF144, -999)</f>
        <v>-39747057.268886596</v>
      </c>
      <c r="GJ144" s="30">
        <f t="shared" si="103"/>
        <v>-24072298.460031614</v>
      </c>
    </row>
    <row r="145" spans="1:192">
      <c r="A145" s="48" t="s">
        <v>161</v>
      </c>
      <c r="B145" s="48" t="s">
        <v>276</v>
      </c>
      <c r="C145" s="49">
        <v>80</v>
      </c>
      <c r="D145" s="50">
        <v>0.498</v>
      </c>
      <c r="E145" s="49">
        <v>197.72238917905099</v>
      </c>
      <c r="F145" s="49">
        <v>0.784823492778147</v>
      </c>
      <c r="G145" s="49">
        <v>141.71009475104299</v>
      </c>
      <c r="H145" s="49">
        <v>0.81298034472505198</v>
      </c>
      <c r="I145" s="42">
        <v>131397.5</v>
      </c>
      <c r="J145" s="43">
        <v>142961.9</v>
      </c>
      <c r="K145" s="43">
        <f t="shared" si="78"/>
        <v>274359.40000000002</v>
      </c>
      <c r="L145" s="43">
        <v>105938.5</v>
      </c>
      <c r="M145" s="43">
        <v>115262.2</v>
      </c>
      <c r="N145" s="43">
        <f t="shared" si="79"/>
        <v>221200.7</v>
      </c>
      <c r="O145" s="43">
        <v>186538.1</v>
      </c>
      <c r="P145" s="43">
        <v>202955.5</v>
      </c>
      <c r="Q145" s="43">
        <f t="shared" si="80"/>
        <v>389493.6</v>
      </c>
      <c r="R145" s="43">
        <v>72759.600000000006</v>
      </c>
      <c r="S145" s="43">
        <v>79163.3</v>
      </c>
      <c r="T145" s="43">
        <f t="shared" si="81"/>
        <v>151922.90000000002</v>
      </c>
      <c r="U145" s="43">
        <v>58662.1</v>
      </c>
      <c r="V145" s="43">
        <v>63825</v>
      </c>
      <c r="W145" s="43">
        <f t="shared" si="82"/>
        <v>122487.1</v>
      </c>
      <c r="X145" s="43">
        <v>103293.1</v>
      </c>
      <c r="Y145" s="43">
        <v>112384</v>
      </c>
      <c r="Z145" s="43">
        <f t="shared" si="83"/>
        <v>215677.1</v>
      </c>
      <c r="AA145" s="22">
        <v>1141565.2</v>
      </c>
      <c r="AB145">
        <v>848936.6</v>
      </c>
      <c r="AC145">
        <v>1990501.8</v>
      </c>
      <c r="AD145">
        <v>920380.7</v>
      </c>
      <c r="AE145">
        <v>684450.5</v>
      </c>
      <c r="AF145">
        <v>1604831.2</v>
      </c>
      <c r="AG145">
        <v>1620620.7</v>
      </c>
      <c r="AH145">
        <v>1205191.1000000001</v>
      </c>
      <c r="AI145">
        <v>2825811.8</v>
      </c>
      <c r="AJ145">
        <v>632126.9</v>
      </c>
      <c r="AK145">
        <v>470087.6</v>
      </c>
      <c r="AL145">
        <v>1102214.6000000001</v>
      </c>
      <c r="AM145">
        <v>509648.9</v>
      </c>
      <c r="AN145">
        <v>379005.6</v>
      </c>
      <c r="AO145">
        <v>888654.5</v>
      </c>
      <c r="AP145">
        <v>897397.7</v>
      </c>
      <c r="AQ145">
        <v>667359</v>
      </c>
      <c r="AR145">
        <v>1564756.7</v>
      </c>
      <c r="AS145">
        <v>9976770.5800000001</v>
      </c>
      <c r="AT145" s="22">
        <f t="shared" si="77"/>
        <v>1900345.8656402698</v>
      </c>
      <c r="AU145">
        <f t="shared" si="77"/>
        <v>1413211.578279285</v>
      </c>
      <c r="AV145">
        <f t="shared" si="77"/>
        <v>3313557.4439195548</v>
      </c>
      <c r="AW145">
        <f t="shared" si="77"/>
        <v>1532143.4623796325</v>
      </c>
      <c r="AX145">
        <f t="shared" si="77"/>
        <v>1139394.1212559876</v>
      </c>
      <c r="AY145">
        <f t="shared" si="77"/>
        <v>2671537.5836356198</v>
      </c>
      <c r="AZ145">
        <f t="shared" si="77"/>
        <v>2697822.1191536323</v>
      </c>
      <c r="BA145">
        <f t="shared" si="76"/>
        <v>2006262.9135781727</v>
      </c>
      <c r="BB145">
        <f t="shared" si="76"/>
        <v>4704085.032731805</v>
      </c>
      <c r="BC145">
        <f t="shared" si="76"/>
        <v>1052291.8366598776</v>
      </c>
      <c r="BD145">
        <f t="shared" si="76"/>
        <v>782547.52961000998</v>
      </c>
      <c r="BE145">
        <f t="shared" si="76"/>
        <v>1834839.5327383352</v>
      </c>
      <c r="BF145">
        <f t="shared" si="76"/>
        <v>848404.61153082747</v>
      </c>
      <c r="BG145">
        <f t="shared" si="76"/>
        <v>630924.73825805995</v>
      </c>
      <c r="BH145">
        <f t="shared" si="76"/>
        <v>1479329.3497888877</v>
      </c>
      <c r="BI145">
        <f t="shared" si="76"/>
        <v>1493884.0190907074</v>
      </c>
      <c r="BJ145">
        <f t="shared" si="75"/>
        <v>1110942.166551525</v>
      </c>
      <c r="BK145">
        <f t="shared" si="75"/>
        <v>2604826.1856422322</v>
      </c>
      <c r="BL145">
        <f t="shared" si="75"/>
        <v>16608175.095162746</v>
      </c>
      <c r="BM145" s="22">
        <f>-17.17-(0.1023*E145)+F145*(100-8.576-13.681)</f>
        <v>23.617532386034569</v>
      </c>
      <c r="BN145">
        <f>IF(AT145&lt;&gt;-999,AT145*$BM145, -999)</f>
        <v>44881480.026425973</v>
      </c>
      <c r="BO145">
        <f>IF(AU145&lt;&gt;-999,AU145*$BM145, -999)</f>
        <v>33376570.218330041</v>
      </c>
      <c r="BP145" s="25">
        <f>IF(AV145&lt;&gt;-999,AV145*$BM145, -999)</f>
        <v>78258050.244756013</v>
      </c>
      <c r="BQ145">
        <f>-19.943-(0.1023*E145)+F145*(100-8.576-13.681)</f>
        <v>20.844532386034565</v>
      </c>
      <c r="BR145">
        <f>IF(AW145&lt;&gt;-999,AW145*$BQ145, -999)</f>
        <v>31936814.02162338</v>
      </c>
      <c r="BS145">
        <f>IF(AX145&lt;&gt;-999,AX145*$BQ145, -999)</f>
        <v>23750137.660977826</v>
      </c>
      <c r="BT145" s="25">
        <f>IF(AY145&lt;&gt;-999,AY145*$BQ145, -999)</f>
        <v>55686951.682601206</v>
      </c>
      <c r="BU145">
        <f>-25.871-(0.1023*E145)+F145*(100-8.576-13.681)</f>
        <v>14.916532386034568</v>
      </c>
      <c r="BV145">
        <f>IF(AZ145&lt;&gt;-999,AZ145*$BU145, -999)</f>
        <v>40242151.012115568</v>
      </c>
      <c r="BW145">
        <f>IF(BA145&lt;&gt;-999,BA145*$BU145, -999)</f>
        <v>29926485.725288883</v>
      </c>
      <c r="BX145" s="25">
        <f>IF(BB145&lt;&gt;-999,BB145*$BU145, -999)</f>
        <v>70168636.737404451</v>
      </c>
      <c r="BY145">
        <f>-25.245-(0.1023*E145)+F145*(100-8.576-13.681)</f>
        <v>15.542532386034573</v>
      </c>
      <c r="BZ145">
        <f>IF(BC145&lt;&gt;-999,BC145*$BY145, -999)</f>
        <v>16355279.950845949</v>
      </c>
      <c r="CA145">
        <f>IF(BD145&lt;&gt;-999,BD145*$BY145, -999)</f>
        <v>12162770.322574928</v>
      </c>
      <c r="CB145" s="25">
        <f>IF(BE145&lt;&gt;-999,BE145*$BY145, -999)</f>
        <v>28518052.860762119</v>
      </c>
      <c r="CC145">
        <f>-29.317-(0.1023*E145)+F145*(100-8.576-13.681)</f>
        <v>11.47053238603457</v>
      </c>
      <c r="CD145">
        <f>IF(BF145&lt;&gt;-999,BF145*$CC145, -999)</f>
        <v>9731652.5730254352</v>
      </c>
      <c r="CE145">
        <f>IF(BG145&lt;&gt;-999,BG145*$CC145, -999)</f>
        <v>7237042.6433394607</v>
      </c>
      <c r="CF145" s="25">
        <f>IF(BH145&lt;&gt;-999,BH145*$CC145, -999)</f>
        <v>16968695.216364898</v>
      </c>
      <c r="CG145">
        <f>-38.03-(0.1023*E145)+F145*(100-8.576-13.681)</f>
        <v>2.7575323860345691</v>
      </c>
      <c r="CH145">
        <f>IF(BI145&lt;&gt;-999,BI145*$CG145, -999)</f>
        <v>4119433.5636221101</v>
      </c>
      <c r="CI145">
        <f>IF(BJ145&lt;&gt;-999,BJ145*$CG145, -999)</f>
        <v>3063459.0032772403</v>
      </c>
      <c r="CJ145" s="25">
        <f>IF(BK145&lt;&gt;-999,BK145*$CG145, -999)</f>
        <v>7182892.5668993499</v>
      </c>
      <c r="CK145" s="26">
        <f t="shared" si="84"/>
        <v>256783279.30878803</v>
      </c>
      <c r="CL145">
        <f t="shared" si="85"/>
        <v>-23.100968912184292</v>
      </c>
      <c r="CM145">
        <f t="shared" si="86"/>
        <v>34.803770711666829</v>
      </c>
      <c r="CN145">
        <f t="shared" si="87"/>
        <v>-80.005483635502387</v>
      </c>
      <c r="CO145" s="22">
        <f t="shared" si="88"/>
        <v>-40.08</v>
      </c>
      <c r="CP145">
        <f>IF(AT145&lt;&gt;-999,AT145*$CO145, -999)</f>
        <v>-76165862.294862017</v>
      </c>
      <c r="CQ145">
        <f>IF(AU145&lt;&gt;-999,AU145*$CO145, -999)</f>
        <v>-56641520.057433739</v>
      </c>
      <c r="CR145" s="27">
        <f>IF(AV145&lt;&gt;-999,AV145*$CO145, -999)</f>
        <v>-132807382.35229576</v>
      </c>
      <c r="CS145">
        <f t="shared" si="89"/>
        <v>-42.853000000000002</v>
      </c>
      <c r="CT145">
        <f>IF(AW145&lt;&gt;-999,AW145*$CS145, -999)</f>
        <v>-65656943.793354392</v>
      </c>
      <c r="CU145">
        <f>IF(AX145&lt;&gt;-999,AX145*$CS145, -999)</f>
        <v>-48826456.278182834</v>
      </c>
      <c r="CV145" s="27">
        <f>IF(AY145&lt;&gt;-999,AY145*$CS145, -999)</f>
        <v>-114483400.07153723</v>
      </c>
      <c r="CW145">
        <f t="shared" si="90"/>
        <v>-48.780999999999999</v>
      </c>
      <c r="CX145">
        <f>IF(AZ145&lt;&gt;-999,AZ145*$CO145, -999)</f>
        <v>-108128710.53567758</v>
      </c>
      <c r="CY145">
        <f>IF(BA145&lt;&gt;-999,BA145*$CO145, -999)</f>
        <v>-80411017.576213151</v>
      </c>
      <c r="CZ145" s="27">
        <f>IF(BB145&lt;&gt;-999,BB145*$CO145, -999)</f>
        <v>-188539728.11189073</v>
      </c>
      <c r="DA145">
        <f t="shared" si="91"/>
        <v>-48.155000000000001</v>
      </c>
      <c r="DB145">
        <f>IF(BC145&lt;&gt;-999,BC145*$DA145, -999)</f>
        <v>-50673113.394356407</v>
      </c>
      <c r="DC145">
        <f>IF(BD145&lt;&gt;-999,BD145*$DA145, -999)</f>
        <v>-37683576.288370028</v>
      </c>
      <c r="DD145" s="27">
        <f>IF(BE145&lt;&gt;-999,BE145*$DA145, -999)</f>
        <v>-88356697.69901453</v>
      </c>
      <c r="DE145">
        <f t="shared" si="92"/>
        <v>-52.227000000000004</v>
      </c>
      <c r="DF145">
        <f>IF(BF145&lt;&gt;-999,BF145*$DE145, -999)</f>
        <v>-44309627.646420531</v>
      </c>
      <c r="DG145">
        <f>IF(BG145&lt;&gt;-999,BG145*$DE145, -999)</f>
        <v>-32951306.305003699</v>
      </c>
      <c r="DH145" s="27">
        <f>IF(BH145&lt;&gt;-999,BH145*$DE145, -999)</f>
        <v>-77260933.951424241</v>
      </c>
      <c r="DI145">
        <f t="shared" si="93"/>
        <v>-60.94</v>
      </c>
      <c r="DJ145">
        <f>IF(BI145&lt;&gt;-999,BI145*$DI145, -999)</f>
        <v>-91037292.123387709</v>
      </c>
      <c r="DK145">
        <f>IF(BJ145&lt;&gt;-999,BJ145*$DI145, -999)</f>
        <v>-67700815.629649937</v>
      </c>
      <c r="DL145" s="27">
        <f>IF(BK145&lt;&gt;-999,BK145*$DI145, -999)</f>
        <v>-158738107.75303763</v>
      </c>
      <c r="DM145" s="28">
        <f t="shared" si="94"/>
        <v>-760186249.93920016</v>
      </c>
      <c r="DN145" s="22">
        <f t="shared" si="95"/>
        <v>-17.170000000000002</v>
      </c>
      <c r="DO145">
        <f>IF(AT145&lt;&gt;-999,AT145*$DN145, -999)</f>
        <v>-32628938.513043437</v>
      </c>
      <c r="DP145">
        <f>IF(AU145&lt;&gt;-999,AU145*$DN145, -999)</f>
        <v>-24264842.799055327</v>
      </c>
      <c r="DQ145" s="24">
        <f>IF(AV145&lt;&gt;-999,AV145*$DN145, -999)</f>
        <v>-56893781.312098764</v>
      </c>
      <c r="DR145">
        <f t="shared" si="96"/>
        <v>-19.943000000000001</v>
      </c>
      <c r="DS145">
        <f>IF(AW145&lt;&gt;-999,AW145*$DR145, -999)</f>
        <v>-30555537.070237014</v>
      </c>
      <c r="DT145">
        <f>IF(AX145&lt;&gt;-999,AX145*$DR145, -999)</f>
        <v>-22722936.960208163</v>
      </c>
      <c r="DU145" s="24">
        <f>IF(AY145&lt;&gt;-999,AY145*$DR145, -999)</f>
        <v>-53278474.030445173</v>
      </c>
      <c r="DV145">
        <f t="shared" si="97"/>
        <v>-25.870999999999999</v>
      </c>
      <c r="DW145">
        <f>IF(AZ145&lt;&gt;-999,AZ145*$DV145, -999)</f>
        <v>-69795356.044623613</v>
      </c>
      <c r="DX145">
        <f>IF(BA145&lt;&gt;-999,BA145*$DV145, -999)</f>
        <v>-51904027.837180905</v>
      </c>
      <c r="DY145" s="24">
        <f>IF(BB145&lt;&gt;-999,BB145*$DV145, -999)</f>
        <v>-121699383.88180453</v>
      </c>
      <c r="DZ145">
        <f t="shared" si="98"/>
        <v>-25.245000000000001</v>
      </c>
      <c r="EA145">
        <f>IF(BC145&lt;&gt;-999, BC145*$DZ145, -999)</f>
        <v>-26565107.416478612</v>
      </c>
      <c r="EB145">
        <f>IF(BD145&lt;&gt;-999, BD145*$DZ145, -999)</f>
        <v>-19755412.385004703</v>
      </c>
      <c r="EC145" s="24">
        <f>IF(BE145&lt;&gt;-999, BE145*$DZ145, -999)</f>
        <v>-46320524.003979273</v>
      </c>
      <c r="ED145">
        <f t="shared" si="99"/>
        <v>-29.317</v>
      </c>
      <c r="EE145">
        <f>IF(BF145&lt;&gt;-999,BF145*$ED145, -999)</f>
        <v>-24872677.99624927</v>
      </c>
      <c r="EF145">
        <f>IF(BG145&lt;&gt;-999,BG145*$ED145, -999)</f>
        <v>-18496820.551511545</v>
      </c>
      <c r="EG145" s="24">
        <f>IF(BH145&lt;&gt;-999,BH145*$ED145, -999)</f>
        <v>-43369498.547760822</v>
      </c>
      <c r="EH145">
        <f t="shared" si="100"/>
        <v>-38.03</v>
      </c>
      <c r="EI145">
        <f>IF(BI145&lt;&gt;-999,BI145*$EH145, -999)</f>
        <v>-56812409.246019602</v>
      </c>
      <c r="EJ145">
        <f>IF(BJ145&lt;&gt;-999,BJ145*$EH145, -999)</f>
        <v>-42249130.593954496</v>
      </c>
      <c r="EK145" s="24">
        <f>IF(BK145&lt;&gt;-999,BK145*$EH145, -999)</f>
        <v>-99061539.83997409</v>
      </c>
      <c r="EL145" s="28">
        <f t="shared" si="101"/>
        <v>-420623201.6160627</v>
      </c>
      <c r="EM145" s="22">
        <f>-17.17-(0.1023*G145)+H145*(100+102.093-66.644-64.243)</f>
        <v>26.222135733460362</v>
      </c>
      <c r="EN145">
        <f>IF(AT145&lt;&gt;-999,AT145*$EM145, -999)</f>
        <v>49831127.229339384</v>
      </c>
      <c r="EO145">
        <f>IF(AU145&lt;&gt;-999,AU145*$EM145, -999)</f>
        <v>37057425.825737156</v>
      </c>
      <c r="EP145" s="23">
        <f>IF(AV145&lt;&gt;-999,AV145*$EM145, -999)</f>
        <v>86888553.05507654</v>
      </c>
      <c r="EQ145">
        <f>-19.943-(0.1023*G145)+H145*(100+102.093-66.644-64.243)</f>
        <v>23.449135733460366</v>
      </c>
      <c r="ER145">
        <f>IF(AW145&lt;&gt;-999,AW145*$EQ145, -999)</f>
        <v>35927440.012473926</v>
      </c>
      <c r="ES145">
        <f>IF(AX145&lt;&gt;-999,AX145*$EQ145, -999)</f>
        <v>26717807.403238453</v>
      </c>
      <c r="ET145" s="23">
        <f>IF(AY145&lt;&gt;-999,AY145*$EQ145, -999)</f>
        <v>62645247.415712371</v>
      </c>
      <c r="EU145">
        <f>-25.871-(0.1023*G145)+H145*(100+102.093-66.644-64.243)</f>
        <v>17.521135733460369</v>
      </c>
      <c r="EV145">
        <f>IF(AZ145&lt;&gt;-999,AZ145*$EU145, -999)</f>
        <v>47268907.534422487</v>
      </c>
      <c r="EW145">
        <f>IF(BA145&lt;&gt;-999,BA145*$EU145, -999)</f>
        <v>35152004.825810835</v>
      </c>
      <c r="EX145" s="23">
        <f>IF(BB145&lt;&gt;-999,BB145*$EU145, -999)</f>
        <v>82420912.360233322</v>
      </c>
      <c r="EY145">
        <f>-25.245-(0.1023*G145)+H145*(100+102.093-66.644-64.243)</f>
        <v>18.14713573346036</v>
      </c>
      <c r="EZ145">
        <f>IF(BC145&lt;&gt;-999, BC145*$EY145, -999)</f>
        <v>19096082.791079096</v>
      </c>
      <c r="FA145">
        <f>IF(BD145&lt;&gt;-999, BD145*$EY145, -999)</f>
        <v>14200996.237716941</v>
      </c>
      <c r="FB145" s="23">
        <f>IF(BE145&lt;&gt;-999, BE145*$EY145, -999)</f>
        <v>33297082.04972155</v>
      </c>
      <c r="FC145">
        <f>-29.317-(0.1023*G145)+H145*(100+102.093-66.644-64.243)</f>
        <v>14.075135733460364</v>
      </c>
      <c r="FD145">
        <f>IF(BF145&lt;&gt;-999,BF145*$FC145, -999)</f>
        <v>11941410.064190108</v>
      </c>
      <c r="FE145">
        <f>IF(BG145&lt;&gt;-999,BG145*$FC145, -999)</f>
        <v>8880351.3285801467</v>
      </c>
      <c r="FF145" s="23">
        <f>IF(BH145&lt;&gt;-999,BH145*$FC145, -999)</f>
        <v>20821761.392770257</v>
      </c>
      <c r="FG145">
        <f>-38.03-(0.1023*G145)+H145*(100+102.093-66.644-64.243)</f>
        <v>5.362135733460363</v>
      </c>
      <c r="FH145">
        <f>IF(BI145&lt;&gt;-999,BI145*$FG145, -999)</f>
        <v>8010408.880411665</v>
      </c>
      <c r="FI145">
        <f>IF(BJ145&lt;&gt;-999,BJ145*$FG145, -999)</f>
        <v>5957022.6890738066</v>
      </c>
      <c r="FJ145" s="23">
        <f>IF(BK145&lt;&gt;-999,BK145*$FG145, -999)</f>
        <v>13967431.569485471</v>
      </c>
      <c r="FK145" s="28">
        <f t="shared" si="102"/>
        <v>300040987.84299946</v>
      </c>
      <c r="FL145" s="22">
        <f t="shared" si="104"/>
        <v>10.012280000000011</v>
      </c>
      <c r="FM145">
        <f>IF(AT145&lt;&gt;-999,AT145*$FL145, -999)</f>
        <v>19026794.903632782</v>
      </c>
      <c r="FN145">
        <f>IF(AU145&lt;&gt;-999,AU145*$FL145, -999)</f>
        <v>14149470.020974135</v>
      </c>
      <c r="FO145" s="29">
        <f>IF(AV145&lt;&gt;-999,AV145*$FL145, -999)</f>
        <v>33176264.924606916</v>
      </c>
      <c r="FP145">
        <f t="shared" si="105"/>
        <v>7.2392800000000115</v>
      </c>
      <c r="FQ145">
        <f>IF(AW145&lt;&gt;-999,AW145*$FP145, -999)</f>
        <v>11091615.524335643</v>
      </c>
      <c r="FR145">
        <f>IF(AX145&lt;&gt;-999,AX145*$FP145, -999)</f>
        <v>8248393.0741260583</v>
      </c>
      <c r="FS145" s="29">
        <f>IF(AY145&lt;&gt;-999,AY145*$FP145, -999)</f>
        <v>19340008.598461702</v>
      </c>
      <c r="FT145">
        <f t="shared" si="106"/>
        <v>1.3112800000000142</v>
      </c>
      <c r="FU145">
        <f>IF(AZ145&lt;&gt;-999,AZ145*$FT145, -999)</f>
        <v>3537600.1884038132</v>
      </c>
      <c r="FV145">
        <f>IF(BA145&lt;&gt;-999,BA145*$FT145, -999)</f>
        <v>2630772.4333168147</v>
      </c>
      <c r="FW145" s="29">
        <f>IF(BB145&lt;&gt;-999,BB145*$FT145, -999)</f>
        <v>6168372.6217206279</v>
      </c>
      <c r="FX145">
        <f t="shared" si="107"/>
        <v>1.9372800000000119</v>
      </c>
      <c r="FY145">
        <f>IF(BC145&lt;&gt;-999, BC145*$FX145, -999)</f>
        <v>2038583.9293244602</v>
      </c>
      <c r="FZ145">
        <f>IF(BD145&lt;&gt;-999, BD145*$FX145, -999)</f>
        <v>1516013.6781628893</v>
      </c>
      <c r="GA145" s="29">
        <f>IF(BE145&lt;&gt;-999, BE145*$FX145, -999)</f>
        <v>3554597.9299833439</v>
      </c>
      <c r="GB145">
        <f t="shared" si="108"/>
        <v>-2.1347199999999873</v>
      </c>
      <c r="GC145">
        <f>IF(BF145&lt;&gt;-999,BF145*$GB145, -999)</f>
        <v>-1811106.2923270774</v>
      </c>
      <c r="GD145">
        <f>IF(BG145&lt;&gt;-999,BG145*$GB145, -999)</f>
        <v>-1346847.6572542377</v>
      </c>
      <c r="GE145" s="29">
        <f>IF(BH145&lt;&gt;-999,BH145*$GB145, -999)</f>
        <v>-3157953.9495813153</v>
      </c>
      <c r="GF145">
        <f t="shared" si="109"/>
        <v>-10.847719999999988</v>
      </c>
      <c r="GG145">
        <f>IF(BI145&lt;&gt;-999,BI145*$GF145, -999)</f>
        <v>-16205235.551570632</v>
      </c>
      <c r="GH145">
        <f>IF(BJ145&lt;&gt;-999,BJ145*$GF145, -999)</f>
        <v>-12051189.558944296</v>
      </c>
      <c r="GI145" s="29">
        <f>IF(BK145&lt;&gt;-999,BK145*$GF145, -999)</f>
        <v>-28256425.110514924</v>
      </c>
      <c r="GJ145" s="30">
        <f t="shared" si="103"/>
        <v>30824865.014676355</v>
      </c>
    </row>
    <row r="146" spans="1:192">
      <c r="A146" s="48" t="s">
        <v>178</v>
      </c>
      <c r="B146" s="48" t="s">
        <v>277</v>
      </c>
      <c r="C146" s="49">
        <v>172</v>
      </c>
      <c r="D146" s="50">
        <v>0.496</v>
      </c>
      <c r="E146" s="49">
        <v>194.56131870255899</v>
      </c>
      <c r="F146" s="49">
        <v>0.77264450515869398</v>
      </c>
      <c r="G146" s="49">
        <v>81.141980405267603</v>
      </c>
      <c r="H146" s="49">
        <v>0.81763563574637299</v>
      </c>
      <c r="I146" s="42">
        <v>43828.2</v>
      </c>
      <c r="J146" s="43">
        <v>18480.2</v>
      </c>
      <c r="K146" s="43">
        <f t="shared" si="78"/>
        <v>62308.399999999994</v>
      </c>
      <c r="L146" s="43">
        <v>35347</v>
      </c>
      <c r="M146" s="43">
        <v>14904.1</v>
      </c>
      <c r="N146" s="43">
        <f t="shared" si="79"/>
        <v>50251.1</v>
      </c>
      <c r="O146" s="43">
        <v>65438.8</v>
      </c>
      <c r="P146" s="43">
        <v>27592.3</v>
      </c>
      <c r="Q146" s="43">
        <f t="shared" si="80"/>
        <v>93031.1</v>
      </c>
      <c r="R146" s="43">
        <v>35171.699999999997</v>
      </c>
      <c r="S146" s="43">
        <v>14830.2</v>
      </c>
      <c r="T146" s="43">
        <f t="shared" si="81"/>
        <v>50001.899999999994</v>
      </c>
      <c r="U146" s="43">
        <v>28365.599999999999</v>
      </c>
      <c r="V146" s="43">
        <v>11960.4</v>
      </c>
      <c r="W146" s="43">
        <f t="shared" si="82"/>
        <v>40326</v>
      </c>
      <c r="X146" s="43">
        <v>52514</v>
      </c>
      <c r="Y146" s="43">
        <v>22142.5</v>
      </c>
      <c r="Z146" s="43">
        <f t="shared" si="83"/>
        <v>74656.5</v>
      </c>
      <c r="AA146" s="22">
        <v>248958.1</v>
      </c>
      <c r="AB146">
        <v>36183.5</v>
      </c>
      <c r="AC146">
        <v>285141.59999999998</v>
      </c>
      <c r="AD146">
        <v>200782.2</v>
      </c>
      <c r="AE146">
        <v>29181.599999999999</v>
      </c>
      <c r="AF146">
        <v>229963.8</v>
      </c>
      <c r="AG146">
        <v>371713</v>
      </c>
      <c r="AH146">
        <v>54024.6</v>
      </c>
      <c r="AI146">
        <v>425737.6</v>
      </c>
      <c r="AJ146">
        <v>199786.3</v>
      </c>
      <c r="AK146">
        <v>29036.799999999999</v>
      </c>
      <c r="AL146">
        <v>228823.2</v>
      </c>
      <c r="AM146">
        <v>161125.6</v>
      </c>
      <c r="AN146">
        <v>23417.9</v>
      </c>
      <c r="AO146">
        <v>184543.6</v>
      </c>
      <c r="AP146">
        <v>298295.90000000002</v>
      </c>
      <c r="AQ146">
        <v>43354.2</v>
      </c>
      <c r="AR146">
        <v>341650.1</v>
      </c>
      <c r="AS146">
        <v>1695859.79</v>
      </c>
      <c r="AT146" s="22">
        <f t="shared" si="77"/>
        <v>414436.68399549747</v>
      </c>
      <c r="AU146">
        <f t="shared" si="77"/>
        <v>60234.110701162506</v>
      </c>
      <c r="AV146">
        <f t="shared" si="77"/>
        <v>474670.79469665996</v>
      </c>
      <c r="AW146">
        <f t="shared" si="77"/>
        <v>334239.01119634503</v>
      </c>
      <c r="AX146">
        <f t="shared" si="77"/>
        <v>48578.156475659998</v>
      </c>
      <c r="AY146">
        <f t="shared" si="77"/>
        <v>382817.16767200496</v>
      </c>
      <c r="AZ146">
        <f t="shared" si="77"/>
        <v>618784.86025567504</v>
      </c>
      <c r="BA146">
        <f t="shared" si="76"/>
        <v>89933.912888084989</v>
      </c>
      <c r="BB146">
        <f t="shared" si="76"/>
        <v>708718.77314375993</v>
      </c>
      <c r="BC146">
        <f t="shared" si="76"/>
        <v>332581.15192769247</v>
      </c>
      <c r="BD146">
        <f t="shared" ref="BD146:BL174" si="110">IF(AK146&lt;&gt;-999,AK146*0.5*3.67*0.907185, -999)</f>
        <v>48337.110163680001</v>
      </c>
      <c r="BE146">
        <f t="shared" si="110"/>
        <v>380918.42855981999</v>
      </c>
      <c r="BF146">
        <f t="shared" si="110"/>
        <v>268223.28484506003</v>
      </c>
      <c r="BG146">
        <f t="shared" si="110"/>
        <v>38983.414567102503</v>
      </c>
      <c r="BH146">
        <f t="shared" si="110"/>
        <v>307206.86588061001</v>
      </c>
      <c r="BI146">
        <f t="shared" si="110"/>
        <v>496568.5536861525</v>
      </c>
      <c r="BJ146">
        <f t="shared" si="75"/>
        <v>72171.063666044996</v>
      </c>
      <c r="BK146">
        <f t="shared" si="75"/>
        <v>568739.61735219741</v>
      </c>
      <c r="BL146">
        <f t="shared" si="75"/>
        <v>2823071.4641897604</v>
      </c>
      <c r="BM146" s="22">
        <f>-17.17-(0.1023*E146)+F146*(100-8.576-13.681)</f>
        <v>22.99407886128057</v>
      </c>
      <c r="BN146">
        <f>IF(AT146&lt;&gt;-999,AT146*$BM146, -999)</f>
        <v>9529589.7948000841</v>
      </c>
      <c r="BO146">
        <f>IF(AU146&lt;&gt;-999,AU146*$BM146, -999)</f>
        <v>1385027.8916016347</v>
      </c>
      <c r="BP146" s="25">
        <f>IF(AV146&lt;&gt;-999,AV146*$BM146, -999)</f>
        <v>10914617.686401717</v>
      </c>
      <c r="BQ146">
        <f>-19.943-(0.1023*E146)+F146*(100-8.576-13.681)</f>
        <v>20.221078861280567</v>
      </c>
      <c r="BR146">
        <f>IF(AW146&lt;&gt;-999,AW146*$BQ146, -999)</f>
        <v>6758673.4039177317</v>
      </c>
      <c r="BS146">
        <f>IF(AX146&lt;&gt;-999,AX146*$BQ146, -999)</f>
        <v>982302.73302994808</v>
      </c>
      <c r="BT146" s="25">
        <f>IF(AY146&lt;&gt;-999,AY146*$BQ146, -999)</f>
        <v>7740976.1369476784</v>
      </c>
      <c r="BU146">
        <f>-25.871-(0.1023*E146)+F146*(100-8.576-13.681)</f>
        <v>14.29307886128057</v>
      </c>
      <c r="BV146">
        <f>IF(AZ146&lt;&gt;-999,AZ146*$BU146, -999)</f>
        <v>8844340.8058008403</v>
      </c>
      <c r="BW146">
        <f>IF(BA146&lt;&gt;-999,BA146*$BU146, -999)</f>
        <v>1285432.5092129358</v>
      </c>
      <c r="BX146" s="25">
        <f>IF(BB146&lt;&gt;-999,BB146*$BU146, -999)</f>
        <v>10129773.315013776</v>
      </c>
      <c r="BY146">
        <f>-25.245-(0.1023*E146)+F146*(100-8.576-13.681)</f>
        <v>14.919078861280568</v>
      </c>
      <c r="BZ146">
        <f>IF(BC146&lt;&gt;-999,BC146*$BY146, -999)</f>
        <v>4961804.433384778</v>
      </c>
      <c r="CA146">
        <f>IF(BD146&lt;&gt;-999,BD146*$BY146, -999)</f>
        <v>721145.15845834836</v>
      </c>
      <c r="CB146" s="25">
        <f>IF(BE146&lt;&gt;-999,BE146*$BY146, -999)</f>
        <v>5682952.0753990225</v>
      </c>
      <c r="CC146">
        <f>-29.317-(0.1023*E146)+F146*(100-8.576-13.681)</f>
        <v>10.847078861280565</v>
      </c>
      <c r="CD146">
        <f>IF(BF146&lt;&gt;-999,BF146*$CC146, -999)</f>
        <v>2909439.1231460865</v>
      </c>
      <c r="CE146">
        <f>IF(BG146&lt;&gt;-999,BG146*$CC146, -999)</f>
        <v>422856.17209135438</v>
      </c>
      <c r="CF146" s="25">
        <f>IF(BH146&lt;&gt;-999,BH146*$CC146, -999)</f>
        <v>3332297.1009338186</v>
      </c>
      <c r="CG146">
        <f>-38.03-(0.1023*E146)+F146*(100-8.576-13.681)</f>
        <v>2.134078861280571</v>
      </c>
      <c r="CH146">
        <f>IF(BI146&lt;&gt;-999,BI146*$CG146, -999)</f>
        <v>1059716.4535982844</v>
      </c>
      <c r="CI146">
        <f>IF(BJ146&lt;&gt;-999,BJ146*$CG146, -999)</f>
        <v>154018.74136584089</v>
      </c>
      <c r="CJ146" s="25">
        <f>IF(BK146&lt;&gt;-999,BK146*$CG146, -999)</f>
        <v>1213735.1949641251</v>
      </c>
      <c r="CK146" s="26">
        <f t="shared" si="84"/>
        <v>39014351.50966014</v>
      </c>
      <c r="CL146">
        <f t="shared" si="85"/>
        <v>-24.234467753789701</v>
      </c>
      <c r="CM146">
        <f t="shared" si="86"/>
        <v>34.583008713820746</v>
      </c>
      <c r="CN146">
        <f t="shared" si="87"/>
        <v>-82.035953044657404</v>
      </c>
      <c r="CO146" s="22">
        <f t="shared" si="88"/>
        <v>-40.08</v>
      </c>
      <c r="CP146">
        <f>IF(AT146&lt;&gt;-999,AT146*$CO146, -999)</f>
        <v>-16610622.294539537</v>
      </c>
      <c r="CQ146">
        <f>IF(AU146&lt;&gt;-999,AU146*$CO146, -999)</f>
        <v>-2414183.1569025931</v>
      </c>
      <c r="CR146" s="27">
        <f>IF(AV146&lt;&gt;-999,AV146*$CO146, -999)</f>
        <v>-19024805.45144213</v>
      </c>
      <c r="CS146">
        <f t="shared" si="89"/>
        <v>-42.853000000000002</v>
      </c>
      <c r="CT146">
        <f>IF(AW146&lt;&gt;-999,AW146*$CS146, -999)</f>
        <v>-14323144.346796975</v>
      </c>
      <c r="CU146">
        <f>IF(AX146&lt;&gt;-999,AX146*$CS146, -999)</f>
        <v>-2081719.739451458</v>
      </c>
      <c r="CV146" s="27">
        <f>IF(AY146&lt;&gt;-999,AY146*$CS146, -999)</f>
        <v>-16404864.086248429</v>
      </c>
      <c r="CW146">
        <f t="shared" si="90"/>
        <v>-48.780999999999999</v>
      </c>
      <c r="CX146">
        <f>IF(AZ146&lt;&gt;-999,AZ146*$CO146, -999)</f>
        <v>-24800897.199047454</v>
      </c>
      <c r="CY146">
        <f>IF(BA146&lt;&gt;-999,BA146*$CO146, -999)</f>
        <v>-3604551.2285544463</v>
      </c>
      <c r="CZ146" s="27">
        <f>IF(BB146&lt;&gt;-999,BB146*$CO146, -999)</f>
        <v>-28405448.427601896</v>
      </c>
      <c r="DA146">
        <f t="shared" si="91"/>
        <v>-48.155000000000001</v>
      </c>
      <c r="DB146">
        <f>IF(BC146&lt;&gt;-999,BC146*$DA146, -999)</f>
        <v>-16015445.371078031</v>
      </c>
      <c r="DC146">
        <f>IF(BD146&lt;&gt;-999,BD146*$DA146, -999)</f>
        <v>-2327673.5399320107</v>
      </c>
      <c r="DD146" s="27">
        <f>IF(BE146&lt;&gt;-999,BE146*$DA146, -999)</f>
        <v>-18343126.927298132</v>
      </c>
      <c r="DE146">
        <f t="shared" si="92"/>
        <v>-52.227000000000004</v>
      </c>
      <c r="DF146">
        <f>IF(BF146&lt;&gt;-999,BF146*$DE146, -999)</f>
        <v>-14008497.497602951</v>
      </c>
      <c r="DG146">
        <f>IF(BG146&lt;&gt;-999,BG146*$DE146, -999)</f>
        <v>-2035986.7925960626</v>
      </c>
      <c r="DH146" s="27">
        <f>IF(BH146&lt;&gt;-999,BH146*$DE146, -999)</f>
        <v>-16044492.984346621</v>
      </c>
      <c r="DI146">
        <f t="shared" si="93"/>
        <v>-60.94</v>
      </c>
      <c r="DJ146">
        <f>IF(BI146&lt;&gt;-999,BI146*$DI146, -999)</f>
        <v>-30260887.661634132</v>
      </c>
      <c r="DK146">
        <f>IF(BJ146&lt;&gt;-999,BJ146*$DI146, -999)</f>
        <v>-4398104.6198087819</v>
      </c>
      <c r="DL146" s="27">
        <f>IF(BK146&lt;&gt;-999,BK146*$DI146, -999)</f>
        <v>-34658992.28144291</v>
      </c>
      <c r="DM146" s="28">
        <f t="shared" si="94"/>
        <v>-132881730.15838012</v>
      </c>
      <c r="DN146" s="22">
        <f t="shared" si="95"/>
        <v>-17.170000000000002</v>
      </c>
      <c r="DO146">
        <f>IF(AT146&lt;&gt;-999,AT146*$DN146, -999)</f>
        <v>-7115877.8642026922</v>
      </c>
      <c r="DP146">
        <f>IF(AU146&lt;&gt;-999,AU146*$DN146, -999)</f>
        <v>-1034219.6807389604</v>
      </c>
      <c r="DQ146" s="24">
        <f>IF(AV146&lt;&gt;-999,AV146*$DN146, -999)</f>
        <v>-8150097.5449416526</v>
      </c>
      <c r="DR146">
        <f t="shared" si="96"/>
        <v>-19.943000000000001</v>
      </c>
      <c r="DS146">
        <f>IF(AW146&lt;&gt;-999,AW146*$DR146, -999)</f>
        <v>-6665728.6002887096</v>
      </c>
      <c r="DT146">
        <f>IF(AX146&lt;&gt;-999,AX146*$DR146, -999)</f>
        <v>-968794.17459408741</v>
      </c>
      <c r="DU146" s="24">
        <f>IF(AY146&lt;&gt;-999,AY146*$DR146, -999)</f>
        <v>-7634522.7748827953</v>
      </c>
      <c r="DV146">
        <f t="shared" si="97"/>
        <v>-25.870999999999999</v>
      </c>
      <c r="DW146">
        <f>IF(AZ146&lt;&gt;-999,AZ146*$DV146, -999)</f>
        <v>-16008583.119674569</v>
      </c>
      <c r="DX146">
        <f>IF(BA146&lt;&gt;-999,BA146*$DV146, -999)</f>
        <v>-2326680.2603276465</v>
      </c>
      <c r="DY146" s="24">
        <f>IF(BB146&lt;&gt;-999,BB146*$DV146, -999)</f>
        <v>-18335263.380002212</v>
      </c>
      <c r="DZ146">
        <f t="shared" si="98"/>
        <v>-25.245000000000001</v>
      </c>
      <c r="EA146">
        <f>IF(BC146&lt;&gt;-999, BC146*$DZ146, -999)</f>
        <v>-8396011.1804145966</v>
      </c>
      <c r="EB146">
        <f>IF(BD146&lt;&gt;-999, BD146*$DZ146, -999)</f>
        <v>-1220270.3460821016</v>
      </c>
      <c r="EC146" s="24">
        <f>IF(BE146&lt;&gt;-999, BE146*$DZ146, -999)</f>
        <v>-9616285.7289926559</v>
      </c>
      <c r="ED146">
        <f t="shared" si="99"/>
        <v>-29.317</v>
      </c>
      <c r="EE146">
        <f>IF(BF146&lt;&gt;-999,BF146*$ED146, -999)</f>
        <v>-7863502.0418026252</v>
      </c>
      <c r="EF146">
        <f>IF(BG146&lt;&gt;-999,BG146*$ED146, -999)</f>
        <v>-1142876.7648637441</v>
      </c>
      <c r="EG146" s="24">
        <f>IF(BH146&lt;&gt;-999,BH146*$ED146, -999)</f>
        <v>-9006383.6870218441</v>
      </c>
      <c r="EH146">
        <f t="shared" si="100"/>
        <v>-38.03</v>
      </c>
      <c r="EI146">
        <f>IF(BI146&lt;&gt;-999,BI146*$EH146, -999)</f>
        <v>-18884502.096684381</v>
      </c>
      <c r="EJ146">
        <f>IF(BJ146&lt;&gt;-999,BJ146*$EH146, -999)</f>
        <v>-2744665.5512196915</v>
      </c>
      <c r="EK146" s="24">
        <f>IF(BK146&lt;&gt;-999,BK146*$EH146, -999)</f>
        <v>-21629167.647904068</v>
      </c>
      <c r="EL146" s="28">
        <f t="shared" si="101"/>
        <v>-74371720.763745219</v>
      </c>
      <c r="EM146" s="22">
        <f>-17.17-(0.1023*G146)+H146*(100+102.093-66.644-64.243)</f>
        <v>32.749738483497367</v>
      </c>
      <c r="EN146">
        <f>IF(AT146&lt;&gt;-999,AT146*$EM146, -999)</f>
        <v>13572693.018820381</v>
      </c>
      <c r="EO146">
        <f>IF(AU146&lt;&gt;-999,AU146*$EM146, -999)</f>
        <v>1972651.3732491024</v>
      </c>
      <c r="EP146" s="23">
        <f>IF(AV146&lt;&gt;-999,AV146*$EM146, -999)</f>
        <v>15545344.392069483</v>
      </c>
      <c r="EQ146">
        <f>-19.943-(0.1023*G146)+H146*(100+102.093-66.644-64.243)</f>
        <v>29.976738483497371</v>
      </c>
      <c r="ER146">
        <f>IF(AW146&lt;&gt;-999,AW146*$EQ146, -999)</f>
        <v>10019395.429615585</v>
      </c>
      <c r="ES146">
        <f>IF(AX146&lt;&gt;-999,AX146*$EQ146, -999)</f>
        <v>1456214.6926812741</v>
      </c>
      <c r="ET146" s="23">
        <f>IF(AY146&lt;&gt;-999,AY146*$EQ146, -999)</f>
        <v>11475610.122296857</v>
      </c>
      <c r="EU146">
        <f>-25.871-(0.1023*G146)+H146*(100+102.093-66.644-64.243)</f>
        <v>24.048738483497374</v>
      </c>
      <c r="EV146">
        <f>IF(AZ146&lt;&gt;-999,AZ146*$EU146, -999)</f>
        <v>14880995.281836197</v>
      </c>
      <c r="EW146">
        <f>IF(BA146&lt;&gt;-999,BA146*$EU146, -999)</f>
        <v>2162797.1518431897</v>
      </c>
      <c r="EX146" s="23">
        <f>IF(BB146&lt;&gt;-999,BB146*$EU146, -999)</f>
        <v>17043792.433679383</v>
      </c>
      <c r="EY146">
        <f>-25.245-(0.1023*G146)+H146*(100+102.093-66.644-64.243)</f>
        <v>24.674738483497372</v>
      </c>
      <c r="EZ146">
        <f>IF(BC146&lt;&gt;-999, BC146*$EY146, -999)</f>
        <v>8206352.948356119</v>
      </c>
      <c r="FA146">
        <f>IF(BD146&lt;&gt;-999, BD146*$EY146, -999)</f>
        <v>1192705.5523368069</v>
      </c>
      <c r="FB146" s="23">
        <f>IF(BE146&lt;&gt;-999, BE146*$EY146, -999)</f>
        <v>9399062.6082583349</v>
      </c>
      <c r="FC146">
        <f>-29.317-(0.1023*G146)+H146*(100+102.093-66.644-64.243)</f>
        <v>20.602738483497369</v>
      </c>
      <c r="FD146">
        <f>IF(BF146&lt;&gt;-999,BF146*$FC146, -999)</f>
        <v>5526134.1928473944</v>
      </c>
      <c r="FE146">
        <f>IF(BG146&lt;&gt;-999,BG146*$FC146, -999)</f>
        <v>803165.09551977471</v>
      </c>
      <c r="FF146" s="23">
        <f>IF(BH146&lt;&gt;-999,BH146*$FC146, -999)</f>
        <v>6329302.7180730589</v>
      </c>
      <c r="FG146">
        <f>-38.03-(0.1023*G146)+H146*(100+102.093-66.644-64.243)</f>
        <v>11.889738483497368</v>
      </c>
      <c r="FH146">
        <f>IF(BI146&lt;&gt;-999,BI146*$FG146, -999)</f>
        <v>5904070.2424568757</v>
      </c>
      <c r="FI146">
        <f>IF(BJ146&lt;&gt;-999,BJ146*$FG146, -999)</f>
        <v>858095.07306511386</v>
      </c>
      <c r="FJ146" s="23">
        <f>IF(BK146&lt;&gt;-999,BK146*$FG146, -999)</f>
        <v>6762165.315521989</v>
      </c>
      <c r="FK146" s="28">
        <f t="shared" si="102"/>
        <v>66555277.589899108</v>
      </c>
      <c r="FL146" s="22">
        <f t="shared" si="104"/>
        <v>10.012280000000011</v>
      </c>
      <c r="FM146">
        <f>IF(AT146&lt;&gt;-999,AT146*$FL146, -999)</f>
        <v>4149456.1224344443</v>
      </c>
      <c r="FN146">
        <f>IF(AU146&lt;&gt;-999,AU146*$FL146, -999)</f>
        <v>603080.78189103596</v>
      </c>
      <c r="FO146" s="29">
        <f>IF(AV146&lt;&gt;-999,AV146*$FL146, -999)</f>
        <v>4752536.9043254796</v>
      </c>
      <c r="FP146">
        <f t="shared" si="105"/>
        <v>7.2392800000000115</v>
      </c>
      <c r="FQ146">
        <f>IF(AW146&lt;&gt;-999,AW146*$FP146, -999)</f>
        <v>2419649.7889734805</v>
      </c>
      <c r="FR146">
        <f>IF(AX146&lt;&gt;-999,AX146*$FP146, -999)</f>
        <v>351670.87661111646</v>
      </c>
      <c r="FS146" s="29">
        <f>IF(AY146&lt;&gt;-999,AY146*$FP146, -999)</f>
        <v>2771320.6655845963</v>
      </c>
      <c r="FT146">
        <f t="shared" si="106"/>
        <v>1.3112800000000142</v>
      </c>
      <c r="FU146">
        <f>IF(AZ146&lt;&gt;-999,AZ146*$FT146, -999)</f>
        <v>811400.21155607037</v>
      </c>
      <c r="FV146">
        <f>IF(BA146&lt;&gt;-999,BA146*$FT146, -999)</f>
        <v>117928.54129188936</v>
      </c>
      <c r="FW146" s="29">
        <f>IF(BB146&lt;&gt;-999,BB146*$FT146, -999)</f>
        <v>929328.75284795964</v>
      </c>
      <c r="FX146">
        <f t="shared" si="107"/>
        <v>1.9372800000000119</v>
      </c>
      <c r="FY146">
        <f>IF(BC146&lt;&gt;-999, BC146*$FX146, -999)</f>
        <v>644302.814006484</v>
      </c>
      <c r="FZ146">
        <f>IF(BD146&lt;&gt;-999, BD146*$FX146, -999)</f>
        <v>93642.516777894562</v>
      </c>
      <c r="GA146" s="29">
        <f>IF(BE146&lt;&gt;-999, BE146*$FX146, -999)</f>
        <v>737945.65328037261</v>
      </c>
      <c r="GB146">
        <f t="shared" si="108"/>
        <v>-2.1347199999999873</v>
      </c>
      <c r="GC146">
        <f>IF(BF146&lt;&gt;-999,BF146*$GB146, -999)</f>
        <v>-572581.61062444316</v>
      </c>
      <c r="GD146">
        <f>IF(BG146&lt;&gt;-999,BG146*$GB146, -999)</f>
        <v>-83218.674744684555</v>
      </c>
      <c r="GE146" s="29">
        <f>IF(BH146&lt;&gt;-999,BH146*$GB146, -999)</f>
        <v>-655800.64073265193</v>
      </c>
      <c r="GF146">
        <f t="shared" si="109"/>
        <v>-10.847719999999988</v>
      </c>
      <c r="GG146">
        <f>IF(BI146&lt;&gt;-999,BI146*$GF146, -999)</f>
        <v>-5386636.6311923442</v>
      </c>
      <c r="GH146">
        <f>IF(BJ146&lt;&gt;-999,BJ146*$GF146, -999)</f>
        <v>-782891.49075142876</v>
      </c>
      <c r="GI146" s="29">
        <f>IF(BK146&lt;&gt;-999,BK146*$GF146, -999)</f>
        <v>-6169528.1219437718</v>
      </c>
      <c r="GJ146" s="30">
        <f t="shared" si="103"/>
        <v>2365803.2133619841</v>
      </c>
    </row>
    <row r="147" spans="1:192">
      <c r="A147" s="49" t="s">
        <v>142</v>
      </c>
      <c r="B147" s="49" t="s">
        <v>278</v>
      </c>
      <c r="C147" s="49">
        <v>12</v>
      </c>
      <c r="D147" s="50">
        <v>0.49</v>
      </c>
      <c r="E147" s="49">
        <v>85.118239292909195</v>
      </c>
      <c r="F147" s="49">
        <v>0.79305274924577596</v>
      </c>
      <c r="G147" s="49">
        <v>168.96622853445101</v>
      </c>
      <c r="H147" s="49">
        <v>0.81153042843064505</v>
      </c>
      <c r="I147" s="42">
        <v>22861.7</v>
      </c>
      <c r="J147" s="43">
        <v>92934.8</v>
      </c>
      <c r="K147" s="43">
        <f t="shared" si="78"/>
        <v>115796.5</v>
      </c>
      <c r="L147" s="43">
        <v>24016.6</v>
      </c>
      <c r="M147" s="43">
        <v>97629.4</v>
      </c>
      <c r="N147" s="43">
        <f t="shared" si="79"/>
        <v>121646</v>
      </c>
      <c r="O147" s="43">
        <v>44720.7</v>
      </c>
      <c r="P147" s="43">
        <v>181793.6</v>
      </c>
      <c r="Q147" s="43">
        <f t="shared" si="80"/>
        <v>226514.3</v>
      </c>
      <c r="R147" s="43">
        <v>14544.5</v>
      </c>
      <c r="S147" s="43">
        <v>59124.5</v>
      </c>
      <c r="T147" s="43">
        <f t="shared" si="81"/>
        <v>73669</v>
      </c>
      <c r="U147" s="43">
        <v>15279.2</v>
      </c>
      <c r="V147" s="43">
        <v>62111.199999999997</v>
      </c>
      <c r="W147" s="43">
        <f t="shared" si="82"/>
        <v>77390.399999999994</v>
      </c>
      <c r="X147" s="43">
        <v>28451</v>
      </c>
      <c r="Y147" s="43">
        <v>115655.9</v>
      </c>
      <c r="Z147" s="43">
        <f t="shared" si="83"/>
        <v>144106.9</v>
      </c>
      <c r="AA147" s="22">
        <v>267640.90000000002</v>
      </c>
      <c r="AB147">
        <v>336461.1</v>
      </c>
      <c r="AC147">
        <v>604102</v>
      </c>
      <c r="AD147">
        <v>281160.7</v>
      </c>
      <c r="AE147">
        <v>353457.3</v>
      </c>
      <c r="AF147">
        <v>634618</v>
      </c>
      <c r="AG147">
        <v>523543.3</v>
      </c>
      <c r="AH147">
        <v>658165.19999999995</v>
      </c>
      <c r="AI147">
        <v>1181708.5</v>
      </c>
      <c r="AJ147">
        <v>170271.3</v>
      </c>
      <c r="AK147">
        <v>214054.3</v>
      </c>
      <c r="AL147">
        <v>384325.6</v>
      </c>
      <c r="AM147">
        <v>178872.5</v>
      </c>
      <c r="AN147">
        <v>224867.20000000001</v>
      </c>
      <c r="AO147">
        <v>403739.7</v>
      </c>
      <c r="AP147">
        <v>333074.7</v>
      </c>
      <c r="AQ147">
        <v>418720.3</v>
      </c>
      <c r="AR147">
        <v>751795</v>
      </c>
      <c r="AS147">
        <v>3960288.83</v>
      </c>
      <c r="AT147" s="22">
        <f t="shared" si="77"/>
        <v>445537.65110502759</v>
      </c>
      <c r="AU147">
        <f t="shared" si="77"/>
        <v>560101.56961142248</v>
      </c>
      <c r="AV147">
        <f t="shared" si="77"/>
        <v>1005639.2207164499</v>
      </c>
      <c r="AW147">
        <f t="shared" si="77"/>
        <v>468043.85227013251</v>
      </c>
      <c r="AX147">
        <f t="shared" si="77"/>
        <v>588394.87988541753</v>
      </c>
      <c r="AY147">
        <f t="shared" si="77"/>
        <v>1056438.73215555</v>
      </c>
      <c r="AZ147">
        <f t="shared" si="77"/>
        <v>871534.40350026742</v>
      </c>
      <c r="BA147">
        <f t="shared" si="77"/>
        <v>1095637.39042527</v>
      </c>
      <c r="BB147">
        <f t="shared" si="77"/>
        <v>1967171.7939255377</v>
      </c>
      <c r="BC147">
        <f t="shared" si="77"/>
        <v>283447.98964806751</v>
      </c>
      <c r="BD147">
        <f t="shared" si="110"/>
        <v>356332.8700169925</v>
      </c>
      <c r="BE147">
        <f t="shared" si="110"/>
        <v>639780.85966505995</v>
      </c>
      <c r="BF147">
        <f t="shared" si="110"/>
        <v>297766.27375443751</v>
      </c>
      <c r="BG147">
        <f t="shared" si="110"/>
        <v>374332.93677672005</v>
      </c>
      <c r="BH147">
        <f t="shared" si="110"/>
        <v>672099.21053115756</v>
      </c>
      <c r="BI147">
        <f t="shared" si="110"/>
        <v>554464.28210528253</v>
      </c>
      <c r="BJ147">
        <f t="shared" si="75"/>
        <v>697037.1827773425</v>
      </c>
      <c r="BK147">
        <f t="shared" si="75"/>
        <v>1251501.464882625</v>
      </c>
      <c r="BL147">
        <f t="shared" si="75"/>
        <v>6592631.3318169145</v>
      </c>
      <c r="BM147" s="22">
        <f>-17.17-(0.1023*E147)+F147*(100-8.576-13.681)</f>
        <v>35.776704004949757</v>
      </c>
      <c r="BN147">
        <f>IF(AT147&lt;&gt;-999,AT147*$BM147, -999)</f>
        <v>15939868.666645149</v>
      </c>
      <c r="BO147">
        <f>IF(AU147&lt;&gt;-999,AU147*$BM147, -999)</f>
        <v>20038588.068695623</v>
      </c>
      <c r="BP147" s="25">
        <f>IF(AV147&lt;&gt;-999,AV147*$BM147, -999)</f>
        <v>35978456.735340767</v>
      </c>
      <c r="BQ147">
        <f>-19.943-(0.1023*E147)+F147*(100-8.576-13.681)</f>
        <v>33.003704004949753</v>
      </c>
      <c r="BR147">
        <f>IF(AW147&lt;&gt;-999,AW147*$BQ147, -999)</f>
        <v>15447180.761659883</v>
      </c>
      <c r="BS147">
        <f>IF(AX147&lt;&gt;-999,AX147*$BQ147, -999)</f>
        <v>19419210.453766283</v>
      </c>
      <c r="BT147" s="25">
        <f>IF(AY147&lt;&gt;-999,AY147*$BQ147, -999)</f>
        <v>34866391.215426169</v>
      </c>
      <c r="BU147">
        <f>-25.871-(0.1023*E147)+F147*(100-8.576-13.681)</f>
        <v>27.075704004949756</v>
      </c>
      <c r="BV147">
        <f>IF(AZ147&lt;&gt;-999,AZ147*$BU147, -999)</f>
        <v>23597407.539303686</v>
      </c>
      <c r="BW147">
        <f>IF(BA147&lt;&gt;-999,BA147*$BU147, -999)</f>
        <v>29665153.679910183</v>
      </c>
      <c r="BX147" s="25">
        <f>IF(BB147&lt;&gt;-999,BB147*$BU147, -999)</f>
        <v>53262561.219213881</v>
      </c>
      <c r="BY147">
        <f>-25.245-(0.1023*E147)+F147*(100-8.576-13.681)</f>
        <v>27.701704004949754</v>
      </c>
      <c r="BZ147">
        <f>IF(BC147&lt;&gt;-999,BC147*$BY147, -999)</f>
        <v>7851992.3100288277</v>
      </c>
      <c r="CA147">
        <f>IF(BD147&lt;&gt;-999,BD147*$BY147, -999)</f>
        <v>9871027.6924449615</v>
      </c>
      <c r="CB147" s="25">
        <f>IF(BE147&lt;&gt;-999,BE147*$BY147, -999)</f>
        <v>17723020.002473786</v>
      </c>
      <c r="CC147">
        <f>-29.317-(0.1023*E147)+F147*(100-8.576-13.681)</f>
        <v>23.629704004949758</v>
      </c>
      <c r="CD147">
        <f>IF(BF147&lt;&gt;-999,BF147*$CC147, -999)</f>
        <v>7036128.9114741981</v>
      </c>
      <c r="CE147">
        <f>IF(BG147&lt;&gt;-999,BG147*$CC147, -999)</f>
        <v>8845376.4953374658</v>
      </c>
      <c r="CF147" s="25">
        <f>IF(BH147&lt;&gt;-999,BH147*$CC147, -999)</f>
        <v>15881505.406811664</v>
      </c>
      <c r="CG147">
        <f>-38.03-(0.1023*E147)+F147*(100-8.576-13.681)</f>
        <v>14.916704004949757</v>
      </c>
      <c r="CH147">
        <f>IF(BI147&lt;&gt;-999,BI147*$CG147, -999)</f>
        <v>8270779.5774814598</v>
      </c>
      <c r="CI147">
        <f>IF(BJ147&lt;&gt;-999,BJ147*$CG147, -999)</f>
        <v>10397497.335933682</v>
      </c>
      <c r="CJ147" s="25">
        <f>IF(BK147&lt;&gt;-999,BK147*$CG147, -999)</f>
        <v>18668276.913415141</v>
      </c>
      <c r="CK147" s="26">
        <f t="shared" si="84"/>
        <v>176380211.49268138</v>
      </c>
      <c r="CL147">
        <f t="shared" si="85"/>
        <v>-37.155698796071107</v>
      </c>
      <c r="CM147">
        <f t="shared" si="86"/>
        <v>20.148181738004297</v>
      </c>
      <c r="CN147">
        <f t="shared" si="87"/>
        <v>-93.469733445687282</v>
      </c>
      <c r="CO147" s="22">
        <f t="shared" si="88"/>
        <v>-40.08</v>
      </c>
      <c r="CP147">
        <f>IF(AT147&lt;&gt;-999,AT147*$CO147, -999)</f>
        <v>-17857149.056289505</v>
      </c>
      <c r="CQ147">
        <f>IF(AU147&lt;&gt;-999,AU147*$CO147, -999)</f>
        <v>-22448870.910025813</v>
      </c>
      <c r="CR147" s="27">
        <f>IF(AV147&lt;&gt;-999,AV147*$CO147, -999)</f>
        <v>-40306019.966315307</v>
      </c>
      <c r="CS147">
        <f t="shared" si="89"/>
        <v>-42.853000000000002</v>
      </c>
      <c r="CT147">
        <f>IF(AW147&lt;&gt;-999,AW147*$CS147, -999)</f>
        <v>-20057083.201331988</v>
      </c>
      <c r="CU147">
        <f>IF(AX147&lt;&gt;-999,AX147*$CS147, -999)</f>
        <v>-25214485.7877298</v>
      </c>
      <c r="CV147" s="27">
        <f>IF(AY147&lt;&gt;-999,AY147*$CS147, -999)</f>
        <v>-45271568.989061788</v>
      </c>
      <c r="CW147">
        <f t="shared" si="90"/>
        <v>-48.780999999999999</v>
      </c>
      <c r="CX147">
        <f>IF(AZ147&lt;&gt;-999,AZ147*$CO147, -999)</f>
        <v>-34931098.892290719</v>
      </c>
      <c r="CY147">
        <f>IF(BA147&lt;&gt;-999,BA147*$CO147, -999)</f>
        <v>-43913146.608244821</v>
      </c>
      <c r="CZ147" s="27">
        <f>IF(BB147&lt;&gt;-999,BB147*$CO147, -999)</f>
        <v>-78844245.500535548</v>
      </c>
      <c r="DA147">
        <f t="shared" si="91"/>
        <v>-48.155000000000001</v>
      </c>
      <c r="DB147">
        <f>IF(BC147&lt;&gt;-999,BC147*$DA147, -999)</f>
        <v>-13649437.94150269</v>
      </c>
      <c r="DC147">
        <f>IF(BD147&lt;&gt;-999,BD147*$DA147, -999)</f>
        <v>-17159209.355668273</v>
      </c>
      <c r="DD147" s="27">
        <f>IF(BE147&lt;&gt;-999,BE147*$DA147, -999)</f>
        <v>-30808647.297170963</v>
      </c>
      <c r="DE147">
        <f t="shared" si="92"/>
        <v>-52.227000000000004</v>
      </c>
      <c r="DF147">
        <f>IF(BF147&lt;&gt;-999,BF147*$DE147, -999)</f>
        <v>-15551439.179373009</v>
      </c>
      <c r="DG147">
        <f>IF(BG147&lt;&gt;-999,BG147*$DE147, -999)</f>
        <v>-19550286.28903776</v>
      </c>
      <c r="DH147" s="27">
        <f>IF(BH147&lt;&gt;-999,BH147*$DE147, -999)</f>
        <v>-35101725.468410768</v>
      </c>
      <c r="DI147">
        <f t="shared" si="93"/>
        <v>-60.94</v>
      </c>
      <c r="DJ147">
        <f>IF(BI147&lt;&gt;-999,BI147*$DI147, -999)</f>
        <v>-33789053.351495914</v>
      </c>
      <c r="DK147">
        <f>IF(BJ147&lt;&gt;-999,BJ147*$DI147, -999)</f>
        <v>-42477445.91845125</v>
      </c>
      <c r="DL147" s="27">
        <f>IF(BK147&lt;&gt;-999,BK147*$DI147, -999)</f>
        <v>-76266499.269947171</v>
      </c>
      <c r="DM147" s="28">
        <f t="shared" si="94"/>
        <v>-306598706.49144155</v>
      </c>
      <c r="DN147" s="22">
        <f t="shared" si="95"/>
        <v>-17.170000000000002</v>
      </c>
      <c r="DO147">
        <f>IF(AT147&lt;&gt;-999,AT147*$DN147, -999)</f>
        <v>-7649881.4694733247</v>
      </c>
      <c r="DP147">
        <f>IF(AU147&lt;&gt;-999,AU147*$DN147, -999)</f>
        <v>-9616943.9502281249</v>
      </c>
      <c r="DQ147" s="24">
        <f>IF(AV147&lt;&gt;-999,AV147*$DN147, -999)</f>
        <v>-17266825.419701446</v>
      </c>
      <c r="DR147">
        <f t="shared" si="96"/>
        <v>-19.943000000000001</v>
      </c>
      <c r="DS147">
        <f>IF(AW147&lt;&gt;-999,AW147*$DR147, -999)</f>
        <v>-9334198.5458232537</v>
      </c>
      <c r="DT147">
        <f>IF(AX147&lt;&gt;-999,AX147*$DR147, -999)</f>
        <v>-11734359.089554882</v>
      </c>
      <c r="DU147" s="24">
        <f>IF(AY147&lt;&gt;-999,AY147*$DR147, -999)</f>
        <v>-21068557.635378137</v>
      </c>
      <c r="DV147">
        <f t="shared" si="97"/>
        <v>-25.870999999999999</v>
      </c>
      <c r="DW147">
        <f>IF(AZ147&lt;&gt;-999,AZ147*$DV147, -999)</f>
        <v>-22547466.552955419</v>
      </c>
      <c r="DX147">
        <f>IF(BA147&lt;&gt;-999,BA147*$DV147, -999)</f>
        <v>-28345234.927692156</v>
      </c>
      <c r="DY147" s="24">
        <f>IF(BB147&lt;&gt;-999,BB147*$DV147, -999)</f>
        <v>-50892701.480647586</v>
      </c>
      <c r="DZ147">
        <f t="shared" si="98"/>
        <v>-25.245000000000001</v>
      </c>
      <c r="EA147">
        <f>IF(BC147&lt;&gt;-999, BC147*$DZ147, -999)</f>
        <v>-7155644.4986654641</v>
      </c>
      <c r="EB147">
        <f>IF(BD147&lt;&gt;-999, BD147*$DZ147, -999)</f>
        <v>-8995623.3035789765</v>
      </c>
      <c r="EC147" s="24">
        <f>IF(BE147&lt;&gt;-999, BE147*$DZ147, -999)</f>
        <v>-16151267.80224444</v>
      </c>
      <c r="ED147">
        <f t="shared" si="99"/>
        <v>-29.317</v>
      </c>
      <c r="EE147">
        <f>IF(BF147&lt;&gt;-999,BF147*$ED147, -999)</f>
        <v>-8729613.8476588447</v>
      </c>
      <c r="EF147">
        <f>IF(BG147&lt;&gt;-999,BG147*$ED147, -999)</f>
        <v>-10974318.707483102</v>
      </c>
      <c r="EG147" s="24">
        <f>IF(BH147&lt;&gt;-999,BH147*$ED147, -999)</f>
        <v>-19703932.555141944</v>
      </c>
      <c r="EH147">
        <f t="shared" si="100"/>
        <v>-38.03</v>
      </c>
      <c r="EI147">
        <f>IF(BI147&lt;&gt;-999,BI147*$EH147, -999)</f>
        <v>-21086276.648463894</v>
      </c>
      <c r="EJ147">
        <f>IF(BJ147&lt;&gt;-999,BJ147*$EH147, -999)</f>
        <v>-26508324.061022338</v>
      </c>
      <c r="EK147" s="24">
        <f>IF(BK147&lt;&gt;-999,BK147*$EH147, -999)</f>
        <v>-47594600.709486231</v>
      </c>
      <c r="EL147" s="28">
        <f t="shared" si="101"/>
        <v>-172677885.6025998</v>
      </c>
      <c r="EM147" s="22">
        <f>-17.17-(0.1023*G147)+H147*(100+102.093-66.644-64.243)</f>
        <v>23.330590507758188</v>
      </c>
      <c r="EN147">
        <f>IF(AT147&lt;&gt;-999,AT147*$EM147, -999)</f>
        <v>10394656.493719837</v>
      </c>
      <c r="EO147">
        <f>IF(AU147&lt;&gt;-999,AU147*$EM147, -999)</f>
        <v>13067500.363356715</v>
      </c>
      <c r="EP147" s="23">
        <f>IF(AV147&lt;&gt;-999,AV147*$EM147, -999)</f>
        <v>23462156.857076548</v>
      </c>
      <c r="EQ147">
        <f>-19.943-(0.1023*G147)+H147*(100+102.093-66.644-64.243)</f>
        <v>20.557590507758192</v>
      </c>
      <c r="ER147">
        <f>IF(AW147&lt;&gt;-999,AW147*$EQ147, -999)</f>
        <v>9621853.8546430543</v>
      </c>
      <c r="ES147">
        <f>IF(AX147&lt;&gt;-999,AX147*$EQ147, -999)</f>
        <v>12095980.997545982</v>
      </c>
      <c r="ET147" s="23">
        <f>IF(AY147&lt;&gt;-999,AY147*$EQ147, -999)</f>
        <v>21717834.852189034</v>
      </c>
      <c r="EU147">
        <f>-25.871-(0.1023*G147)+H147*(100+102.093-66.644-64.243)</f>
        <v>14.629590507758195</v>
      </c>
      <c r="EV147">
        <f>IF(AZ147&lt;&gt;-999,AZ147*$EU147, -999)</f>
        <v>12750191.436632212</v>
      </c>
      <c r="EW147">
        <f>IF(BA147&lt;&gt;-999,BA147*$EU147, -999)</f>
        <v>16028726.366910489</v>
      </c>
      <c r="EX147" s="23">
        <f>IF(BB147&lt;&gt;-999,BB147*$EU147, -999)</f>
        <v>28778917.803542707</v>
      </c>
      <c r="EY147">
        <f>-25.245-(0.1023*G147)+H147*(100+102.093-66.644-64.243)</f>
        <v>15.255590507758185</v>
      </c>
      <c r="EZ147">
        <f>IF(BC147&lt;&gt;-999, BC147*$EY147, -999)</f>
        <v>4324166.4603181994</v>
      </c>
      <c r="FA147">
        <f>IF(BD147&lt;&gt;-999, BD147*$EY147, -999)</f>
        <v>5436068.3494334621</v>
      </c>
      <c r="FB147" s="23">
        <f>IF(BE147&lt;&gt;-999, BE147*$EY147, -999)</f>
        <v>9760234.8097516596</v>
      </c>
      <c r="FC147">
        <f>-29.317-(0.1023*G147)+H147*(100+102.093-66.644-64.243)</f>
        <v>11.18359050775819</v>
      </c>
      <c r="FD147">
        <f>IF(BF147&lt;&gt;-999,BF147*$FC147, -999)</f>
        <v>3330096.0726906541</v>
      </c>
      <c r="FE147">
        <f>IF(BG147&lt;&gt;-999,BG147*$FC147, -999)</f>
        <v>4186386.2784773731</v>
      </c>
      <c r="FF147" s="23">
        <f>IF(BH147&lt;&gt;-999,BH147*$FC147, -999)</f>
        <v>7516482.3511680271</v>
      </c>
      <c r="FG147">
        <f>-38.03-(0.1023*G147)+H147*(100+102.093-66.644-64.243)</f>
        <v>2.4705905077581889</v>
      </c>
      <c r="FH147">
        <f>IF(BI147&lt;&gt;-999,BI147*$FG147, -999)</f>
        <v>1369854.1922602695</v>
      </c>
      <c r="FI147">
        <f>IF(BJ147&lt;&gt;-999,BJ147*$FG147, -999)</f>
        <v>1722093.4473242122</v>
      </c>
      <c r="FJ147" s="23">
        <f>IF(BK147&lt;&gt;-999,BK147*$FG147, -999)</f>
        <v>3091947.6395844817</v>
      </c>
      <c r="FK147" s="28">
        <f t="shared" si="102"/>
        <v>94327574.313312456</v>
      </c>
      <c r="FL147" s="22">
        <f t="shared" si="104"/>
        <v>10.012280000000011</v>
      </c>
      <c r="FM147">
        <f>IF(AT147&lt;&gt;-999,AT147*$FL147, -999)</f>
        <v>4460847.7134058503</v>
      </c>
      <c r="FN147">
        <f>IF(AU147&lt;&gt;-999,AU147*$FL147, -999)</f>
        <v>5607893.7433890598</v>
      </c>
      <c r="FO147" s="29">
        <f>IF(AV147&lt;&gt;-999,AV147*$FL147, -999)</f>
        <v>10068741.456794908</v>
      </c>
      <c r="FP147">
        <f t="shared" si="105"/>
        <v>7.2392800000000115</v>
      </c>
      <c r="FQ147">
        <f>IF(AW147&lt;&gt;-999,AW147*$FP147, -999)</f>
        <v>3388300.4988621301</v>
      </c>
      <c r="FR147">
        <f>IF(AX147&lt;&gt;-999,AX147*$FP147, -999)</f>
        <v>4259555.2860569125</v>
      </c>
      <c r="FS147" s="29">
        <f>IF(AY147&lt;&gt;-999,AY147*$FP147, -999)</f>
        <v>7647855.7849190421</v>
      </c>
      <c r="FT147">
        <f t="shared" si="106"/>
        <v>1.3112800000000142</v>
      </c>
      <c r="FU147">
        <f>IF(AZ147&lt;&gt;-999,AZ147*$FT147, -999)</f>
        <v>1142825.6326218431</v>
      </c>
      <c r="FV147">
        <f>IF(BA147&lt;&gt;-999,BA147*$FT147, -999)</f>
        <v>1436687.3973168635</v>
      </c>
      <c r="FW147" s="29">
        <f>IF(BB147&lt;&gt;-999,BB147*$FT147, -999)</f>
        <v>2579513.0299387071</v>
      </c>
      <c r="FX147">
        <f t="shared" si="107"/>
        <v>1.9372800000000119</v>
      </c>
      <c r="FY147">
        <f>IF(BC147&lt;&gt;-999, BC147*$FX147, -999)</f>
        <v>549118.12138541159</v>
      </c>
      <c r="FZ147">
        <f>IF(BD147&lt;&gt;-999, BD147*$FX147, -999)</f>
        <v>690316.54242652352</v>
      </c>
      <c r="GA147" s="29">
        <f>IF(BE147&lt;&gt;-999, BE147*$FX147, -999)</f>
        <v>1239434.6638119349</v>
      </c>
      <c r="GB147">
        <f t="shared" si="108"/>
        <v>-2.1347199999999873</v>
      </c>
      <c r="GC147">
        <f>IF(BF147&lt;&gt;-999,BF147*$GB147, -999)</f>
        <v>-635647.61990906904</v>
      </c>
      <c r="GD147">
        <f>IF(BG147&lt;&gt;-999,BG147*$GB147, -999)</f>
        <v>-799096.00679599505</v>
      </c>
      <c r="GE147" s="29">
        <f>IF(BH147&lt;&gt;-999,BH147*$GB147, -999)</f>
        <v>-1434743.6267050642</v>
      </c>
      <c r="GF147">
        <f t="shared" si="109"/>
        <v>-10.847719999999988</v>
      </c>
      <c r="GG147">
        <f>IF(BI147&lt;&gt;-999,BI147*$GF147, -999)</f>
        <v>-6014673.2822791087</v>
      </c>
      <c r="GH147">
        <f>IF(BJ147&lt;&gt;-999,BJ147*$GF147, -999)</f>
        <v>-7561264.1883574259</v>
      </c>
      <c r="GI147" s="29">
        <f>IF(BK147&lt;&gt;-999,BK147*$GF147, -999)</f>
        <v>-13575937.470636535</v>
      </c>
      <c r="GJ147" s="30">
        <f t="shared" si="103"/>
        <v>6524863.8381229863</v>
      </c>
    </row>
    <row r="148" spans="1:192">
      <c r="A148" s="49" t="s">
        <v>142</v>
      </c>
      <c r="B148" s="49" t="s">
        <v>279</v>
      </c>
      <c r="C148" s="49">
        <v>4</v>
      </c>
      <c r="D148" s="50">
        <v>0.48699999999999999</v>
      </c>
      <c r="E148" s="49">
        <v>10.8590504992854</v>
      </c>
      <c r="F148" s="49">
        <v>0.79746848229147205</v>
      </c>
      <c r="G148" s="49">
        <v>57.642099551223303</v>
      </c>
      <c r="H148" s="49">
        <v>0.81921222199688604</v>
      </c>
      <c r="I148" s="42">
        <v>34709.1</v>
      </c>
      <c r="J148" s="43">
        <v>37180.5</v>
      </c>
      <c r="K148" s="43">
        <f t="shared" si="78"/>
        <v>71889.600000000006</v>
      </c>
      <c r="L148" s="43">
        <v>12872.1</v>
      </c>
      <c r="M148" s="43">
        <v>13788.7</v>
      </c>
      <c r="N148" s="43">
        <f t="shared" si="79"/>
        <v>26660.800000000003</v>
      </c>
      <c r="O148" s="43">
        <v>77553.399999999994</v>
      </c>
      <c r="P148" s="43">
        <v>83075.600000000006</v>
      </c>
      <c r="Q148" s="43">
        <f t="shared" si="80"/>
        <v>160629</v>
      </c>
      <c r="R148" s="43">
        <v>19644.3</v>
      </c>
      <c r="S148" s="43">
        <v>21043.1</v>
      </c>
      <c r="T148" s="43">
        <f t="shared" si="81"/>
        <v>40687.399999999994</v>
      </c>
      <c r="U148" s="43">
        <v>7285.3</v>
      </c>
      <c r="V148" s="43">
        <v>7804</v>
      </c>
      <c r="W148" s="43">
        <f t="shared" si="82"/>
        <v>15089.3</v>
      </c>
      <c r="X148" s="43">
        <v>43893</v>
      </c>
      <c r="Y148" s="43">
        <v>47018.400000000001</v>
      </c>
      <c r="Z148" s="43">
        <f t="shared" si="83"/>
        <v>90911.4</v>
      </c>
      <c r="AA148" s="22">
        <v>263198</v>
      </c>
      <c r="AB148">
        <v>178326.3</v>
      </c>
      <c r="AC148">
        <v>441524.4</v>
      </c>
      <c r="AD148">
        <v>97609.2</v>
      </c>
      <c r="AE148">
        <v>66133.8</v>
      </c>
      <c r="AF148">
        <v>163743</v>
      </c>
      <c r="AG148">
        <v>588085.80000000005</v>
      </c>
      <c r="AH148">
        <v>398449.8</v>
      </c>
      <c r="AI148">
        <v>986535.6</v>
      </c>
      <c r="AJ148">
        <v>148962.5</v>
      </c>
      <c r="AK148">
        <v>100927.5</v>
      </c>
      <c r="AL148">
        <v>249890</v>
      </c>
      <c r="AM148">
        <v>55244</v>
      </c>
      <c r="AN148">
        <v>37429.800000000003</v>
      </c>
      <c r="AO148">
        <v>92673.8</v>
      </c>
      <c r="AP148">
        <v>332839.5</v>
      </c>
      <c r="AQ148">
        <v>225511</v>
      </c>
      <c r="AR148">
        <v>558350.5</v>
      </c>
      <c r="AS148">
        <v>2492717.33</v>
      </c>
      <c r="AT148" s="22">
        <f t="shared" si="77"/>
        <v>438141.62445105001</v>
      </c>
      <c r="AU148">
        <f t="shared" si="77"/>
        <v>296857.0230941925</v>
      </c>
      <c r="AV148">
        <f t="shared" si="77"/>
        <v>734998.81401368999</v>
      </c>
      <c r="AW148">
        <f t="shared" si="77"/>
        <v>162488.51985717</v>
      </c>
      <c r="AX148">
        <f t="shared" si="77"/>
        <v>110091.910132755</v>
      </c>
      <c r="AY148">
        <f t="shared" si="77"/>
        <v>272580.429989925</v>
      </c>
      <c r="AZ148">
        <f t="shared" si="77"/>
        <v>978977.30122795503</v>
      </c>
      <c r="BA148">
        <f t="shared" si="77"/>
        <v>663293.19612685498</v>
      </c>
      <c r="BB148">
        <f t="shared" si="77"/>
        <v>1642270.4973548099</v>
      </c>
      <c r="BC148">
        <f t="shared" si="77"/>
        <v>247975.5611071875</v>
      </c>
      <c r="BD148">
        <f t="shared" si="110"/>
        <v>168012.44235056249</v>
      </c>
      <c r="BE148">
        <f t="shared" si="110"/>
        <v>415988.00345774996</v>
      </c>
      <c r="BF148">
        <f t="shared" si="110"/>
        <v>91963.829136900007</v>
      </c>
      <c r="BG148">
        <f t="shared" si="110"/>
        <v>62308.806962355004</v>
      </c>
      <c r="BH148">
        <f t="shared" si="110"/>
        <v>154272.636099255</v>
      </c>
      <c r="BI148">
        <f t="shared" si="110"/>
        <v>554072.7483167625</v>
      </c>
      <c r="BJ148">
        <f t="shared" si="110"/>
        <v>375404.660641725</v>
      </c>
      <c r="BK148">
        <f t="shared" si="110"/>
        <v>929477.40895848745</v>
      </c>
      <c r="BL148">
        <f t="shared" si="110"/>
        <v>4149587.8398144515</v>
      </c>
      <c r="BM148" s="22">
        <f>-17.17-(0.1023*E148)+F148*(100-8.576-13.681)</f>
        <v>43.716711352709019</v>
      </c>
      <c r="BN148">
        <f>IF(AT148&lt;&gt;-999,AT148*$BM148, -999)</f>
        <v>19154110.927733589</v>
      </c>
      <c r="BO148">
        <f>IF(AU148&lt;&gt;-999,AU148*$BM148, -999)</f>
        <v>12977612.791633289</v>
      </c>
      <c r="BP148" s="25">
        <f>IF(AV148&lt;&gt;-999,AV148*$BM148, -999)</f>
        <v>32131730.996819947</v>
      </c>
      <c r="BQ148">
        <f>-19.943-(0.1023*E148)+F148*(100-8.576-13.681)</f>
        <v>40.943711352709016</v>
      </c>
      <c r="BR148">
        <f>IF(AW148&lt;&gt;-999,AW148*$BQ148, -999)</f>
        <v>6652883.0551608959</v>
      </c>
      <c r="BS148">
        <f>IF(AX148&lt;&gt;-999,AX148*$BQ148, -999)</f>
        <v>4507571.390743902</v>
      </c>
      <c r="BT148" s="25">
        <f>IF(AY148&lt;&gt;-999,AY148*$BQ148, -999)</f>
        <v>11160454.445904797</v>
      </c>
      <c r="BU148">
        <f>-25.871-(0.1023*E148)+F148*(100-8.576-13.681)</f>
        <v>35.015711352709019</v>
      </c>
      <c r="BV148">
        <f>IF(AZ148&lt;&gt;-999,AZ148*$BU148, -999)</f>
        <v>34279586.600652143</v>
      </c>
      <c r="BW148">
        <f>IF(BA148&lt;&gt;-999,BA148*$BU148, -999)</f>
        <v>23225683.097793765</v>
      </c>
      <c r="BX148" s="25">
        <f>IF(BB148&lt;&gt;-999,BB148*$BU148, -999)</f>
        <v>57505269.698445901</v>
      </c>
      <c r="BY148">
        <f>-25.245-(0.1023*E148)+F148*(100-8.576-13.681)</f>
        <v>35.641711352709024</v>
      </c>
      <c r="BZ148">
        <f>IF(BC148&lt;&gt;-999,BC148*$BY148, -999)</f>
        <v>8838273.3715084344</v>
      </c>
      <c r="CA148">
        <f>IF(BD148&lt;&gt;-999,BD148*$BY148, -999)</f>
        <v>5988250.9739224138</v>
      </c>
      <c r="CB148" s="25">
        <f>IF(BE148&lt;&gt;-999,BE148*$BY148, -999)</f>
        <v>14826524.345430847</v>
      </c>
      <c r="CC148">
        <f>-29.317-(0.1023*E148)+F148*(100-8.576-13.681)</f>
        <v>31.569711352709021</v>
      </c>
      <c r="CD148">
        <f>IF(BF148&lt;&gt;-999,BF148*$CC148, -999)</f>
        <v>2903271.540741785</v>
      </c>
      <c r="CE148">
        <f>IF(BG148&lt;&gt;-999,BG148*$CC148, -999)</f>
        <v>1967071.0505332137</v>
      </c>
      <c r="CF148" s="25">
        <f>IF(BH148&lt;&gt;-999,BH148*$CC148, -999)</f>
        <v>4870342.5912749982</v>
      </c>
      <c r="CG148">
        <f>-38.03-(0.1023*E148)+F148*(100-8.576-13.681)</f>
        <v>22.85671135270902</v>
      </c>
      <c r="CH148">
        <f>IF(BI148&lt;&gt;-999,BI148*$CG148, -999)</f>
        <v>12664280.876678433</v>
      </c>
      <c r="CI148">
        <f>IF(BJ148&lt;&gt;-999,BJ148*$CG148, -999)</f>
        <v>8580515.9687495921</v>
      </c>
      <c r="CJ148" s="25">
        <f>IF(BK148&lt;&gt;-999,BK148*$CG148, -999)</f>
        <v>21244796.845428023</v>
      </c>
      <c r="CK148" s="26">
        <f t="shared" si="84"/>
        <v>141739118.92330453</v>
      </c>
      <c r="CL148">
        <f t="shared" si="85"/>
        <v>-46.352757437316846</v>
      </c>
      <c r="CM148">
        <f t="shared" si="86"/>
        <v>10.633820727398639</v>
      </c>
      <c r="CN148">
        <f t="shared" si="87"/>
        <v>-102.35497068049416</v>
      </c>
      <c r="CO148" s="22">
        <f t="shared" si="88"/>
        <v>-40.08</v>
      </c>
      <c r="CP148">
        <f>IF(AT148&lt;&gt;-999,AT148*$CO148, -999)</f>
        <v>-17560716.307998084</v>
      </c>
      <c r="CQ148">
        <f>IF(AU148&lt;&gt;-999,AU148*$CO148, -999)</f>
        <v>-11898029.485615235</v>
      </c>
      <c r="CR148" s="27">
        <f>IF(AV148&lt;&gt;-999,AV148*$CO148, -999)</f>
        <v>-29458752.465668693</v>
      </c>
      <c r="CS148">
        <f t="shared" si="89"/>
        <v>-42.853000000000002</v>
      </c>
      <c r="CT148">
        <f>IF(AW148&lt;&gt;-999,AW148*$CS148, -999)</f>
        <v>-6963120.541439306</v>
      </c>
      <c r="CU148">
        <f>IF(AX148&lt;&gt;-999,AX148*$CS148, -999)</f>
        <v>-4717768.6249189498</v>
      </c>
      <c r="CV148" s="27">
        <f>IF(AY148&lt;&gt;-999,AY148*$CS148, -999)</f>
        <v>-11680889.166358257</v>
      </c>
      <c r="CW148">
        <f t="shared" si="90"/>
        <v>-48.780999999999999</v>
      </c>
      <c r="CX148">
        <f>IF(AZ148&lt;&gt;-999,AZ148*$CO148, -999)</f>
        <v>-39237410.233216435</v>
      </c>
      <c r="CY148">
        <f>IF(BA148&lt;&gt;-999,BA148*$CO148, -999)</f>
        <v>-26584791.300764345</v>
      </c>
      <c r="CZ148" s="27">
        <f>IF(BB148&lt;&gt;-999,BB148*$CO148, -999)</f>
        <v>-65822201.533980779</v>
      </c>
      <c r="DA148">
        <f t="shared" si="91"/>
        <v>-48.155000000000001</v>
      </c>
      <c r="DB148">
        <f>IF(BC148&lt;&gt;-999,BC148*$DA148, -999)</f>
        <v>-11941263.145116614</v>
      </c>
      <c r="DC148">
        <f>IF(BD148&lt;&gt;-999,BD148*$DA148, -999)</f>
        <v>-8090639.1613913365</v>
      </c>
      <c r="DD148" s="27">
        <f>IF(BE148&lt;&gt;-999,BE148*$DA148, -999)</f>
        <v>-20031902.306507949</v>
      </c>
      <c r="DE148">
        <f t="shared" si="92"/>
        <v>-52.227000000000004</v>
      </c>
      <c r="DF148">
        <f>IF(BF148&lt;&gt;-999,BF148*$DE148, -999)</f>
        <v>-4802994.9043328771</v>
      </c>
      <c r="DG148">
        <f>IF(BG148&lt;&gt;-999,BG148*$DE148, -999)</f>
        <v>-3254202.0612229151</v>
      </c>
      <c r="DH148" s="27">
        <f>IF(BH148&lt;&gt;-999,BH148*$DE148, -999)</f>
        <v>-8057196.9655557917</v>
      </c>
      <c r="DI148">
        <f t="shared" si="93"/>
        <v>-60.94</v>
      </c>
      <c r="DJ148">
        <f>IF(BI148&lt;&gt;-999,BI148*$DI148, -999)</f>
        <v>-33765193.282423504</v>
      </c>
      <c r="DK148">
        <f>IF(BJ148&lt;&gt;-999,BJ148*$DI148, -999)</f>
        <v>-22877160.019506719</v>
      </c>
      <c r="DL148" s="27">
        <f>IF(BK148&lt;&gt;-999,BK148*$DI148, -999)</f>
        <v>-56642353.301930226</v>
      </c>
      <c r="DM148" s="28">
        <f t="shared" si="94"/>
        <v>-191693295.74000168</v>
      </c>
      <c r="DN148" s="22">
        <f t="shared" si="95"/>
        <v>-17.170000000000002</v>
      </c>
      <c r="DO148">
        <f>IF(AT148&lt;&gt;-999,AT148*$DN148, -999)</f>
        <v>-7522891.6918245293</v>
      </c>
      <c r="DP148">
        <f>IF(AU148&lt;&gt;-999,AU148*$DN148, -999)</f>
        <v>-5097035.0865272861</v>
      </c>
      <c r="DQ148" s="24">
        <f>IF(AV148&lt;&gt;-999,AV148*$DN148, -999)</f>
        <v>-12619929.636615058</v>
      </c>
      <c r="DR148">
        <f t="shared" si="96"/>
        <v>-19.943000000000001</v>
      </c>
      <c r="DS148">
        <f>IF(AW148&lt;&gt;-999,AW148*$DR148, -999)</f>
        <v>-3240508.5515115415</v>
      </c>
      <c r="DT148">
        <f>IF(AX148&lt;&gt;-999,AX148*$DR148, -999)</f>
        <v>-2195562.9637775333</v>
      </c>
      <c r="DU148" s="24">
        <f>IF(AY148&lt;&gt;-999,AY148*$DR148, -999)</f>
        <v>-5436071.5152890747</v>
      </c>
      <c r="DV148">
        <f t="shared" si="97"/>
        <v>-25.870999999999999</v>
      </c>
      <c r="DW148">
        <f>IF(AZ148&lt;&gt;-999,AZ148*$DV148, -999)</f>
        <v>-25327121.760068424</v>
      </c>
      <c r="DX148">
        <f>IF(BA148&lt;&gt;-999,BA148*$DV148, -999)</f>
        <v>-17160058.276997864</v>
      </c>
      <c r="DY148" s="24">
        <f>IF(BB148&lt;&gt;-999,BB148*$DV148, -999)</f>
        <v>-42487180.037066281</v>
      </c>
      <c r="DZ148">
        <f t="shared" si="98"/>
        <v>-25.245000000000001</v>
      </c>
      <c r="EA148">
        <f>IF(BC148&lt;&gt;-999, BC148*$DZ148, -999)</f>
        <v>-6260143.0401509488</v>
      </c>
      <c r="EB148">
        <f>IF(BD148&lt;&gt;-999, BD148*$DZ148, -999)</f>
        <v>-4241474.1071399506</v>
      </c>
      <c r="EC148" s="24">
        <f>IF(BE148&lt;&gt;-999, BE148*$DZ148, -999)</f>
        <v>-10501617.147290898</v>
      </c>
      <c r="ED148">
        <f t="shared" si="99"/>
        <v>-29.317</v>
      </c>
      <c r="EE148">
        <f>IF(BF148&lt;&gt;-999,BF148*$ED148, -999)</f>
        <v>-2696103.5788064976</v>
      </c>
      <c r="EF148">
        <f>IF(BG148&lt;&gt;-999,BG148*$ED148, -999)</f>
        <v>-1826707.2937153617</v>
      </c>
      <c r="EG148" s="24">
        <f>IF(BH148&lt;&gt;-999,BH148*$ED148, -999)</f>
        <v>-4522810.8725218587</v>
      </c>
      <c r="EH148">
        <f t="shared" si="100"/>
        <v>-38.03</v>
      </c>
      <c r="EI148">
        <f>IF(BI148&lt;&gt;-999,BI148*$EH148, -999)</f>
        <v>-21071386.618486479</v>
      </c>
      <c r="EJ148">
        <f>IF(BJ148&lt;&gt;-999,BJ148*$EH148, -999)</f>
        <v>-14276639.244204802</v>
      </c>
      <c r="EK148" s="24">
        <f>IF(BK148&lt;&gt;-999,BK148*$EH148, -999)</f>
        <v>-35348025.862691276</v>
      </c>
      <c r="EL148" s="28">
        <f t="shared" si="101"/>
        <v>-110915635.07147446</v>
      </c>
      <c r="EM148" s="22">
        <f>-17.17-(0.1023*G148)+H148*(100+102.093-66.644-64.243)</f>
        <v>35.266038695420136</v>
      </c>
      <c r="EN148">
        <f>IF(AT148&lt;&gt;-999,AT148*$EM148, -999)</f>
        <v>15451519.481964966</v>
      </c>
      <c r="EO148">
        <f>IF(AU148&lt;&gt;-999,AU148*$EM148, -999)</f>
        <v>10468971.263447022</v>
      </c>
      <c r="EP148" s="23">
        <f>IF(AV148&lt;&gt;-999,AV148*$EM148, -999)</f>
        <v>25920496.616094697</v>
      </c>
      <c r="EQ148">
        <f>-19.943-(0.1023*G148)+H148*(100+102.093-66.644-64.243)</f>
        <v>32.49303869542014</v>
      </c>
      <c r="ER148">
        <f>IF(AW148&lt;&gt;-999,AW148*$EQ148, -999)</f>
        <v>5279745.7632805686</v>
      </c>
      <c r="ES148">
        <f>IF(AX148&lt;&gt;-999,AX148*$EQ148, -999)</f>
        <v>3577220.695996325</v>
      </c>
      <c r="ET148" s="23">
        <f>IF(AY148&lt;&gt;-999,AY148*$EQ148, -999)</f>
        <v>8856966.4592768941</v>
      </c>
      <c r="EU148">
        <f>-25.871-(0.1023*G148)+H148*(100+102.093-66.644-64.243)</f>
        <v>26.565038695420142</v>
      </c>
      <c r="EV148">
        <f>IF(AZ148&lt;&gt;-999,AZ148*$EU148, -999)</f>
        <v>26006569.889058605</v>
      </c>
      <c r="EW148">
        <f>IF(BA148&lt;&gt;-999,BA148*$EU148, -999)</f>
        <v>17620409.421518803</v>
      </c>
      <c r="EX148" s="23">
        <f>IF(BB148&lt;&gt;-999,BB148*$EU148, -999)</f>
        <v>43626979.310577407</v>
      </c>
      <c r="EY148">
        <f>-25.245-(0.1023*G148)+H148*(100+102.093-66.644-64.243)</f>
        <v>27.19103869542014</v>
      </c>
      <c r="EZ148">
        <f>IF(BC148&lt;&gt;-999, BC148*$EY148, -999)</f>
        <v>6742713.0775840571</v>
      </c>
      <c r="FA148">
        <f>IF(BD148&lt;&gt;-999, BD148*$EY148, -999)</f>
        <v>4568432.8212661901</v>
      </c>
      <c r="FB148" s="23">
        <f>IF(BE148&lt;&gt;-999, BE148*$EY148, -999)</f>
        <v>11311145.898850245</v>
      </c>
      <c r="FC148">
        <f>-29.317-(0.1023*G148)+H148*(100+102.093-66.644-64.243)</f>
        <v>23.119038695420137</v>
      </c>
      <c r="FD148">
        <f>IF(BF148&lt;&gt;-999,BF148*$FC148, -999)</f>
        <v>2126115.3243949972</v>
      </c>
      <c r="FE148">
        <f>IF(BG148&lt;&gt;-999,BG148*$FC148, -999)</f>
        <v>1440519.7192281489</v>
      </c>
      <c r="FF148" s="23">
        <f>IF(BH148&lt;&gt;-999,BH148*$FC148, -999)</f>
        <v>3566635.0436231461</v>
      </c>
      <c r="FG148">
        <f>-38.03-(0.1023*G148)+H148*(100+102.093-66.644-64.243)</f>
        <v>14.406038695420136</v>
      </c>
      <c r="FH148">
        <f>IF(BI148&lt;&gt;-999,BI148*$FG148, -999)</f>
        <v>7981993.4523290629</v>
      </c>
      <c r="FI148">
        <f>IF(BJ148&lt;&gt;-999,BJ148*$FG148, -999)</f>
        <v>5408094.0676457547</v>
      </c>
      <c r="FJ148" s="23">
        <f>IF(BK148&lt;&gt;-999,BK148*$FG148, -999)</f>
        <v>13390087.519974817</v>
      </c>
      <c r="FK148" s="28">
        <f t="shared" si="102"/>
        <v>106672310.84839721</v>
      </c>
      <c r="FL148" s="22">
        <f t="shared" si="104"/>
        <v>10.012280000000011</v>
      </c>
      <c r="FM148">
        <f>IF(AT148&lt;&gt;-999,AT148*$FL148, -999)</f>
        <v>4386796.6236587642</v>
      </c>
      <c r="FN148">
        <f>IF(AU148&lt;&gt;-999,AU148*$FL148, -999)</f>
        <v>2972215.6351855248</v>
      </c>
      <c r="FO148" s="29">
        <f>IF(AV148&lt;&gt;-999,AV148*$FL148, -999)</f>
        <v>7359013.925572996</v>
      </c>
      <c r="FP148">
        <f t="shared" si="105"/>
        <v>7.2392800000000115</v>
      </c>
      <c r="FQ148">
        <f>IF(AW148&lt;&gt;-999,AW148*$FP148, -999)</f>
        <v>1176299.8920316156</v>
      </c>
      <c r="FR148">
        <f>IF(AX148&lt;&gt;-999,AX148*$FP148, -999)</f>
        <v>796986.16318585188</v>
      </c>
      <c r="FS148" s="29">
        <f>IF(AY148&lt;&gt;-999,AY148*$FP148, -999)</f>
        <v>1973286.0552174675</v>
      </c>
      <c r="FT148">
        <f t="shared" si="106"/>
        <v>1.3112800000000142</v>
      </c>
      <c r="FU148">
        <f>IF(AZ148&lt;&gt;-999,AZ148*$FT148, -999)</f>
        <v>1283713.3555542068</v>
      </c>
      <c r="FV148">
        <f>IF(BA148&lt;&gt;-999,BA148*$FT148, -999)</f>
        <v>869763.10221723188</v>
      </c>
      <c r="FW148" s="29">
        <f>IF(BB148&lt;&gt;-999,BB148*$FT148, -999)</f>
        <v>2153476.4577714386</v>
      </c>
      <c r="FX148">
        <f t="shared" si="107"/>
        <v>1.9372800000000119</v>
      </c>
      <c r="FY148">
        <f>IF(BC148&lt;&gt;-999, BC148*$FX148, -999)</f>
        <v>480398.09502173518</v>
      </c>
      <c r="FZ148">
        <f>IF(BD148&lt;&gt;-999, BD148*$FX148, -999)</f>
        <v>325487.14431689971</v>
      </c>
      <c r="GA148" s="29">
        <f>IF(BE148&lt;&gt;-999, BE148*$FX148, -999)</f>
        <v>805885.23933863477</v>
      </c>
      <c r="GB148">
        <f t="shared" si="108"/>
        <v>-2.1347199999999873</v>
      </c>
      <c r="GC148">
        <f>IF(BF148&lt;&gt;-999,BF148*$GB148, -999)</f>
        <v>-196317.02533512202</v>
      </c>
      <c r="GD148">
        <f>IF(BG148&lt;&gt;-999,BG148*$GB148, -999)</f>
        <v>-133011.85639867769</v>
      </c>
      <c r="GE148" s="29">
        <f>IF(BH148&lt;&gt;-999,BH148*$GB148, -999)</f>
        <v>-329328.8817337997</v>
      </c>
      <c r="GF148">
        <f t="shared" si="109"/>
        <v>-10.847719999999988</v>
      </c>
      <c r="GG148">
        <f>IF(BI148&lt;&gt;-999,BI148*$GF148, -999)</f>
        <v>-6010426.0333707044</v>
      </c>
      <c r="GH148">
        <f>IF(BJ148&lt;&gt;-999,BJ148*$GF148, -999)</f>
        <v>-4072284.6453364487</v>
      </c>
      <c r="GI148" s="29">
        <f>IF(BK148&lt;&gt;-999,BK148*$GF148, -999)</f>
        <v>-10082710.678707153</v>
      </c>
      <c r="GJ148" s="30">
        <f t="shared" si="103"/>
        <v>1879622.1174595859</v>
      </c>
    </row>
    <row r="149" spans="1:192">
      <c r="A149" s="48" t="s">
        <v>146</v>
      </c>
      <c r="B149" s="48" t="s">
        <v>280</v>
      </c>
      <c r="C149" s="49">
        <v>1</v>
      </c>
      <c r="D149" s="50">
        <v>0.48299999999999998</v>
      </c>
      <c r="E149" s="49">
        <v>106.429208296529</v>
      </c>
      <c r="F149" s="49">
        <v>0.78864475454110605</v>
      </c>
      <c r="G149" s="49">
        <v>188.881311200938</v>
      </c>
      <c r="H149" s="49">
        <v>0.80944593148432498</v>
      </c>
      <c r="I149" s="42">
        <v>20846.3</v>
      </c>
      <c r="J149" s="43">
        <v>63560.1</v>
      </c>
      <c r="K149" s="43">
        <f t="shared" si="78"/>
        <v>84406.399999999994</v>
      </c>
      <c r="L149" s="43">
        <v>4111.8999999999996</v>
      </c>
      <c r="M149" s="43">
        <v>12537.1</v>
      </c>
      <c r="N149" s="43">
        <f t="shared" si="79"/>
        <v>16649</v>
      </c>
      <c r="O149" s="43">
        <v>17297.400000000001</v>
      </c>
      <c r="P149" s="43">
        <v>52739.8</v>
      </c>
      <c r="Q149" s="43">
        <f t="shared" si="80"/>
        <v>70037.200000000012</v>
      </c>
      <c r="R149" s="43">
        <v>18973.7</v>
      </c>
      <c r="S149" s="43">
        <v>57850.6</v>
      </c>
      <c r="T149" s="43">
        <f t="shared" si="81"/>
        <v>76824.3</v>
      </c>
      <c r="U149" s="43">
        <v>3742.5</v>
      </c>
      <c r="V149" s="43">
        <v>11410.9</v>
      </c>
      <c r="W149" s="43">
        <f t="shared" si="82"/>
        <v>15153.4</v>
      </c>
      <c r="X149" s="43">
        <v>15743.6</v>
      </c>
      <c r="Y149" s="43">
        <v>48002.2</v>
      </c>
      <c r="Z149" s="43">
        <f t="shared" si="83"/>
        <v>63745.799999999996</v>
      </c>
      <c r="AA149" s="22">
        <v>432133.2</v>
      </c>
      <c r="AB149">
        <v>1420466.8</v>
      </c>
      <c r="AC149">
        <v>1852600.1</v>
      </c>
      <c r="AD149">
        <v>85237.3</v>
      </c>
      <c r="AE149">
        <v>280183.8</v>
      </c>
      <c r="AF149">
        <v>365421.1</v>
      </c>
      <c r="AG149">
        <v>358567.7</v>
      </c>
      <c r="AH149">
        <v>1178649.3999999999</v>
      </c>
      <c r="AI149">
        <v>1537217.1</v>
      </c>
      <c r="AJ149">
        <v>393314.9</v>
      </c>
      <c r="AK149">
        <v>1292867</v>
      </c>
      <c r="AL149">
        <v>1686182</v>
      </c>
      <c r="AM149">
        <v>77580.5</v>
      </c>
      <c r="AN149">
        <v>255015.1</v>
      </c>
      <c r="AO149">
        <v>332595.5</v>
      </c>
      <c r="AP149">
        <v>326357.8</v>
      </c>
      <c r="AQ149">
        <v>1072771.8999999999</v>
      </c>
      <c r="AR149">
        <v>1399129.7</v>
      </c>
      <c r="AS149">
        <v>7173145.5099999998</v>
      </c>
      <c r="AT149" s="22">
        <f t="shared" si="77"/>
        <v>719365.42917207</v>
      </c>
      <c r="AU149">
        <f t="shared" si="77"/>
        <v>2364629.0292129302</v>
      </c>
      <c r="AV149">
        <f t="shared" si="77"/>
        <v>3083994.624853448</v>
      </c>
      <c r="AW149">
        <f t="shared" si="77"/>
        <v>141893.21000091749</v>
      </c>
      <c r="AX149">
        <f t="shared" si="77"/>
        <v>466417.62200650497</v>
      </c>
      <c r="AY149">
        <f t="shared" si="77"/>
        <v>608310.83200742246</v>
      </c>
      <c r="AZ149">
        <f t="shared" si="77"/>
        <v>596902.08342645748</v>
      </c>
      <c r="BA149">
        <f t="shared" si="77"/>
        <v>1962079.3576480648</v>
      </c>
      <c r="BB149">
        <f t="shared" si="77"/>
        <v>2558981.4410745227</v>
      </c>
      <c r="BC149">
        <f t="shared" si="77"/>
        <v>654745.20781617751</v>
      </c>
      <c r="BD149">
        <f t="shared" si="110"/>
        <v>2152215.6231398247</v>
      </c>
      <c r="BE149">
        <f t="shared" si="110"/>
        <v>2806960.9974244498</v>
      </c>
      <c r="BF149">
        <f t="shared" si="110"/>
        <v>129147.05391273751</v>
      </c>
      <c r="BG149">
        <f t="shared" si="110"/>
        <v>424519.67786057253</v>
      </c>
      <c r="BH149">
        <f t="shared" si="110"/>
        <v>553666.56530486245</v>
      </c>
      <c r="BI149">
        <f t="shared" si="110"/>
        <v>543282.76295515499</v>
      </c>
      <c r="BJ149">
        <f t="shared" si="110"/>
        <v>1785826.7271462523</v>
      </c>
      <c r="BK149">
        <f t="shared" si="110"/>
        <v>2329109.4901014073</v>
      </c>
      <c r="BL149">
        <f t="shared" si="110"/>
        <v>11941023.967412956</v>
      </c>
      <c r="BM149" s="22">
        <f>-17.17-(0.1023*E149)+F149*(100-8.576-13.681)</f>
        <v>33.253901143554295</v>
      </c>
      <c r="BN149">
        <f>IF(AT149&lt;&gt;-999,AT149*$BM149, -999)</f>
        <v>23921706.867778525</v>
      </c>
      <c r="BO149">
        <f>IF(AU149&lt;&gt;-999,AU149*$BM149, -999)</f>
        <v>78633139.978625536</v>
      </c>
      <c r="BP149" s="25">
        <f>IF(AV149&lt;&gt;-999,AV149*$BM149, -999)</f>
        <v>102554852.38212937</v>
      </c>
      <c r="BQ149">
        <f>-19.943-(0.1023*E149)+F149*(100-8.576-13.681)</f>
        <v>30.480901143554298</v>
      </c>
      <c r="BR149">
        <f>IF(AW149&lt;&gt;-999,AW149*$BQ149, -999)</f>
        <v>4325032.9069795562</v>
      </c>
      <c r="BS149">
        <f>IF(AX149&lt;&gt;-999,AX149*$BQ149, -999)</f>
        <v>14216829.427991955</v>
      </c>
      <c r="BT149" s="25">
        <f>IF(AY149&lt;&gt;-999,AY149*$BQ149, -999)</f>
        <v>18541862.33497151</v>
      </c>
      <c r="BU149">
        <f>-25.871-(0.1023*E149)+F149*(100-8.576-13.681)</f>
        <v>24.552901143554301</v>
      </c>
      <c r="BV149">
        <f>IF(AZ149&lt;&gt;-999,AZ149*$BU149, -999)</f>
        <v>14655677.846751412</v>
      </c>
      <c r="BW149">
        <f>IF(BA149&lt;&gt;-999,BA149*$BU149, -999)</f>
        <v>48174740.504141457</v>
      </c>
      <c r="BX149" s="25">
        <f>IF(BB149&lt;&gt;-999,BB149*$BU149, -999)</f>
        <v>62830418.350892879</v>
      </c>
      <c r="BY149">
        <f>-25.245-(0.1023*E149)+F149*(100-8.576-13.681)</f>
        <v>25.178901143554299</v>
      </c>
      <c r="BZ149">
        <f>IF(BC149&lt;&gt;-999,BC149*$BY149, -999)</f>
        <v>16485764.86181945</v>
      </c>
      <c r="CA149">
        <f>IF(BD149&lt;&gt;-999,BD149*$BY149, -999)</f>
        <v>54190424.414650761</v>
      </c>
      <c r="CB149" s="25">
        <f>IF(BE149&lt;&gt;-999,BE149*$BY149, -999)</f>
        <v>70676193.467962787</v>
      </c>
      <c r="CC149">
        <f>-29.317-(0.1023*E149)+F149*(100-8.576-13.681)</f>
        <v>21.106901143554296</v>
      </c>
      <c r="CD149">
        <f>IF(BF149&lt;&gt;-999,BF149*$CC149, -999)</f>
        <v>2725894.0999174276</v>
      </c>
      <c r="CE149">
        <f>IF(BG149&lt;&gt;-999,BG149*$CC149, -999)</f>
        <v>8960294.874096619</v>
      </c>
      <c r="CF149" s="25">
        <f>IF(BH149&lt;&gt;-999,BH149*$CC149, -999)</f>
        <v>11686185.460380981</v>
      </c>
      <c r="CG149">
        <f>-38.03-(0.1023*E149)+F149*(100-8.576-13.681)</f>
        <v>12.393901143554295</v>
      </c>
      <c r="CH149">
        <f>IF(BI149&lt;&gt;-999,BI149*$CG149, -999)</f>
        <v>6733392.8570632329</v>
      </c>
      <c r="CI149">
        <f>IF(BJ149&lt;&gt;-999,BJ149*$CG149, -999)</f>
        <v>22133359.915767759</v>
      </c>
      <c r="CJ149" s="25">
        <f>IF(BK149&lt;&gt;-999,BK149*$CG149, -999)</f>
        <v>28866752.772830993</v>
      </c>
      <c r="CK149" s="26">
        <f t="shared" si="84"/>
        <v>295156264.7691685</v>
      </c>
      <c r="CL149">
        <f t="shared" si="85"/>
        <v>-34.723397996069913</v>
      </c>
      <c r="CM149">
        <f t="shared" si="86"/>
        <v>22.900772758027585</v>
      </c>
      <c r="CN149">
        <f t="shared" si="87"/>
        <v>-91.352190291767883</v>
      </c>
      <c r="CO149" s="22">
        <f t="shared" si="88"/>
        <v>-40.08</v>
      </c>
      <c r="CP149">
        <f>IF(AT149&lt;&gt;-999,AT149*$CO149, -999)</f>
        <v>-28832166.401216563</v>
      </c>
      <c r="CQ149">
        <f>IF(AU149&lt;&gt;-999,AU149*$CO149, -999)</f>
        <v>-94774331.490854234</v>
      </c>
      <c r="CR149" s="27">
        <f>IF(AV149&lt;&gt;-999,AV149*$CO149, -999)</f>
        <v>-123606504.56412619</v>
      </c>
      <c r="CS149">
        <f t="shared" si="89"/>
        <v>-42.853000000000002</v>
      </c>
      <c r="CT149">
        <f>IF(AW149&lt;&gt;-999,AW149*$CS149, -999)</f>
        <v>-6080549.7281693174</v>
      </c>
      <c r="CU149">
        <f>IF(AX149&lt;&gt;-999,AX149*$CS149, -999)</f>
        <v>-19987394.355844758</v>
      </c>
      <c r="CV149" s="27">
        <f>IF(AY149&lt;&gt;-999,AY149*$CS149, -999)</f>
        <v>-26067944.084014077</v>
      </c>
      <c r="CW149">
        <f t="shared" si="90"/>
        <v>-48.780999999999999</v>
      </c>
      <c r="CX149">
        <f>IF(AZ149&lt;&gt;-999,AZ149*$CO149, -999)</f>
        <v>-23923835.503732413</v>
      </c>
      <c r="CY149">
        <f>IF(BA149&lt;&gt;-999,BA149*$CO149, -999)</f>
        <v>-78640140.654534429</v>
      </c>
      <c r="CZ149" s="27">
        <f>IF(BB149&lt;&gt;-999,BB149*$CO149, -999)</f>
        <v>-102563976.15826686</v>
      </c>
      <c r="DA149">
        <f t="shared" si="91"/>
        <v>-48.155000000000001</v>
      </c>
      <c r="DB149">
        <f>IF(BC149&lt;&gt;-999,BC149*$DA149, -999)</f>
        <v>-31529255.482388031</v>
      </c>
      <c r="DC149">
        <f>IF(BD149&lt;&gt;-999,BD149*$DA149, -999)</f>
        <v>-103639943.33229826</v>
      </c>
      <c r="DD149" s="27">
        <f>IF(BE149&lt;&gt;-999,BE149*$DA149, -999)</f>
        <v>-135169206.83097437</v>
      </c>
      <c r="DE149">
        <f t="shared" si="92"/>
        <v>-52.227000000000004</v>
      </c>
      <c r="DF149">
        <f>IF(BF149&lt;&gt;-999,BF149*$DE149, -999)</f>
        <v>-6744963.1847005421</v>
      </c>
      <c r="DG149">
        <f>IF(BG149&lt;&gt;-999,BG149*$DE149, -999)</f>
        <v>-22171389.215624124</v>
      </c>
      <c r="DH149" s="27">
        <f>IF(BH149&lt;&gt;-999,BH149*$DE149, -999)</f>
        <v>-28916343.706177052</v>
      </c>
      <c r="DI149">
        <f t="shared" si="93"/>
        <v>-60.94</v>
      </c>
      <c r="DJ149">
        <f>IF(BI149&lt;&gt;-999,BI149*$DI149, -999)</f>
        <v>-33107651.574487142</v>
      </c>
      <c r="DK149">
        <f>IF(BJ149&lt;&gt;-999,BJ149*$DI149, -999)</f>
        <v>-108828280.7522926</v>
      </c>
      <c r="DL149" s="27">
        <f>IF(BK149&lt;&gt;-999,BK149*$DI149, -999)</f>
        <v>-141935932.32677975</v>
      </c>
      <c r="DM149" s="28">
        <f t="shared" si="94"/>
        <v>-558259907.67033839</v>
      </c>
      <c r="DN149" s="22">
        <f t="shared" si="95"/>
        <v>-17.170000000000002</v>
      </c>
      <c r="DO149">
        <f>IF(AT149&lt;&gt;-999,AT149*$DN149, -999)</f>
        <v>-12351504.418884443</v>
      </c>
      <c r="DP149">
        <f>IF(AU149&lt;&gt;-999,AU149*$DN149, -999)</f>
        <v>-40600680.43158602</v>
      </c>
      <c r="DQ149" s="24">
        <f>IF(AV149&lt;&gt;-999,AV149*$DN149, -999)</f>
        <v>-52952187.708733708</v>
      </c>
      <c r="DR149">
        <f t="shared" si="96"/>
        <v>-19.943000000000001</v>
      </c>
      <c r="DS149">
        <f>IF(AW149&lt;&gt;-999,AW149*$DR149, -999)</f>
        <v>-2829776.2870482979</v>
      </c>
      <c r="DT149">
        <f>IF(AX149&lt;&gt;-999,AX149*$DR149, -999)</f>
        <v>-9301766.6356757302</v>
      </c>
      <c r="DU149" s="24">
        <f>IF(AY149&lt;&gt;-999,AY149*$DR149, -999)</f>
        <v>-12131542.922724027</v>
      </c>
      <c r="DV149">
        <f t="shared" si="97"/>
        <v>-25.870999999999999</v>
      </c>
      <c r="DW149">
        <f>IF(AZ149&lt;&gt;-999,AZ149*$DV149, -999)</f>
        <v>-15442453.80032588</v>
      </c>
      <c r="DX149">
        <f>IF(BA149&lt;&gt;-999,BA149*$DV149, -999)</f>
        <v>-50760955.061713085</v>
      </c>
      <c r="DY149" s="24">
        <f>IF(BB149&lt;&gt;-999,BB149*$DV149, -999)</f>
        <v>-66203408.86203897</v>
      </c>
      <c r="DZ149">
        <f t="shared" si="98"/>
        <v>-25.245000000000001</v>
      </c>
      <c r="EA149">
        <f>IF(BC149&lt;&gt;-999, BC149*$DZ149, -999)</f>
        <v>-16529042.771319402</v>
      </c>
      <c r="EB149">
        <f>IF(BD149&lt;&gt;-999, BD149*$DZ149, -999)</f>
        <v>-54332683.406164877</v>
      </c>
      <c r="EC149" s="24">
        <f>IF(BE149&lt;&gt;-999, BE149*$DZ149, -999)</f>
        <v>-70861730.379980236</v>
      </c>
      <c r="ED149">
        <f t="shared" si="99"/>
        <v>-29.317</v>
      </c>
      <c r="EE149">
        <f>IF(BF149&lt;&gt;-999,BF149*$ED149, -999)</f>
        <v>-3786204.1795597253</v>
      </c>
      <c r="EF149">
        <f>IF(BG149&lt;&gt;-999,BG149*$ED149, -999)</f>
        <v>-12445643.395838404</v>
      </c>
      <c r="EG149" s="24">
        <f>IF(BH149&lt;&gt;-999,BH149*$ED149, -999)</f>
        <v>-16231842.695042653</v>
      </c>
      <c r="EH149">
        <f t="shared" si="100"/>
        <v>-38.03</v>
      </c>
      <c r="EI149">
        <f>IF(BI149&lt;&gt;-999,BI149*$EH149, -999)</f>
        <v>-20661043.475184545</v>
      </c>
      <c r="EJ149">
        <f>IF(BJ149&lt;&gt;-999,BJ149*$EH149, -999)</f>
        <v>-67914990.433371976</v>
      </c>
      <c r="EK149" s="24">
        <f>IF(BK149&lt;&gt;-999,BK149*$EH149, -999)</f>
        <v>-88576033.908556521</v>
      </c>
      <c r="EL149" s="28">
        <f t="shared" si="101"/>
        <v>-306956746.47707605</v>
      </c>
      <c r="EM149" s="22">
        <f>-17.17-(0.1023*G149)+H149*(100+102.093-66.644-64.243)</f>
        <v>21.144848861416897</v>
      </c>
      <c r="EN149">
        <f>IF(AT149&lt;&gt;-999,AT149*$EM149, -999)</f>
        <v>15210873.275971722</v>
      </c>
      <c r="EO149">
        <f>IF(AU149&lt;&gt;-999,AU149*$EM149, -999)</f>
        <v>49999723.436026372</v>
      </c>
      <c r="EP149" s="23">
        <f>IF(AV149&lt;&gt;-999,AV149*$EM149, -999)</f>
        <v>65210600.231948256</v>
      </c>
      <c r="EQ149">
        <f>-19.943-(0.1023*G149)+H149*(100+102.093-66.644-64.243)</f>
        <v>18.3718488614169</v>
      </c>
      <c r="ER149">
        <f>IF(AW149&lt;&gt;-999,AW149*$EQ149, -999)</f>
        <v>2606840.6085981452</v>
      </c>
      <c r="ES149">
        <f>IF(AX149&lt;&gt;-999,AX149*$EQ149, -999)</f>
        <v>8568954.0578049868</v>
      </c>
      <c r="ET149" s="23">
        <f>IF(AY149&lt;&gt;-999,AY149*$EQ149, -999)</f>
        <v>11175794.666403132</v>
      </c>
      <c r="EU149">
        <f>-25.871-(0.1023*G149)+H149*(100+102.093-66.644-64.243)</f>
        <v>12.443848861416903</v>
      </c>
      <c r="EV149">
        <f>IF(AZ149&lt;&gt;-999,AZ149*$EU149, -999)</f>
        <v>7427759.3112237006</v>
      </c>
      <c r="EW149">
        <f>IF(BA149&lt;&gt;-999,BA149*$EU149, -999)</f>
        <v>24415818.98067848</v>
      </c>
      <c r="EX149" s="23">
        <f>IF(BB149&lt;&gt;-999,BB149*$EU149, -999)</f>
        <v>31843578.291902184</v>
      </c>
      <c r="EY149">
        <f>-25.245-(0.1023*G149)+H149*(100+102.093-66.644-64.243)</f>
        <v>13.069848861416894</v>
      </c>
      <c r="EZ149">
        <f>IF(BC149&lt;&gt;-999, BC149*$EY149, -999)</f>
        <v>8557420.9088944346</v>
      </c>
      <c r="FA149">
        <f>IF(BD149&lt;&gt;-999, BD149*$EY149, -999)</f>
        <v>28129132.911617689</v>
      </c>
      <c r="FB149" s="23">
        <f>IF(BE149&lt;&gt;-999, BE149*$EY149, -999)</f>
        <v>36686555.996229574</v>
      </c>
      <c r="FC149">
        <f>-29.317-(0.1023*G149)+H149*(100+102.093-66.644-64.243)</f>
        <v>8.9978488614168981</v>
      </c>
      <c r="FD149">
        <f>IF(BF149&lt;&gt;-999,BF149*$FC149, -999)</f>
        <v>1162045.672004072</v>
      </c>
      <c r="FE149">
        <f>IF(BG149&lt;&gt;-999,BG149*$FC149, -999)</f>
        <v>3819763.9000868211</v>
      </c>
      <c r="FF149" s="23">
        <f>IF(BH149&lt;&gt;-999,BH149*$FC149, -999)</f>
        <v>4981808.0742329611</v>
      </c>
      <c r="FG149">
        <f>-38.03-(0.1023*G149)+H149*(100+102.093-66.644-64.243)</f>
        <v>0.28484886141689714</v>
      </c>
      <c r="FH149">
        <f>IF(BI149&lt;&gt;-999,BI149*$FG149, -999)</f>
        <v>154753.47645520192</v>
      </c>
      <c r="FI149">
        <f>IF(BJ149&lt;&gt;-999,BJ149*$FG149, -999)</f>
        <v>508690.70991547377</v>
      </c>
      <c r="FJ149" s="23">
        <f>IF(BK149&lt;&gt;-999,BK149*$FG149, -999)</f>
        <v>663444.18637067568</v>
      </c>
      <c r="FK149" s="28">
        <f t="shared" si="102"/>
        <v>150561781.44708678</v>
      </c>
      <c r="FL149" s="22">
        <f t="shared" si="104"/>
        <v>10.012280000000011</v>
      </c>
      <c r="FM149">
        <f>IF(AT149&lt;&gt;-999,AT149*$FL149, -999)</f>
        <v>7202488.0991909411</v>
      </c>
      <c r="FN149">
        <f>IF(AU149&lt;&gt;-999,AU149*$FL149, -999)</f>
        <v>23675327.936608065</v>
      </c>
      <c r="FO149" s="29">
        <f>IF(AV149&lt;&gt;-999,AV149*$FL149, -999)</f>
        <v>30877817.702527717</v>
      </c>
      <c r="FP149">
        <f t="shared" si="105"/>
        <v>7.2392800000000115</v>
      </c>
      <c r="FQ149">
        <f>IF(AW149&lt;&gt;-999,AW149*$FP149, -999)</f>
        <v>1027204.6772954436</v>
      </c>
      <c r="FR149">
        <f>IF(AX149&lt;&gt;-999,AX149*$FP149, -999)</f>
        <v>3376527.7626392567</v>
      </c>
      <c r="FS149" s="29">
        <f>IF(AY149&lt;&gt;-999,AY149*$FP149, -999)</f>
        <v>4403732.4399346998</v>
      </c>
      <c r="FT149">
        <f t="shared" si="106"/>
        <v>1.3112800000000142</v>
      </c>
      <c r="FU149">
        <f>IF(AZ149&lt;&gt;-999,AZ149*$FT149, -999)</f>
        <v>782705.76395545364</v>
      </c>
      <c r="FV149">
        <f>IF(BA149&lt;&gt;-999,BA149*$FT149, -999)</f>
        <v>2572835.4200967825</v>
      </c>
      <c r="FW149" s="29">
        <f>IF(BB149&lt;&gt;-999,BB149*$FT149, -999)</f>
        <v>3355541.1840522364</v>
      </c>
      <c r="FX149">
        <f t="shared" si="107"/>
        <v>1.9372800000000119</v>
      </c>
      <c r="FY149">
        <f>IF(BC149&lt;&gt;-999, BC149*$FX149, -999)</f>
        <v>1268424.7961981322</v>
      </c>
      <c r="FZ149">
        <f>IF(BD149&lt;&gt;-999, BD149*$FX149, -999)</f>
        <v>4169444.2823963454</v>
      </c>
      <c r="GA149" s="29">
        <f>IF(BE149&lt;&gt;-999, BE149*$FX149, -999)</f>
        <v>5437869.4010904711</v>
      </c>
      <c r="GB149">
        <f t="shared" si="108"/>
        <v>-2.1347199999999873</v>
      </c>
      <c r="GC149">
        <f>IF(BF149&lt;&gt;-999,BF149*$GB149, -999)</f>
        <v>-275692.79892859736</v>
      </c>
      <c r="GD149">
        <f>IF(BG149&lt;&gt;-999,BG149*$GB149, -999)</f>
        <v>-906230.64672251604</v>
      </c>
      <c r="GE149" s="29">
        <f>IF(BH149&lt;&gt;-999,BH149*$GB149, -999)</f>
        <v>-1181923.090287589</v>
      </c>
      <c r="GF149">
        <f t="shared" si="109"/>
        <v>-10.847719999999988</v>
      </c>
      <c r="GG149">
        <f>IF(BI149&lt;&gt;-999,BI149*$GF149, -999)</f>
        <v>-5893379.2933638878</v>
      </c>
      <c r="GH149">
        <f>IF(BJ149&lt;&gt;-999,BJ149*$GF149, -999)</f>
        <v>-19372148.304598924</v>
      </c>
      <c r="GI149" s="29">
        <f>IF(BK149&lt;&gt;-999,BK149*$GF149, -999)</f>
        <v>-25265527.597962812</v>
      </c>
      <c r="GJ149" s="30">
        <f t="shared" si="103"/>
        <v>17627510.039354727</v>
      </c>
    </row>
    <row r="150" spans="1:192">
      <c r="A150" s="49" t="s">
        <v>160</v>
      </c>
      <c r="B150" s="49" t="s">
        <v>241</v>
      </c>
      <c r="C150" s="49">
        <v>21</v>
      </c>
      <c r="D150" s="50">
        <v>0.48299999999999998</v>
      </c>
      <c r="E150" s="49">
        <v>148.07346823919099</v>
      </c>
      <c r="F150" s="49">
        <v>0.78511873149087497</v>
      </c>
      <c r="G150" s="49">
        <v>159.25026671933699</v>
      </c>
      <c r="H150" s="49">
        <v>0.81216644018836903</v>
      </c>
      <c r="I150" s="42">
        <v>47757.3</v>
      </c>
      <c r="J150" s="43">
        <v>35865</v>
      </c>
      <c r="K150" s="43">
        <f t="shared" si="78"/>
        <v>83622.3</v>
      </c>
      <c r="L150" s="43">
        <v>28953</v>
      </c>
      <c r="M150" s="43">
        <v>21743.200000000001</v>
      </c>
      <c r="N150" s="43">
        <f t="shared" si="79"/>
        <v>50696.2</v>
      </c>
      <c r="O150" s="43">
        <v>49813.3</v>
      </c>
      <c r="P150" s="43">
        <v>37409</v>
      </c>
      <c r="Q150" s="43">
        <f t="shared" si="80"/>
        <v>87222.3</v>
      </c>
      <c r="R150" s="43">
        <v>52889.3</v>
      </c>
      <c r="S150" s="43">
        <v>39719.1</v>
      </c>
      <c r="T150" s="43">
        <f t="shared" si="81"/>
        <v>92608.4</v>
      </c>
      <c r="U150" s="43">
        <v>32064.3</v>
      </c>
      <c r="V150" s="43">
        <v>24079.8</v>
      </c>
      <c r="W150" s="43">
        <f t="shared" si="82"/>
        <v>56144.1</v>
      </c>
      <c r="X150" s="43">
        <v>55166.2</v>
      </c>
      <c r="Y150" s="43">
        <v>41429</v>
      </c>
      <c r="Z150" s="43">
        <f t="shared" si="83"/>
        <v>96595.199999999997</v>
      </c>
      <c r="AA150" s="22">
        <v>1177831.3</v>
      </c>
      <c r="AB150">
        <v>569899.5</v>
      </c>
      <c r="AC150">
        <v>1747730.8</v>
      </c>
      <c r="AD150">
        <v>714063</v>
      </c>
      <c r="AE150">
        <v>345502.9</v>
      </c>
      <c r="AF150">
        <v>1059565.8999999999</v>
      </c>
      <c r="AG150">
        <v>1228536.6000000001</v>
      </c>
      <c r="AH150">
        <v>594433.6</v>
      </c>
      <c r="AI150">
        <v>1822970.2</v>
      </c>
      <c r="AJ150">
        <v>1304401.3</v>
      </c>
      <c r="AK150">
        <v>631141.1</v>
      </c>
      <c r="AL150">
        <v>1935542.4</v>
      </c>
      <c r="AM150">
        <v>790796.3</v>
      </c>
      <c r="AN150">
        <v>382630.8</v>
      </c>
      <c r="AO150">
        <v>1173427.1000000001</v>
      </c>
      <c r="AP150">
        <v>1360555.4</v>
      </c>
      <c r="AQ150">
        <v>658311.5</v>
      </c>
      <c r="AR150">
        <v>2018867</v>
      </c>
      <c r="AS150">
        <v>9758103.3000000007</v>
      </c>
      <c r="AT150" s="22">
        <f t="shared" si="77"/>
        <v>1960717.4792790676</v>
      </c>
      <c r="AU150">
        <f t="shared" si="77"/>
        <v>948702.84996026254</v>
      </c>
      <c r="AV150">
        <f t="shared" si="77"/>
        <v>2909420.3292393303</v>
      </c>
      <c r="AW150">
        <f t="shared" si="77"/>
        <v>1188689.5902719251</v>
      </c>
      <c r="AX150">
        <f t="shared" si="77"/>
        <v>575153.31369747757</v>
      </c>
      <c r="AY150">
        <f t="shared" si="77"/>
        <v>1763842.9039694024</v>
      </c>
      <c r="AZ150">
        <f t="shared" si="77"/>
        <v>2045125.8049892853</v>
      </c>
      <c r="BA150">
        <f t="shared" si="77"/>
        <v>989544.38533835998</v>
      </c>
      <c r="BB150">
        <f t="shared" si="77"/>
        <v>3034670.1903276448</v>
      </c>
      <c r="BC150">
        <f t="shared" si="77"/>
        <v>2171416.5932798176</v>
      </c>
      <c r="BD150">
        <f t="shared" si="110"/>
        <v>1050650.7907044224</v>
      </c>
      <c r="BE150">
        <f t="shared" si="110"/>
        <v>3222067.3839842398</v>
      </c>
      <c r="BF150">
        <f t="shared" si="110"/>
        <v>1316426.3234974425</v>
      </c>
      <c r="BG150">
        <f t="shared" si="110"/>
        <v>636959.55241682997</v>
      </c>
      <c r="BH150">
        <f t="shared" si="110"/>
        <v>1953385.8759142726</v>
      </c>
      <c r="BI150">
        <f t="shared" si="110"/>
        <v>2264895.4517574152</v>
      </c>
      <c r="BJ150">
        <f t="shared" si="110"/>
        <v>1095880.9337639625</v>
      </c>
      <c r="BK150">
        <f t="shared" si="110"/>
        <v>3360776.551989825</v>
      </c>
      <c r="BL150">
        <f t="shared" si="110"/>
        <v>16244163.068956269</v>
      </c>
      <c r="BM150" s="22">
        <f>-17.17-(0.1023*E150)+F150*(100-8.576-13.681)</f>
        <v>28.719569741425858</v>
      </c>
      <c r="BN150">
        <f>IF(AT150&lt;&gt;-999,AT150*$BM150, -999)</f>
        <v>56310962.389387891</v>
      </c>
      <c r="BO150">
        <f>IF(AU150&lt;&gt;-999,AU150*$BM150, -999)</f>
        <v>27246337.663323231</v>
      </c>
      <c r="BP150" s="25">
        <f>IF(AV150&lt;&gt;-999,AV150*$BM150, -999)</f>
        <v>83557300.052711129</v>
      </c>
      <c r="BQ150">
        <f>-19.943-(0.1023*E150)+F150*(100-8.576-13.681)</f>
        <v>25.946569741425861</v>
      </c>
      <c r="BR150">
        <f>IF(AW150&lt;&gt;-999,AW150*$BQ150, -999)</f>
        <v>30842417.354897436</v>
      </c>
      <c r="BS150">
        <f>IF(AX150&lt;&gt;-999,AX150*$BQ150, -999)</f>
        <v>14923255.565863788</v>
      </c>
      <c r="BT150" s="25">
        <f>IF(AY150&lt;&gt;-999,AY150*$BQ150, -999)</f>
        <v>45765672.92076122</v>
      </c>
      <c r="BU150">
        <f>-25.871-(0.1023*E150)+F150*(100-8.576-13.681)</f>
        <v>20.018569741425864</v>
      </c>
      <c r="BV150">
        <f>IF(AZ150&lt;&gt;-999,AZ150*$BU150, -999)</f>
        <v>40940493.557167716</v>
      </c>
      <c r="BW150">
        <f>IF(BA150&lt;&gt;-999,BA150*$BU150, -999)</f>
        <v>19809263.290132347</v>
      </c>
      <c r="BX150" s="25">
        <f>IF(BB150&lt;&gt;-999,BB150*$BU150, -999)</f>
        <v>60749756.84730006</v>
      </c>
      <c r="BY150">
        <f>-25.245-(0.1023*E150)+F150*(100-8.576-13.681)</f>
        <v>20.644569741425862</v>
      </c>
      <c r="BZ150">
        <f>IF(BC150&lt;&gt;-999,BC150*$BY150, -999)</f>
        <v>44827961.297654547</v>
      </c>
      <c r="CA150">
        <f>IF(BD150&lt;&gt;-999,BD150*$BY150, -999)</f>
        <v>21690233.522581674</v>
      </c>
      <c r="CB150" s="25">
        <f>IF(BE150&lt;&gt;-999,BE150*$BY150, -999)</f>
        <v>66518194.820236221</v>
      </c>
      <c r="CC150">
        <f>-29.317-(0.1023*E150)+F150*(100-8.576-13.681)</f>
        <v>16.572569741425866</v>
      </c>
      <c r="CD150">
        <f>IF(BF150&lt;&gt;-999,BF150*$CC150, -999)</f>
        <v>21816567.055610213</v>
      </c>
      <c r="CE150">
        <f>IF(BG150&lt;&gt;-999,BG150*$CC150, -999)</f>
        <v>10556056.60489532</v>
      </c>
      <c r="CF150" s="25">
        <f>IF(BH150&lt;&gt;-999,BH150*$CC150, -999)</f>
        <v>32372623.660505537</v>
      </c>
      <c r="CG150">
        <f>-38.03-(0.1023*E150)+F150*(100-8.576-13.681)</f>
        <v>7.8595697414258581</v>
      </c>
      <c r="CH150">
        <f>IF(BI150&lt;&gt;-999,BI150*$CG150, -999)</f>
        <v>17801103.76012563</v>
      </c>
      <c r="CI150">
        <f>IF(BJ150&lt;&gt;-999,BJ150*$CG150, -999)</f>
        <v>8613152.6272167545</v>
      </c>
      <c r="CJ150" s="25">
        <f>IF(BK150&lt;&gt;-999,BK150*$CG150, -999)</f>
        <v>26414257.695712756</v>
      </c>
      <c r="CK150" s="26">
        <f t="shared" si="84"/>
        <v>315377805.99722689</v>
      </c>
      <c r="CL150">
        <f t="shared" si="85"/>
        <v>-29.553105360610076</v>
      </c>
      <c r="CM150">
        <f t="shared" si="86"/>
        <v>28.329859568406121</v>
      </c>
      <c r="CN150">
        <f t="shared" si="87"/>
        <v>-86.436221517059906</v>
      </c>
      <c r="CO150" s="22">
        <f t="shared" si="88"/>
        <v>-40.08</v>
      </c>
      <c r="CP150">
        <f>IF(AT150&lt;&gt;-999,AT150*$CO150, -999)</f>
        <v>-78585556.569505021</v>
      </c>
      <c r="CQ150">
        <f>IF(AU150&lt;&gt;-999,AU150*$CO150, -999)</f>
        <v>-38024010.226407319</v>
      </c>
      <c r="CR150" s="27">
        <f>IF(AV150&lt;&gt;-999,AV150*$CO150, -999)</f>
        <v>-116609566.79591236</v>
      </c>
      <c r="CS150">
        <f t="shared" si="89"/>
        <v>-42.853000000000002</v>
      </c>
      <c r="CT150">
        <f>IF(AW150&lt;&gt;-999,AW150*$CS150, -999)</f>
        <v>-50938915.011922807</v>
      </c>
      <c r="CU150">
        <f>IF(AX150&lt;&gt;-999,AX150*$CS150, -999)</f>
        <v>-24647044.951878008</v>
      </c>
      <c r="CV150" s="27">
        <f>IF(AY150&lt;&gt;-999,AY150*$CS150, -999)</f>
        <v>-75585959.963800803</v>
      </c>
      <c r="CW150">
        <f t="shared" si="90"/>
        <v>-48.780999999999999</v>
      </c>
      <c r="CX150">
        <f>IF(AZ150&lt;&gt;-999,AZ150*$CO150, -999)</f>
        <v>-81968642.263970554</v>
      </c>
      <c r="CY150">
        <f>IF(BA150&lt;&gt;-999,BA150*$CO150, -999)</f>
        <v>-39660938.964361466</v>
      </c>
      <c r="CZ150" s="27">
        <f>IF(BB150&lt;&gt;-999,BB150*$CO150, -999)</f>
        <v>-121629581.228332</v>
      </c>
      <c r="DA150">
        <f t="shared" si="91"/>
        <v>-48.155000000000001</v>
      </c>
      <c r="DB150">
        <f>IF(BC150&lt;&gt;-999,BC150*$DA150, -999)</f>
        <v>-104564566.04938962</v>
      </c>
      <c r="DC150">
        <f>IF(BD150&lt;&gt;-999,BD150*$DA150, -999)</f>
        <v>-50594088.826371461</v>
      </c>
      <c r="DD150" s="27">
        <f>IF(BE150&lt;&gt;-999,BE150*$DA150, -999)</f>
        <v>-155158654.87576106</v>
      </c>
      <c r="DE150">
        <f t="shared" si="92"/>
        <v>-52.227000000000004</v>
      </c>
      <c r="DF150">
        <f>IF(BF150&lt;&gt;-999,BF150*$DE150, -999)</f>
        <v>-68752997.597300932</v>
      </c>
      <c r="DG150">
        <f>IF(BG150&lt;&gt;-999,BG150*$DE150, -999)</f>
        <v>-33266486.544073783</v>
      </c>
      <c r="DH150" s="27">
        <f>IF(BH150&lt;&gt;-999,BH150*$DE150, -999)</f>
        <v>-102019484.14137472</v>
      </c>
      <c r="DI150">
        <f t="shared" si="93"/>
        <v>-60.94</v>
      </c>
      <c r="DJ150">
        <f>IF(BI150&lt;&gt;-999,BI150*$DI150, -999)</f>
        <v>-138022728.83009687</v>
      </c>
      <c r="DK150">
        <f>IF(BJ150&lt;&gt;-999,BJ150*$DI150, -999)</f>
        <v>-66782984.10357587</v>
      </c>
      <c r="DL150" s="27">
        <f>IF(BK150&lt;&gt;-999,BK150*$DI150, -999)</f>
        <v>-204805723.07825992</v>
      </c>
      <c r="DM150" s="28">
        <f t="shared" si="94"/>
        <v>-775808970.0834409</v>
      </c>
      <c r="DN150" s="22">
        <f t="shared" si="95"/>
        <v>-17.170000000000002</v>
      </c>
      <c r="DO150">
        <f>IF(AT150&lt;&gt;-999,AT150*$DN150, -999)</f>
        <v>-33665519.11922159</v>
      </c>
      <c r="DP150">
        <f>IF(AU150&lt;&gt;-999,AU150*$DN150, -999)</f>
        <v>-16289227.933817709</v>
      </c>
      <c r="DQ150" s="24">
        <f>IF(AV150&lt;&gt;-999,AV150*$DN150, -999)</f>
        <v>-49954747.053039305</v>
      </c>
      <c r="DR150">
        <f t="shared" si="96"/>
        <v>-19.943000000000001</v>
      </c>
      <c r="DS150">
        <f>IF(AW150&lt;&gt;-999,AW150*$DR150, -999)</f>
        <v>-23706036.498793002</v>
      </c>
      <c r="DT150">
        <f>IF(AX150&lt;&gt;-999,AX150*$DR150, -999)</f>
        <v>-11470282.535068795</v>
      </c>
      <c r="DU150" s="24">
        <f>IF(AY150&lt;&gt;-999,AY150*$DR150, -999)</f>
        <v>-35176319.033861794</v>
      </c>
      <c r="DV150">
        <f t="shared" si="97"/>
        <v>-25.870999999999999</v>
      </c>
      <c r="DW150">
        <f>IF(AZ150&lt;&gt;-999,AZ150*$DV150, -999)</f>
        <v>-52909449.700877801</v>
      </c>
      <c r="DX150">
        <f>IF(BA150&lt;&gt;-999,BA150*$DV150, -999)</f>
        <v>-25600502.793088708</v>
      </c>
      <c r="DY150" s="24">
        <f>IF(BB150&lt;&gt;-999,BB150*$DV150, -999)</f>
        <v>-78509952.49396649</v>
      </c>
      <c r="DZ150">
        <f t="shared" si="98"/>
        <v>-25.245000000000001</v>
      </c>
      <c r="EA150">
        <f>IF(BC150&lt;&gt;-999, BC150*$DZ150, -999)</f>
        <v>-54817411.897349</v>
      </c>
      <c r="EB150">
        <f>IF(BD150&lt;&gt;-999, BD150*$DZ150, -999)</f>
        <v>-26523679.211333144</v>
      </c>
      <c r="EC150" s="24">
        <f>IF(BE150&lt;&gt;-999, BE150*$DZ150, -999)</f>
        <v>-81341091.108682141</v>
      </c>
      <c r="ED150">
        <f t="shared" si="99"/>
        <v>-29.317</v>
      </c>
      <c r="EE150">
        <f>IF(BF150&lt;&gt;-999,BF150*$ED150, -999)</f>
        <v>-38593670.52597452</v>
      </c>
      <c r="EF150">
        <f>IF(BG150&lt;&gt;-999,BG150*$ED150, -999)</f>
        <v>-18673743.198204204</v>
      </c>
      <c r="EG150" s="24">
        <f>IF(BH150&lt;&gt;-999,BH150*$ED150, -999)</f>
        <v>-57267413.724178731</v>
      </c>
      <c r="EH150">
        <f t="shared" si="100"/>
        <v>-38.03</v>
      </c>
      <c r="EI150">
        <f>IF(BI150&lt;&gt;-999,BI150*$EH150, -999)</f>
        <v>-86133974.030334502</v>
      </c>
      <c r="EJ150">
        <f>IF(BJ150&lt;&gt;-999,BJ150*$EH150, -999)</f>
        <v>-41676351.911043495</v>
      </c>
      <c r="EK150" s="24">
        <f>IF(BK150&lt;&gt;-999,BK150*$EH150, -999)</f>
        <v>-127810332.27217305</v>
      </c>
      <c r="EL150" s="28">
        <f t="shared" si="101"/>
        <v>-430059855.68590152</v>
      </c>
      <c r="EM150" s="22">
        <f>-17.17-(0.1023*G150)+H150*(100+102.093-66.644-64.243)</f>
        <v>24.369821254664849</v>
      </c>
      <c r="EN150">
        <f>IF(AT150&lt;&gt;-999,AT150*$EM150, -999)</f>
        <v>47782334.50092791</v>
      </c>
      <c r="EO150">
        <f>IF(AU150&lt;&gt;-999,AU150*$EM150, -999)</f>
        <v>23119718.877322722</v>
      </c>
      <c r="EP150" s="23">
        <f>IF(AV150&lt;&gt;-999,AV150*$EM150, -999)</f>
        <v>70902053.378250629</v>
      </c>
      <c r="EQ150">
        <f>-19.943-(0.1023*G150)+H150*(100+102.093-66.644-64.243)</f>
        <v>21.596821254664846</v>
      </c>
      <c r="ER150">
        <f>IF(AW150&lt;&gt;-999,AW150*$EQ150, -999)</f>
        <v>25671916.608383559</v>
      </c>
      <c r="ES150">
        <f>IF(AX150&lt;&gt;-999,AX150*$EQ150, -999)</f>
        <v>12421483.309952602</v>
      </c>
      <c r="ET150" s="23">
        <f>IF(AY150&lt;&gt;-999,AY150*$EQ150, -999)</f>
        <v>38093399.918336153</v>
      </c>
      <c r="EU150">
        <f>-25.871-(0.1023*G150)+H150*(100+102.093-66.644-64.243)</f>
        <v>15.668821254664849</v>
      </c>
      <c r="EV150">
        <f>IF(AZ150&lt;&gt;-999,AZ150*$EU150, -999)</f>
        <v>32044710.681679673</v>
      </c>
      <c r="EW150">
        <f>IF(BA150&lt;&gt;-999,BA150*$EU150, -999)</f>
        <v>15504994.097423958</v>
      </c>
      <c r="EX150" s="23">
        <f>IF(BB150&lt;&gt;-999,BB150*$EU150, -999)</f>
        <v>47549704.779103622</v>
      </c>
      <c r="EY150">
        <f>-25.245-(0.1023*G150)+H150*(100+102.093-66.644-64.243)</f>
        <v>16.294821254664846</v>
      </c>
      <c r="EZ150">
        <f>IF(BC150&lt;&gt;-999, BC150*$EY150, -999)</f>
        <v>35382845.256907903</v>
      </c>
      <c r="FA150">
        <f>IF(BD150&lt;&gt;-999, BD150*$EY150, -999)</f>
        <v>17120166.835600849</v>
      </c>
      <c r="FB150" s="23">
        <f>IF(BE150&lt;&gt;-999, BE150*$EY150, -999)</f>
        <v>52503012.092508748</v>
      </c>
      <c r="FC150">
        <f>-29.317-(0.1023*G150)+H150*(100+102.093-66.644-64.243)</f>
        <v>12.222821254664844</v>
      </c>
      <c r="FD150">
        <f>IF(BF150&lt;&gt;-999,BF150*$FC150, -999)</f>
        <v>16090443.647044837</v>
      </c>
      <c r="FE150">
        <f>IF(BG150&lt;&gt;-999,BG150*$FC150, -999)</f>
        <v>7785442.7556422353</v>
      </c>
      <c r="FF150" s="23">
        <f>IF(BH150&lt;&gt;-999,BH150*$FC150, -999)</f>
        <v>23875886.402687073</v>
      </c>
      <c r="FG150">
        <f>-38.03-(0.1023*G150)+H150*(100+102.093-66.644-64.243)</f>
        <v>3.5098212546648497</v>
      </c>
      <c r="FH150">
        <f>IF(BI150&lt;&gt;-999,BI150*$FG150, -999)</f>
        <v>7949378.1961719226</v>
      </c>
      <c r="FI150">
        <f>IF(BJ150&lt;&gt;-999,BJ150*$FG150, -999)</f>
        <v>3846346.1939067179</v>
      </c>
      <c r="FJ150" s="23">
        <f>IF(BK150&lt;&gt;-999,BK150*$FG150, -999)</f>
        <v>11795724.974353135</v>
      </c>
      <c r="FK150" s="28">
        <f t="shared" si="102"/>
        <v>244719781.54523933</v>
      </c>
      <c r="FL150" s="22">
        <f t="shared" si="104"/>
        <v>10.012280000000011</v>
      </c>
      <c r="FM150">
        <f>IF(AT150&lt;&gt;-999,AT150*$FL150, -999)</f>
        <v>19631252.403436244</v>
      </c>
      <c r="FN150">
        <f>IF(AU150&lt;&gt;-999,AU150*$FL150, -999)</f>
        <v>9498678.5706001483</v>
      </c>
      <c r="FO150" s="29">
        <f>IF(AV150&lt;&gt;-999,AV150*$FL150, -999)</f>
        <v>29129930.974036396</v>
      </c>
      <c r="FP150">
        <f t="shared" si="105"/>
        <v>7.2392800000000115</v>
      </c>
      <c r="FQ150">
        <f>IF(AW150&lt;&gt;-999,AW150*$FP150, -999)</f>
        <v>8605256.7770637553</v>
      </c>
      <c r="FR150">
        <f>IF(AX150&lt;&gt;-999,AX150*$FP150, -999)</f>
        <v>4163695.880783882</v>
      </c>
      <c r="FS150" s="29">
        <f>IF(AY150&lt;&gt;-999,AY150*$FP150, -999)</f>
        <v>12768952.657847635</v>
      </c>
      <c r="FT150">
        <f t="shared" si="106"/>
        <v>1.3112800000000142</v>
      </c>
      <c r="FU150">
        <f>IF(AZ150&lt;&gt;-999,AZ150*$FT150, -999)</f>
        <v>2681732.5655663791</v>
      </c>
      <c r="FV150">
        <f>IF(BA150&lt;&gt;-999,BA150*$FT150, -999)</f>
        <v>1297569.7616064986</v>
      </c>
      <c r="FW150" s="29">
        <f>IF(BB150&lt;&gt;-999,BB150*$FT150, -999)</f>
        <v>3979302.3271728773</v>
      </c>
      <c r="FX150">
        <f t="shared" si="107"/>
        <v>1.9372800000000119</v>
      </c>
      <c r="FY150">
        <f>IF(BC150&lt;&gt;-999, BC150*$FX150, -999)</f>
        <v>4206641.9378291508</v>
      </c>
      <c r="FZ150">
        <f>IF(BD150&lt;&gt;-999, BD150*$FX150, -999)</f>
        <v>2035404.7638158759</v>
      </c>
      <c r="GA150" s="29">
        <f>IF(BE150&lt;&gt;-999, BE150*$FX150, -999)</f>
        <v>6242046.701645026</v>
      </c>
      <c r="GB150">
        <f t="shared" si="108"/>
        <v>-2.1347199999999873</v>
      </c>
      <c r="GC150">
        <f>IF(BF150&lt;&gt;-999,BF150*$GB150, -999)</f>
        <v>-2810201.601296444</v>
      </c>
      <c r="GD150">
        <f>IF(BG150&lt;&gt;-999,BG150*$GB150, -999)</f>
        <v>-1359730.2957352472</v>
      </c>
      <c r="GE150" s="29">
        <f>IF(BH150&lt;&gt;-999,BH150*$GB150, -999)</f>
        <v>-4169931.8970316914</v>
      </c>
      <c r="GF150">
        <f t="shared" si="109"/>
        <v>-10.847719999999988</v>
      </c>
      <c r="GG150">
        <f>IF(BI150&lt;&gt;-999,BI150*$GF150, -999)</f>
        <v>-24568951.689937923</v>
      </c>
      <c r="GH150">
        <f>IF(BJ150&lt;&gt;-999,BJ150*$GF150, -999)</f>
        <v>-11887809.522809997</v>
      </c>
      <c r="GI150" s="29">
        <f>IF(BK150&lt;&gt;-999,BK150*$GF150, -999)</f>
        <v>-36456763.018551022</v>
      </c>
      <c r="GJ150" s="30">
        <f t="shared" si="103"/>
        <v>11493537.745119214</v>
      </c>
    </row>
    <row r="151" spans="1:192">
      <c r="A151" s="49" t="s">
        <v>142</v>
      </c>
      <c r="B151" s="49" t="s">
        <v>281</v>
      </c>
      <c r="C151" s="49">
        <v>13</v>
      </c>
      <c r="D151" s="50">
        <v>0.47899999999999998</v>
      </c>
      <c r="E151" s="49">
        <v>43.240642384152899</v>
      </c>
      <c r="F151" s="49">
        <v>0.79535310268644599</v>
      </c>
      <c r="G151" s="49">
        <v>120.002826072555</v>
      </c>
      <c r="H151" s="49">
        <v>0.81373531253508202</v>
      </c>
      <c r="I151" s="42">
        <v>25048</v>
      </c>
      <c r="J151" s="43">
        <v>9154.7000000000007</v>
      </c>
      <c r="K151" s="43">
        <f t="shared" si="78"/>
        <v>34202.699999999997</v>
      </c>
      <c r="L151" s="43">
        <v>19680.3</v>
      </c>
      <c r="M151" s="43">
        <v>7192.9</v>
      </c>
      <c r="N151" s="43">
        <f t="shared" si="79"/>
        <v>26873.199999999997</v>
      </c>
      <c r="O151" s="43">
        <v>36393.5</v>
      </c>
      <c r="P151" s="43">
        <v>13301.3</v>
      </c>
      <c r="Q151" s="43">
        <f t="shared" si="80"/>
        <v>49694.8</v>
      </c>
      <c r="R151" s="43">
        <v>22952.9</v>
      </c>
      <c r="S151" s="43">
        <v>8388.9</v>
      </c>
      <c r="T151" s="43">
        <f t="shared" si="81"/>
        <v>31341.800000000003</v>
      </c>
      <c r="U151" s="43">
        <v>18034.2</v>
      </c>
      <c r="V151" s="43">
        <v>6591.2</v>
      </c>
      <c r="W151" s="43">
        <f t="shared" si="82"/>
        <v>24625.4</v>
      </c>
      <c r="X151" s="43">
        <v>33349.4</v>
      </c>
      <c r="Y151" s="43">
        <v>12188.7</v>
      </c>
      <c r="Z151" s="43">
        <f t="shared" si="83"/>
        <v>45538.100000000006</v>
      </c>
      <c r="AA151" s="22">
        <v>388336</v>
      </c>
      <c r="AB151">
        <v>47254.400000000001</v>
      </c>
      <c r="AC151">
        <v>435590.40000000002</v>
      </c>
      <c r="AD151">
        <v>305116.90000000002</v>
      </c>
      <c r="AE151">
        <v>37128</v>
      </c>
      <c r="AF151">
        <v>342244.9</v>
      </c>
      <c r="AG151">
        <v>564231.30000000005</v>
      </c>
      <c r="AH151">
        <v>68658.100000000006</v>
      </c>
      <c r="AI151">
        <v>632889.4</v>
      </c>
      <c r="AJ151">
        <v>355854.2</v>
      </c>
      <c r="AK151">
        <v>43301.9</v>
      </c>
      <c r="AL151">
        <v>399156.1</v>
      </c>
      <c r="AM151">
        <v>279595.90000000002</v>
      </c>
      <c r="AN151">
        <v>34022.400000000001</v>
      </c>
      <c r="AO151">
        <v>313618.3</v>
      </c>
      <c r="AP151">
        <v>517037</v>
      </c>
      <c r="AQ151">
        <v>62915.3</v>
      </c>
      <c r="AR151">
        <v>579952.30000000005</v>
      </c>
      <c r="AS151">
        <v>2703451.54</v>
      </c>
      <c r="AT151" s="22">
        <f t="shared" ref="AT151:BC174" si="111">IF(AA151&lt;&gt;-999,AA151*0.5*3.67*0.907185, -999)</f>
        <v>646456.91028359998</v>
      </c>
      <c r="AU151">
        <f t="shared" si="111"/>
        <v>78663.666055440015</v>
      </c>
      <c r="AV151">
        <f t="shared" si="111"/>
        <v>725120.57633904007</v>
      </c>
      <c r="AW151">
        <f t="shared" si="111"/>
        <v>507923.36649012752</v>
      </c>
      <c r="AX151">
        <f t="shared" si="111"/>
        <v>61806.405187800003</v>
      </c>
      <c r="AY151">
        <f t="shared" si="111"/>
        <v>569729.77167792758</v>
      </c>
      <c r="AZ151">
        <f t="shared" si="111"/>
        <v>939267.08541906753</v>
      </c>
      <c r="BA151">
        <f t="shared" si="111"/>
        <v>114294.0731529975</v>
      </c>
      <c r="BB151">
        <f t="shared" si="111"/>
        <v>1053561.1585720652</v>
      </c>
      <c r="BC151">
        <f t="shared" si="111"/>
        <v>592384.96210354508</v>
      </c>
      <c r="BD151">
        <f t="shared" si="110"/>
        <v>72084.000668002496</v>
      </c>
      <c r="BE151">
        <f t="shared" si="110"/>
        <v>664468.96277154749</v>
      </c>
      <c r="BF151">
        <f t="shared" si="110"/>
        <v>465438.95400365256</v>
      </c>
      <c r="BG151">
        <f t="shared" si="110"/>
        <v>56636.561082239998</v>
      </c>
      <c r="BH151">
        <f t="shared" si="110"/>
        <v>522075.51508589246</v>
      </c>
      <c r="BI151">
        <f t="shared" si="110"/>
        <v>860703.46690057509</v>
      </c>
      <c r="BJ151">
        <f t="shared" si="110"/>
        <v>104734.12314996751</v>
      </c>
      <c r="BK151">
        <f t="shared" si="110"/>
        <v>965437.59005054261</v>
      </c>
      <c r="BL151">
        <f t="shared" si="110"/>
        <v>4500393.8075528415</v>
      </c>
      <c r="BM151" s="22">
        <f>-17.17-(0.1023*E151)+F151*(100-8.576-13.681)</f>
        <v>40.239618546253539</v>
      </c>
      <c r="BN151">
        <f>IF(AT151&lt;&gt;-999,AT151*$BM151, -999)</f>
        <v>26013179.476401709</v>
      </c>
      <c r="BO151">
        <f>IF(AU151&lt;&gt;-999,AU151*$BM151, -999)</f>
        <v>3165395.9155207789</v>
      </c>
      <c r="BP151" s="25">
        <f>IF(AV151&lt;&gt;-999,AV151*$BM151, -999)</f>
        <v>29178575.391922493</v>
      </c>
      <c r="BQ151">
        <f>-19.943-(0.1023*E151)+F151*(100-8.576-13.681)</f>
        <v>37.466618546253535</v>
      </c>
      <c r="BR151">
        <f>IF(AW151&lt;&gt;-999,AW151*$BQ151, -999)</f>
        <v>19030171.023014542</v>
      </c>
      <c r="BS151">
        <f>IF(AX151&lt;&gt;-999,AX151*$BQ151, -999)</f>
        <v>2315677.0068864883</v>
      </c>
      <c r="BT151" s="25">
        <f>IF(AY151&lt;&gt;-999,AY151*$BQ151, -999)</f>
        <v>21345848.029901035</v>
      </c>
      <c r="BU151">
        <f>-25.871-(0.1023*E151)+F151*(100-8.576-13.681)</f>
        <v>31.538618546253538</v>
      </c>
      <c r="BV151">
        <f>IF(AZ151&lt;&gt;-999,AZ151*$BU151, -999)</f>
        <v>29623186.320083309</v>
      </c>
      <c r="BW151">
        <f>IF(BA151&lt;&gt;-999,BA151*$BU151, -999)</f>
        <v>3604677.1752699856</v>
      </c>
      <c r="BX151" s="25">
        <f>IF(BB151&lt;&gt;-999,BB151*$BU151, -999)</f>
        <v>33227863.4953533</v>
      </c>
      <c r="BY151">
        <f>-25.245-(0.1023*E151)+F151*(100-8.576-13.681)</f>
        <v>32.164618546253536</v>
      </c>
      <c r="BZ151">
        <f>IF(BC151&lt;&gt;-999,BC151*$BY151, -999)</f>
        <v>19053836.338597383</v>
      </c>
      <c r="CA151">
        <f>IF(BD151&lt;&gt;-999,BD151*$BY151, -999)</f>
        <v>2318554.3847741853</v>
      </c>
      <c r="CB151" s="25">
        <f>IF(BE151&lt;&gt;-999,BE151*$BY151, -999)</f>
        <v>21372390.723371565</v>
      </c>
      <c r="CC151">
        <f>-29.317-(0.1023*E151)+F151*(100-8.576-13.681)</f>
        <v>28.09261854625354</v>
      </c>
      <c r="CD151">
        <f>IF(BF151&lt;&gt;-999,BF151*$CC151, -999)</f>
        <v>13075398.991391858</v>
      </c>
      <c r="CE151">
        <f>IF(BG151&lt;&gt;-999,BG151*$CC151, -999)</f>
        <v>1591069.3062549569</v>
      </c>
      <c r="CF151" s="25">
        <f>IF(BH151&lt;&gt;-999,BH151*$CC151, -999)</f>
        <v>14666468.297646813</v>
      </c>
      <c r="CG151">
        <f>-38.03-(0.1023*E151)+F151*(100-8.576-13.681)</f>
        <v>19.379618546253539</v>
      </c>
      <c r="CH151">
        <f>IF(BI151&lt;&gt;-999,BI151*$CG151, -999)</f>
        <v>16680104.869971104</v>
      </c>
      <c r="CI151">
        <f>IF(BJ151&lt;&gt;-999,BJ151*$CG151, -999)</f>
        <v>2029707.3554227124</v>
      </c>
      <c r="CJ151" s="25">
        <f>IF(BK151&lt;&gt;-999,BK151*$CG151, -999)</f>
        <v>18709812.225393817</v>
      </c>
      <c r="CK151" s="26">
        <f t="shared" si="84"/>
        <v>138500958.163589</v>
      </c>
      <c r="CL151">
        <f t="shared" si="85"/>
        <v>-42.370248087023931</v>
      </c>
      <c r="CM151">
        <f t="shared" si="86"/>
        <v>14.767895771975887</v>
      </c>
      <c r="CN151">
        <f t="shared" si="87"/>
        <v>-98.521408935146539</v>
      </c>
      <c r="CO151" s="22">
        <f t="shared" si="88"/>
        <v>-40.08</v>
      </c>
      <c r="CP151">
        <f>IF(AT151&lt;&gt;-999,AT151*$CO151, -999)</f>
        <v>-25909992.964166686</v>
      </c>
      <c r="CQ151">
        <f>IF(AU151&lt;&gt;-999,AU151*$CO151, -999)</f>
        <v>-3152839.7355020358</v>
      </c>
      <c r="CR151" s="27">
        <f>IF(AV151&lt;&gt;-999,AV151*$CO151, -999)</f>
        <v>-29062832.699668724</v>
      </c>
      <c r="CS151">
        <f t="shared" si="89"/>
        <v>-42.853000000000002</v>
      </c>
      <c r="CT151">
        <f>IF(AW151&lt;&gt;-999,AW151*$CS151, -999)</f>
        <v>-21766040.024201434</v>
      </c>
      <c r="CU151">
        <f>IF(AX151&lt;&gt;-999,AX151*$CS151, -999)</f>
        <v>-2648589.8815127937</v>
      </c>
      <c r="CV151" s="27">
        <f>IF(AY151&lt;&gt;-999,AY151*$CS151, -999)</f>
        <v>-24414629.905714232</v>
      </c>
      <c r="CW151">
        <f t="shared" si="90"/>
        <v>-48.780999999999999</v>
      </c>
      <c r="CX151">
        <f>IF(AZ151&lt;&gt;-999,AZ151*$CO151, -999)</f>
        <v>-37645824.783596225</v>
      </c>
      <c r="CY151">
        <f>IF(BA151&lt;&gt;-999,BA151*$CO151, -999)</f>
        <v>-4580906.45197214</v>
      </c>
      <c r="CZ151" s="27">
        <f>IF(BB151&lt;&gt;-999,BB151*$CO151, -999)</f>
        <v>-42226731.235568367</v>
      </c>
      <c r="DA151">
        <f t="shared" si="91"/>
        <v>-48.155000000000001</v>
      </c>
      <c r="DB151">
        <f>IF(BC151&lt;&gt;-999,BC151*$DA151, -999)</f>
        <v>-28526297.850096215</v>
      </c>
      <c r="DC151">
        <f>IF(BD151&lt;&gt;-999,BD151*$DA151, -999)</f>
        <v>-3471205.0521676601</v>
      </c>
      <c r="DD151" s="27">
        <f>IF(BE151&lt;&gt;-999,BE151*$DA151, -999)</f>
        <v>-31997502.902263869</v>
      </c>
      <c r="DE151">
        <f t="shared" si="92"/>
        <v>-52.227000000000004</v>
      </c>
      <c r="DF151">
        <f>IF(BF151&lt;&gt;-999,BF151*$DE151, -999)</f>
        <v>-24308480.250748765</v>
      </c>
      <c r="DG151">
        <f>IF(BG151&lt;&gt;-999,BG151*$DE151, -999)</f>
        <v>-2957957.6756421486</v>
      </c>
      <c r="DH151" s="27">
        <f>IF(BH151&lt;&gt;-999,BH151*$DE151, -999)</f>
        <v>-27266437.926390909</v>
      </c>
      <c r="DI151">
        <f t="shared" si="93"/>
        <v>-60.94</v>
      </c>
      <c r="DJ151">
        <f>IF(BI151&lt;&gt;-999,BI151*$DI151, -999)</f>
        <v>-52451269.272921041</v>
      </c>
      <c r="DK151">
        <f>IF(BJ151&lt;&gt;-999,BJ151*$DI151, -999)</f>
        <v>-6382497.4647590192</v>
      </c>
      <c r="DL151" s="27">
        <f>IF(BK151&lt;&gt;-999,BK151*$DI151, -999)</f>
        <v>-58833766.737680063</v>
      </c>
      <c r="DM151" s="28">
        <f t="shared" si="94"/>
        <v>-213801901.40728617</v>
      </c>
      <c r="DN151" s="22">
        <f t="shared" si="95"/>
        <v>-17.170000000000002</v>
      </c>
      <c r="DO151">
        <f>IF(AT151&lt;&gt;-999,AT151*$DN151, -999)</f>
        <v>-11099665.149569413</v>
      </c>
      <c r="DP151">
        <f>IF(AU151&lt;&gt;-999,AU151*$DN151, -999)</f>
        <v>-1350655.1461719051</v>
      </c>
      <c r="DQ151" s="24">
        <f>IF(AV151&lt;&gt;-999,AV151*$DN151, -999)</f>
        <v>-12450320.29574132</v>
      </c>
      <c r="DR151">
        <f t="shared" si="96"/>
        <v>-19.943000000000001</v>
      </c>
      <c r="DS151">
        <f>IF(AW151&lt;&gt;-999,AW151*$DR151, -999)</f>
        <v>-10129515.697912613</v>
      </c>
      <c r="DT151">
        <f>IF(AX151&lt;&gt;-999,AX151*$DR151, -999)</f>
        <v>-1232605.1386602956</v>
      </c>
      <c r="DU151" s="24">
        <f>IF(AY151&lt;&gt;-999,AY151*$DR151, -999)</f>
        <v>-11362120.83657291</v>
      </c>
      <c r="DV151">
        <f t="shared" si="97"/>
        <v>-25.870999999999999</v>
      </c>
      <c r="DW151">
        <f>IF(AZ151&lt;&gt;-999,AZ151*$DV151, -999)</f>
        <v>-24299778.766876694</v>
      </c>
      <c r="DX151">
        <f>IF(BA151&lt;&gt;-999,BA151*$DV151, -999)</f>
        <v>-2956901.9665411981</v>
      </c>
      <c r="DY151" s="24">
        <f>IF(BB151&lt;&gt;-999,BB151*$DV151, -999)</f>
        <v>-27256680.733417898</v>
      </c>
      <c r="DZ151">
        <f t="shared" si="98"/>
        <v>-25.245000000000001</v>
      </c>
      <c r="EA151">
        <f>IF(BC151&lt;&gt;-999, BC151*$DZ151, -999)</f>
        <v>-14954758.368303996</v>
      </c>
      <c r="EB151">
        <f>IF(BD151&lt;&gt;-999, BD151*$DZ151, -999)</f>
        <v>-1819760.5968637231</v>
      </c>
      <c r="EC151" s="24">
        <f>IF(BE151&lt;&gt;-999, BE151*$DZ151, -999)</f>
        <v>-16774518.965167718</v>
      </c>
      <c r="ED151">
        <f t="shared" si="99"/>
        <v>-29.317</v>
      </c>
      <c r="EE151">
        <f>IF(BF151&lt;&gt;-999,BF151*$ED151, -999)</f>
        <v>-13645273.814525083</v>
      </c>
      <c r="EF151">
        <f>IF(BG151&lt;&gt;-999,BG151*$ED151, -999)</f>
        <v>-1660414.06124803</v>
      </c>
      <c r="EG151" s="24">
        <f>IF(BH151&lt;&gt;-999,BH151*$ED151, -999)</f>
        <v>-15305687.875773109</v>
      </c>
      <c r="EH151">
        <f t="shared" si="100"/>
        <v>-38.03</v>
      </c>
      <c r="EI151">
        <f>IF(BI151&lt;&gt;-999,BI151*$EH151, -999)</f>
        <v>-32732552.846228871</v>
      </c>
      <c r="EJ151">
        <f>IF(BJ151&lt;&gt;-999,BJ151*$EH151, -999)</f>
        <v>-3983038.7033932642</v>
      </c>
      <c r="EK151" s="24">
        <f>IF(BK151&lt;&gt;-999,BK151*$EH151, -999)</f>
        <v>-36715591.549622133</v>
      </c>
      <c r="EL151" s="28">
        <f t="shared" si="101"/>
        <v>-119864920.2562951</v>
      </c>
      <c r="EM151" s="22">
        <f>-17.17-(0.1023*G151)+H151*(100+102.093-66.644-64.243)</f>
        <v>28.496547557150684</v>
      </c>
      <c r="EN151">
        <f>IF(AT151&lt;&gt;-999,AT151*$EM151, -999)</f>
        <v>18421790.087545302</v>
      </c>
      <c r="EO151">
        <f>IF(AU151&lt;&gt;-999,AU151*$EM151, -999)</f>
        <v>2241642.9007686665</v>
      </c>
      <c r="EP151" s="23">
        <f>IF(AV151&lt;&gt;-999,AV151*$EM151, -999)</f>
        <v>20663432.988313969</v>
      </c>
      <c r="EQ151">
        <f>-19.943-(0.1023*G151)+H151*(100+102.093-66.644-64.243)</f>
        <v>25.723547557150681</v>
      </c>
      <c r="ER151">
        <f>IF(AW151&lt;&gt;-999,AW151*$EQ151, -999)</f>
        <v>13065590.87329687</v>
      </c>
      <c r="ES151">
        <f>IF(AX151&lt;&gt;-999,AX151*$EQ151, -999)</f>
        <v>1589880.0031848981</v>
      </c>
      <c r="ET151" s="23">
        <f>IF(AY151&lt;&gt;-999,AY151*$EQ151, -999)</f>
        <v>14655470.87648177</v>
      </c>
      <c r="EU151">
        <f>-25.871-(0.1023*G151)+H151*(100+102.093-66.644-64.243)</f>
        <v>19.795547557150684</v>
      </c>
      <c r="EV151">
        <f>IF(AZ151&lt;&gt;-999,AZ151*$EU151, -999)</f>
        <v>18593306.258279465</v>
      </c>
      <c r="EW151">
        <f>IF(BA151&lt;&gt;-999,BA151*$EU151, -999)</f>
        <v>2262513.7606006213</v>
      </c>
      <c r="EX151" s="23">
        <f>IF(BB151&lt;&gt;-999,BB151*$EU151, -999)</f>
        <v>20855820.018880088</v>
      </c>
      <c r="EY151">
        <f>-25.245-(0.1023*G151)+H151*(100+102.093-66.644-64.243)</f>
        <v>20.421547557150681</v>
      </c>
      <c r="EZ151">
        <f>IF(BC151&lt;&gt;-999, BC151*$EY151, -999)</f>
        <v>12097417.67573845</v>
      </c>
      <c r="FA151">
        <f>IF(BD151&lt;&gt;-999, BD151*$EY151, -999)</f>
        <v>1472066.8477512945</v>
      </c>
      <c r="FB151" s="23">
        <f>IF(BE151&lt;&gt;-999, BE151*$EY151, -999)</f>
        <v>13569484.523489743</v>
      </c>
      <c r="FC151">
        <f>-29.317-(0.1023*G151)+H151*(100+102.093-66.644-64.243)</f>
        <v>16.349547557150686</v>
      </c>
      <c r="FD151">
        <f>IF(BF151&lt;&gt;-999,BF151*$FC151, -999)</f>
        <v>7609716.313433188</v>
      </c>
      <c r="FE151">
        <f>IF(BG151&lt;&gt;-999,BG151*$FC151, -999)</f>
        <v>925982.14888755255</v>
      </c>
      <c r="FF151" s="23">
        <f>IF(BH151&lt;&gt;-999,BH151*$FC151, -999)</f>
        <v>8535698.4623207394</v>
      </c>
      <c r="FG151">
        <f>-38.03-(0.1023*G151)+H151*(100+102.093-66.644-64.243)</f>
        <v>7.6365475571506849</v>
      </c>
      <c r="FH151">
        <f>IF(BI151&lt;&gt;-999,BI151*$FG151, -999)</f>
        <v>6572802.9575907122</v>
      </c>
      <c r="FI151">
        <f>IF(BJ151&lt;&gt;-999,BJ151*$FG151, -999)</f>
        <v>799807.11229120335</v>
      </c>
      <c r="FJ151" s="23">
        <f>IF(BK151&lt;&gt;-999,BK151*$FG151, -999)</f>
        <v>7372610.0698819151</v>
      </c>
      <c r="FK151" s="28">
        <f t="shared" si="102"/>
        <v>85652516.939368233</v>
      </c>
      <c r="FL151" s="22">
        <f t="shared" si="104"/>
        <v>10.012280000000011</v>
      </c>
      <c r="FM151">
        <f>IF(AT151&lt;&gt;-999,AT151*$FL151, -999)</f>
        <v>6472507.5936942892</v>
      </c>
      <c r="FN151">
        <f>IF(AU151&lt;&gt;-999,AU151*$FL151, -999)</f>
        <v>787602.65037356189</v>
      </c>
      <c r="FO151" s="29">
        <f>IF(AV151&lt;&gt;-999,AV151*$FL151, -999)</f>
        <v>7260110.2440678524</v>
      </c>
      <c r="FP151">
        <f t="shared" si="105"/>
        <v>7.2392800000000115</v>
      </c>
      <c r="FQ151">
        <f>IF(AW151&lt;&gt;-999,AW151*$FP151, -999)</f>
        <v>3676999.4685646561</v>
      </c>
      <c r="FR151">
        <f>IF(AX151&lt;&gt;-999,AX151*$FP151, -999)</f>
        <v>447433.87294793752</v>
      </c>
      <c r="FS151" s="29">
        <f>IF(AY151&lt;&gt;-999,AY151*$FP151, -999)</f>
        <v>4124433.3415125939</v>
      </c>
      <c r="FT151">
        <f t="shared" si="106"/>
        <v>1.3112800000000142</v>
      </c>
      <c r="FU151">
        <f>IF(AZ151&lt;&gt;-999,AZ151*$FT151, -999)</f>
        <v>1231642.1437683282</v>
      </c>
      <c r="FV151">
        <f>IF(BA151&lt;&gt;-999,BA151*$FT151, -999)</f>
        <v>149871.53224406418</v>
      </c>
      <c r="FW151" s="29">
        <f>IF(BB151&lt;&gt;-999,BB151*$FT151, -999)</f>
        <v>1381513.6760123926</v>
      </c>
      <c r="FX151">
        <f t="shared" si="107"/>
        <v>1.9372800000000119</v>
      </c>
      <c r="FY151">
        <f>IF(BC151&lt;&gt;-999, BC151*$FX151, -999)</f>
        <v>1147615.5393839628</v>
      </c>
      <c r="FZ151">
        <f>IF(BD151&lt;&gt;-999, BD151*$FX151, -999)</f>
        <v>139646.89281410872</v>
      </c>
      <c r="GA151" s="29">
        <f>IF(BE151&lt;&gt;-999, BE151*$FX151, -999)</f>
        <v>1287262.4321980714</v>
      </c>
      <c r="GB151">
        <f t="shared" si="108"/>
        <v>-2.1347199999999873</v>
      </c>
      <c r="GC151">
        <f>IF(BF151&lt;&gt;-999,BF151*$GB151, -999)</f>
        <v>-993581.84389067127</v>
      </c>
      <c r="GD151">
        <f>IF(BG151&lt;&gt;-999,BG151*$GB151, -999)</f>
        <v>-120903.19967347865</v>
      </c>
      <c r="GE151" s="29">
        <f>IF(BH151&lt;&gt;-999,BH151*$GB151, -999)</f>
        <v>-1114485.0435641496</v>
      </c>
      <c r="GF151">
        <f t="shared" si="109"/>
        <v>-10.847719999999988</v>
      </c>
      <c r="GG151">
        <f>IF(BI151&lt;&gt;-999,BI151*$GF151, -999)</f>
        <v>-9336670.2119666971</v>
      </c>
      <c r="GH151">
        <f>IF(BJ151&lt;&gt;-999,BJ151*$GF151, -999)</f>
        <v>-1136126.4423763643</v>
      </c>
      <c r="GI151" s="29">
        <f>IF(BK151&lt;&gt;-999,BK151*$GF151, -999)</f>
        <v>-10472796.654343061</v>
      </c>
      <c r="GJ151" s="30">
        <f t="shared" si="103"/>
        <v>2466037.9958836995</v>
      </c>
    </row>
    <row r="152" spans="1:192">
      <c r="A152" s="49" t="s">
        <v>161</v>
      </c>
      <c r="B152" s="49" t="s">
        <v>282</v>
      </c>
      <c r="C152" s="49">
        <v>6</v>
      </c>
      <c r="D152" s="50">
        <v>0.47599999999999998</v>
      </c>
      <c r="E152" s="49">
        <v>8.2038794973594396</v>
      </c>
      <c r="F152" s="49">
        <v>0.80125317324415302</v>
      </c>
      <c r="G152" s="49">
        <v>49.690310195195103</v>
      </c>
      <c r="H152" s="49">
        <v>0.81905115032555498</v>
      </c>
      <c r="I152" s="42">
        <v>19396.7</v>
      </c>
      <c r="J152" s="43">
        <v>42694.9</v>
      </c>
      <c r="K152" s="43">
        <f t="shared" si="78"/>
        <v>62091.600000000006</v>
      </c>
      <c r="L152" s="43">
        <v>20388.900000000001</v>
      </c>
      <c r="M152" s="43">
        <v>44878.9</v>
      </c>
      <c r="N152" s="43">
        <f t="shared" si="79"/>
        <v>65267.8</v>
      </c>
      <c r="O152" s="43">
        <v>20227.8</v>
      </c>
      <c r="P152" s="43">
        <v>44524.3</v>
      </c>
      <c r="Q152" s="43">
        <f t="shared" si="80"/>
        <v>64752.100000000006</v>
      </c>
      <c r="R152" s="43">
        <v>5363.6</v>
      </c>
      <c r="S152" s="43">
        <v>11806.2</v>
      </c>
      <c r="T152" s="43">
        <f t="shared" si="81"/>
        <v>17169.800000000003</v>
      </c>
      <c r="U152" s="43">
        <v>5638</v>
      </c>
      <c r="V152" s="43">
        <v>12410.1</v>
      </c>
      <c r="W152" s="43">
        <f t="shared" si="82"/>
        <v>18048.099999999999</v>
      </c>
      <c r="X152" s="43">
        <v>5593.5</v>
      </c>
      <c r="Y152" s="43">
        <v>12312</v>
      </c>
      <c r="Z152" s="43">
        <f t="shared" si="83"/>
        <v>17905.5</v>
      </c>
      <c r="AA152" s="22">
        <v>307696.40000000002</v>
      </c>
      <c r="AB152">
        <v>281390.7</v>
      </c>
      <c r="AC152">
        <v>589087.1</v>
      </c>
      <c r="AD152">
        <v>323436</v>
      </c>
      <c r="AE152">
        <v>295784.59999999998</v>
      </c>
      <c r="AF152">
        <v>619220.6</v>
      </c>
      <c r="AG152">
        <v>320880.2</v>
      </c>
      <c r="AH152">
        <v>293447.3</v>
      </c>
      <c r="AI152">
        <v>614327.6</v>
      </c>
      <c r="AJ152">
        <v>85085.4</v>
      </c>
      <c r="AK152">
        <v>77811.3</v>
      </c>
      <c r="AL152">
        <v>162896.70000000001</v>
      </c>
      <c r="AM152">
        <v>89437.8</v>
      </c>
      <c r="AN152">
        <v>81791.5</v>
      </c>
      <c r="AO152">
        <v>171229.3</v>
      </c>
      <c r="AP152">
        <v>88731.1</v>
      </c>
      <c r="AQ152">
        <v>81145.2</v>
      </c>
      <c r="AR152">
        <v>169876.3</v>
      </c>
      <c r="AS152">
        <v>2326637.5099999998</v>
      </c>
      <c r="AT152" s="22">
        <f t="shared" si="111"/>
        <v>512217.4200933901</v>
      </c>
      <c r="AU152">
        <f t="shared" si="111"/>
        <v>468426.72969938256</v>
      </c>
      <c r="AV152">
        <f t="shared" si="111"/>
        <v>980644.14979277237</v>
      </c>
      <c r="AW152">
        <f t="shared" si="111"/>
        <v>538418.88785609999</v>
      </c>
      <c r="AX152">
        <f t="shared" si="111"/>
        <v>492388.03156408493</v>
      </c>
      <c r="AY152">
        <f t="shared" si="111"/>
        <v>1030806.919420185</v>
      </c>
      <c r="AZ152">
        <f t="shared" si="111"/>
        <v>534164.287274895</v>
      </c>
      <c r="BA152">
        <f t="shared" si="111"/>
        <v>488497.16454066749</v>
      </c>
      <c r="BB152">
        <f t="shared" si="111"/>
        <v>1022661.61828401</v>
      </c>
      <c r="BC152">
        <f t="shared" si="111"/>
        <v>141640.34442916498</v>
      </c>
      <c r="BD152">
        <f t="shared" si="110"/>
        <v>129531.26308956751</v>
      </c>
      <c r="BE152">
        <f t="shared" si="110"/>
        <v>271171.60751873255</v>
      </c>
      <c r="BF152">
        <f t="shared" si="110"/>
        <v>148885.71713815501</v>
      </c>
      <c r="BG152">
        <f t="shared" si="110"/>
        <v>136157.04023696249</v>
      </c>
      <c r="BH152">
        <f t="shared" si="110"/>
        <v>285042.75737511751</v>
      </c>
      <c r="BI152">
        <f t="shared" si="110"/>
        <v>147709.28461967249</v>
      </c>
      <c r="BJ152">
        <f t="shared" si="110"/>
        <v>135081.15466076997</v>
      </c>
      <c r="BK152">
        <f t="shared" si="110"/>
        <v>282790.43928044249</v>
      </c>
      <c r="BL152">
        <f t="shared" si="110"/>
        <v>3873117.3418496568</v>
      </c>
      <c r="BM152" s="22">
        <f>-17.17-(0.1023*E152)+F152*(100-8.576-13.681)</f>
        <v>44.282568574940328</v>
      </c>
      <c r="BN152">
        <f>IF(AT152&lt;&gt;-999,AT152*$BM152, -999)</f>
        <v>22682303.030564565</v>
      </c>
      <c r="BO152">
        <f>IF(AU152&lt;&gt;-999,AU152*$BM152, -999)</f>
        <v>20743138.780247945</v>
      </c>
      <c r="BP152" s="25">
        <f>IF(AV152&lt;&gt;-999,AV152*$BM152, -999)</f>
        <v>43425441.810812496</v>
      </c>
      <c r="BQ152">
        <f>-19.943-(0.1023*E152)+F152*(100-8.576-13.681)</f>
        <v>41.509568574940324</v>
      </c>
      <c r="BR152">
        <f>IF(AW152&lt;&gt;-999,AW152*$BQ152, -999)</f>
        <v>22349535.747505888</v>
      </c>
      <c r="BS152">
        <f>IF(AX152&lt;&gt;-999,AX152*$BQ152, -999)</f>
        <v>20438814.761689264</v>
      </c>
      <c r="BT152" s="25">
        <f>IF(AY152&lt;&gt;-999,AY152*$BQ152, -999)</f>
        <v>42788350.509195156</v>
      </c>
      <c r="BU152">
        <f>-25.871-(0.1023*E152)+F152*(100-8.576-13.681)</f>
        <v>35.581568574940327</v>
      </c>
      <c r="BV152">
        <f>IF(AZ152&lt;&gt;-999,AZ152*$BU152, -999)</f>
        <v>19006403.217955802</v>
      </c>
      <c r="BW152">
        <f>IF(BA152&lt;&gt;-999,BA152*$BU152, -999)</f>
        <v>17381495.35876767</v>
      </c>
      <c r="BX152" s="25">
        <f>IF(BB152&lt;&gt;-999,BB152*$BU152, -999)</f>
        <v>36387904.499931946</v>
      </c>
      <c r="BY152">
        <f>-25.245-(0.1023*E152)+F152*(100-8.576-13.681)</f>
        <v>36.207568574940325</v>
      </c>
      <c r="BZ152">
        <f>IF(BC152&lt;&gt;-999,BC152*$BY152, -999)</f>
        <v>5128452.4838971579</v>
      </c>
      <c r="CA152">
        <f>IF(BD152&lt;&gt;-999,BD152*$BY152, -999)</f>
        <v>4690012.0909141526</v>
      </c>
      <c r="CB152" s="25">
        <f>IF(BE152&lt;&gt;-999,BE152*$BY152, -999)</f>
        <v>9818464.5748113114</v>
      </c>
      <c r="CC152">
        <f>-29.317-(0.1023*E152)+F152*(100-8.576-13.681)</f>
        <v>32.135568574940322</v>
      </c>
      <c r="CD152">
        <f>IF(BF152&lt;&gt;-999,BF152*$CC152, -999)</f>
        <v>4784527.1729223477</v>
      </c>
      <c r="CE152">
        <f>IF(BG152&lt;&gt;-999,BG152*$CC152, -999)</f>
        <v>4375483.9034958165</v>
      </c>
      <c r="CF152" s="25">
        <f>IF(BH152&lt;&gt;-999,BH152*$CC152, -999)</f>
        <v>9160011.0764181651</v>
      </c>
      <c r="CG152">
        <f>-38.03-(0.1023*E152)+F152*(100-8.576-13.681)</f>
        <v>23.422568574940321</v>
      </c>
      <c r="CH152">
        <f>IF(BI152&lt;&gt;-999,BI152*$CG152, -999)</f>
        <v>3459730.8481596564</v>
      </c>
      <c r="CI152">
        <f>IF(BJ152&lt;&gt;-999,BJ152*$CG152, -999)</f>
        <v>3163947.608224004</v>
      </c>
      <c r="CJ152" s="25">
        <f>IF(BK152&lt;&gt;-999,BK152*$CG152, -999)</f>
        <v>6623678.4563836614</v>
      </c>
      <c r="CK152" s="26">
        <f t="shared" si="84"/>
        <v>148203850.92755276</v>
      </c>
      <c r="CL152">
        <f t="shared" si="85"/>
        <v>-46.367680642188496</v>
      </c>
      <c r="CM152">
        <f t="shared" si="86"/>
        <v>10.349723441217582</v>
      </c>
      <c r="CN152">
        <f t="shared" si="87"/>
        <v>-102.10536941685932</v>
      </c>
      <c r="CO152" s="22">
        <f t="shared" si="88"/>
        <v>-40.08</v>
      </c>
      <c r="CP152">
        <f>IF(AT152&lt;&gt;-999,AT152*$CO152, -999)</f>
        <v>-20529674.197343074</v>
      </c>
      <c r="CQ152">
        <f>IF(AU152&lt;&gt;-999,AU152*$CO152, -999)</f>
        <v>-18774543.326351251</v>
      </c>
      <c r="CR152" s="27">
        <f>IF(AV152&lt;&gt;-999,AV152*$CO152, -999)</f>
        <v>-39304217.523694314</v>
      </c>
      <c r="CS152">
        <f t="shared" si="89"/>
        <v>-42.853000000000002</v>
      </c>
      <c r="CT152">
        <f>IF(AW152&lt;&gt;-999,AW152*$CS152, -999)</f>
        <v>-23072864.601297453</v>
      </c>
      <c r="CU152">
        <f>IF(AX152&lt;&gt;-999,AX152*$CS152, -999)</f>
        <v>-21100304.316615731</v>
      </c>
      <c r="CV152" s="27">
        <f>IF(AY152&lt;&gt;-999,AY152*$CS152, -999)</f>
        <v>-44173168.917913191</v>
      </c>
      <c r="CW152">
        <f t="shared" si="90"/>
        <v>-48.780999999999999</v>
      </c>
      <c r="CX152">
        <f>IF(AZ152&lt;&gt;-999,AZ152*$CO152, -999)</f>
        <v>-21409304.633977789</v>
      </c>
      <c r="CY152">
        <f>IF(BA152&lt;&gt;-999,BA152*$CO152, -999)</f>
        <v>-19578966.354789954</v>
      </c>
      <c r="CZ152" s="27">
        <f>IF(BB152&lt;&gt;-999,BB152*$CO152, -999)</f>
        <v>-40988277.660823122</v>
      </c>
      <c r="DA152">
        <f t="shared" si="91"/>
        <v>-48.155000000000001</v>
      </c>
      <c r="DB152">
        <f>IF(BC152&lt;&gt;-999,BC152*$DA152, -999)</f>
        <v>-6820690.7859864393</v>
      </c>
      <c r="DC152">
        <f>IF(BD152&lt;&gt;-999,BD152*$DA152, -999)</f>
        <v>-6237577.9740781235</v>
      </c>
      <c r="DD152" s="27">
        <f>IF(BE152&lt;&gt;-999,BE152*$DA152, -999)</f>
        <v>-13058268.760064567</v>
      </c>
      <c r="DE152">
        <f t="shared" si="92"/>
        <v>-52.227000000000004</v>
      </c>
      <c r="DF152">
        <f>IF(BF152&lt;&gt;-999,BF152*$DE152, -999)</f>
        <v>-7775854.3489744226</v>
      </c>
      <c r="DG152">
        <f>IF(BG152&lt;&gt;-999,BG152*$DE152, -999)</f>
        <v>-7111073.7404558407</v>
      </c>
      <c r="DH152" s="27">
        <f>IF(BH152&lt;&gt;-999,BH152*$DE152, -999)</f>
        <v>-14886928.089430263</v>
      </c>
      <c r="DI152">
        <f t="shared" si="93"/>
        <v>-60.94</v>
      </c>
      <c r="DJ152">
        <f>IF(BI152&lt;&gt;-999,BI152*$DI152, -999)</f>
        <v>-9001403.8047228418</v>
      </c>
      <c r="DK152">
        <f>IF(BJ152&lt;&gt;-999,BJ152*$DI152, -999)</f>
        <v>-8231845.5650273217</v>
      </c>
      <c r="DL152" s="27">
        <f>IF(BK152&lt;&gt;-999,BK152*$DI152, -999)</f>
        <v>-17233249.369750164</v>
      </c>
      <c r="DM152" s="28">
        <f t="shared" si="94"/>
        <v>-169644110.32167563</v>
      </c>
      <c r="DN152" s="22">
        <f t="shared" si="95"/>
        <v>-17.170000000000002</v>
      </c>
      <c r="DO152">
        <f>IF(AT152&lt;&gt;-999,AT152*$DN152, -999)</f>
        <v>-8794773.1030035093</v>
      </c>
      <c r="DP152">
        <f>IF(AU152&lt;&gt;-999,AU152*$DN152, -999)</f>
        <v>-8042886.9489383996</v>
      </c>
      <c r="DQ152" s="24">
        <f>IF(AV152&lt;&gt;-999,AV152*$DN152, -999)</f>
        <v>-16837660.051941901</v>
      </c>
      <c r="DR152">
        <f t="shared" si="96"/>
        <v>-19.943000000000001</v>
      </c>
      <c r="DS152">
        <f>IF(AW152&lt;&gt;-999,AW152*$DR152, -999)</f>
        <v>-10737687.880514203</v>
      </c>
      <c r="DT152">
        <f>IF(AX152&lt;&gt;-999,AX152*$DR152, -999)</f>
        <v>-9819694.5134825464</v>
      </c>
      <c r="DU152" s="24">
        <f>IF(AY152&lt;&gt;-999,AY152*$DR152, -999)</f>
        <v>-20557382.393996753</v>
      </c>
      <c r="DV152">
        <f t="shared" si="97"/>
        <v>-25.870999999999999</v>
      </c>
      <c r="DW152">
        <f>IF(AZ152&lt;&gt;-999,AZ152*$DV152, -999)</f>
        <v>-13819364.276088808</v>
      </c>
      <c r="DX152">
        <f>IF(BA152&lt;&gt;-999,BA152*$DV152, -999)</f>
        <v>-12637910.143831609</v>
      </c>
      <c r="DY152" s="24">
        <f>IF(BB152&lt;&gt;-999,BB152*$DV152, -999)</f>
        <v>-26457278.726625621</v>
      </c>
      <c r="DZ152">
        <f t="shared" si="98"/>
        <v>-25.245000000000001</v>
      </c>
      <c r="EA152">
        <f>IF(BC152&lt;&gt;-999, BC152*$DZ152, -999)</f>
        <v>-3575710.4951142701</v>
      </c>
      <c r="EB152">
        <f>IF(BD152&lt;&gt;-999, BD152*$DZ152, -999)</f>
        <v>-3270016.736696132</v>
      </c>
      <c r="EC152" s="24">
        <f>IF(BE152&lt;&gt;-999, BE152*$DZ152, -999)</f>
        <v>-6845727.2318104031</v>
      </c>
      <c r="ED152">
        <f t="shared" si="99"/>
        <v>-29.317</v>
      </c>
      <c r="EE152">
        <f>IF(BF152&lt;&gt;-999,BF152*$ED152, -999)</f>
        <v>-4364882.5693392903</v>
      </c>
      <c r="EF152">
        <f>IF(BG152&lt;&gt;-999,BG152*$ED152, -999)</f>
        <v>-3991715.9486270295</v>
      </c>
      <c r="EG152" s="24">
        <f>IF(BH152&lt;&gt;-999,BH152*$ED152, -999)</f>
        <v>-8356598.5179663198</v>
      </c>
      <c r="EH152">
        <f t="shared" si="100"/>
        <v>-38.03</v>
      </c>
      <c r="EI152">
        <f>IF(BI152&lt;&gt;-999,BI152*$EH152, -999)</f>
        <v>-5617384.0940861451</v>
      </c>
      <c r="EJ152">
        <f>IF(BJ152&lt;&gt;-999,BJ152*$EH152, -999)</f>
        <v>-5137136.3117490821</v>
      </c>
      <c r="EK152" s="24">
        <f>IF(BK152&lt;&gt;-999,BK152*$EH152, -999)</f>
        <v>-10754520.405835228</v>
      </c>
      <c r="EL152" s="28">
        <f t="shared" si="101"/>
        <v>-89809167.328176215</v>
      </c>
      <c r="EM152" s="22">
        <f>-17.17-(0.1023*G152)+H152*(100+102.093-66.644-64.243)</f>
        <v>36.068037477113023</v>
      </c>
      <c r="EN152">
        <f>IF(AT152&lt;&gt;-999,AT152*$EM152, -999)</f>
        <v>18474677.104358539</v>
      </c>
      <c r="EO152">
        <f>IF(AU152&lt;&gt;-999,AU152*$EM152, -999)</f>
        <v>16895232.842078824</v>
      </c>
      <c r="EP152" s="23">
        <f>IF(AV152&lt;&gt;-999,AV152*$EM152, -999)</f>
        <v>35369909.946437351</v>
      </c>
      <c r="EQ152">
        <f>-19.943-(0.1023*G152)+H152*(100+102.093-66.644-64.243)</f>
        <v>33.29503747711302</v>
      </c>
      <c r="ER152">
        <f>IF(AW152&lt;&gt;-999,AW152*$EQ152, -999)</f>
        <v>17926677.049554363</v>
      </c>
      <c r="ES152">
        <f>IF(AX152&lt;&gt;-999,AX152*$EQ152, -999)</f>
        <v>16394077.964208117</v>
      </c>
      <c r="ET152" s="23">
        <f>IF(AY152&lt;&gt;-999,AY152*$EQ152, -999)</f>
        <v>34320755.013762482</v>
      </c>
      <c r="EU152">
        <f>-25.871-(0.1023*G152)+H152*(100+102.093-66.644-64.243)</f>
        <v>27.367037477113023</v>
      </c>
      <c r="EV152">
        <f>IF(AZ152&lt;&gt;-999,AZ152*$EU152, -999)</f>
        <v>14618494.068787418</v>
      </c>
      <c r="EW152">
        <f>IF(BA152&lt;&gt;-999,BA152*$EU152, -999)</f>
        <v>13368720.209447894</v>
      </c>
      <c r="EX152" s="23">
        <f>IF(BB152&lt;&gt;-999,BB152*$EU152, -999)</f>
        <v>27987218.833983552</v>
      </c>
      <c r="EY152">
        <f>-25.245-(0.1023*G152)+H152*(100+102.093-66.644-64.243)</f>
        <v>27.99303747711302</v>
      </c>
      <c r="EZ152">
        <f>IF(BC152&lt;&gt;-999, BC152*$EY152, -999)</f>
        <v>3964943.4698768118</v>
      </c>
      <c r="FA152">
        <f>IF(BD152&lt;&gt;-999, BD152*$EY152, -999)</f>
        <v>3625973.5021240497</v>
      </c>
      <c r="FB152" s="23">
        <f>IF(BE152&lt;&gt;-999, BE152*$EY152, -999)</f>
        <v>7590916.9720008634</v>
      </c>
      <c r="FC152">
        <f>-29.317-(0.1023*G152)+H152*(100+102.093-66.644-64.243)</f>
        <v>23.921037477113025</v>
      </c>
      <c r="FD152">
        <f>IF(BF152&lt;&gt;-999,BF152*$FC152, -999)</f>
        <v>3561500.8194686552</v>
      </c>
      <c r="FE152">
        <f>IF(BG152&lt;&gt;-999,BG152*$FC152, -999)</f>
        <v>3257017.6622811658</v>
      </c>
      <c r="FF152" s="23">
        <f>IF(BH152&lt;&gt;-999,BH152*$FC152, -999)</f>
        <v>6818518.4817498205</v>
      </c>
      <c r="FG152">
        <f>-38.03-(0.1023*G152)+H152*(100+102.093-66.644-64.243)</f>
        <v>15.208037477113024</v>
      </c>
      <c r="FH152">
        <f>IF(BI152&lt;&gt;-999,BI152*$FG152, -999)</f>
        <v>2246368.3362135333</v>
      </c>
      <c r="FI152">
        <f>IF(BJ152&lt;&gt;-999,BJ152*$FG152, -999)</f>
        <v>2054319.2625326903</v>
      </c>
      <c r="FJ152" s="23">
        <f>IF(BK152&lt;&gt;-999,BK152*$FG152, -999)</f>
        <v>4300687.5987462243</v>
      </c>
      <c r="FK152" s="28">
        <f t="shared" si="102"/>
        <v>116388006.8466803</v>
      </c>
      <c r="FL152" s="22">
        <f t="shared" si="104"/>
        <v>10.012280000000011</v>
      </c>
      <c r="FM152">
        <f>IF(AT152&lt;&gt;-999,AT152*$FL152, -999)</f>
        <v>5128464.2308526533</v>
      </c>
      <c r="FN152">
        <f>IF(AU152&lt;&gt;-999,AU152*$FL152, -999)</f>
        <v>4690019.5772345392</v>
      </c>
      <c r="FO152" s="29">
        <f>IF(AV152&lt;&gt;-999,AV152*$FL152, -999)</f>
        <v>9818483.8080871906</v>
      </c>
      <c r="FP152">
        <f t="shared" si="105"/>
        <v>7.2392800000000115</v>
      </c>
      <c r="FQ152">
        <f>IF(AW152&lt;&gt;-999,AW152*$FP152, -999)</f>
        <v>3897765.0864789137</v>
      </c>
      <c r="FR152">
        <f>IF(AX152&lt;&gt;-999,AX152*$FP152, -999)</f>
        <v>3564534.8291412545</v>
      </c>
      <c r="FS152" s="29">
        <f>IF(AY152&lt;&gt;-999,AY152*$FP152, -999)</f>
        <v>7462299.9156201687</v>
      </c>
      <c r="FT152">
        <f t="shared" si="106"/>
        <v>1.3112800000000142</v>
      </c>
      <c r="FU152">
        <f>IF(AZ152&lt;&gt;-999,AZ152*$FT152, -999)</f>
        <v>700438.94661783194</v>
      </c>
      <c r="FV152">
        <f>IF(BA152&lt;&gt;-999,BA152*$FT152, -999)</f>
        <v>640556.56191889336</v>
      </c>
      <c r="FW152" s="29">
        <f>IF(BB152&lt;&gt;-999,BB152*$FT152, -999)</f>
        <v>1340995.7268234713</v>
      </c>
      <c r="FX152">
        <f t="shared" si="107"/>
        <v>1.9372800000000119</v>
      </c>
      <c r="FY152">
        <f>IF(BC152&lt;&gt;-999, BC152*$FX152, -999)</f>
        <v>274397.00645573443</v>
      </c>
      <c r="FZ152">
        <f>IF(BD152&lt;&gt;-999, BD152*$FX152, -999)</f>
        <v>250938.32535815888</v>
      </c>
      <c r="GA152" s="29">
        <f>IF(BE152&lt;&gt;-999, BE152*$FX152, -999)</f>
        <v>525335.3318138934</v>
      </c>
      <c r="GB152">
        <f t="shared" si="108"/>
        <v>-2.1347199999999873</v>
      </c>
      <c r="GC152">
        <f>IF(BF152&lt;&gt;-999,BF152*$GB152, -999)</f>
        <v>-317829.31808916037</v>
      </c>
      <c r="GD152">
        <f>IF(BG152&lt;&gt;-999,BG152*$GB152, -999)</f>
        <v>-290657.15693464683</v>
      </c>
      <c r="GE152" s="29">
        <f>IF(BH152&lt;&gt;-999,BH152*$GB152, -999)</f>
        <v>-608486.47502380726</v>
      </c>
      <c r="GF152">
        <f t="shared" si="109"/>
        <v>-10.847719999999988</v>
      </c>
      <c r="GG152">
        <f>IF(BI152&lt;&gt;-999,BI152*$GF152, -999)</f>
        <v>-1602308.9609545118</v>
      </c>
      <c r="GH152">
        <f>IF(BJ152&lt;&gt;-999,BJ152*$GF152, -999)</f>
        <v>-1465322.5430367261</v>
      </c>
      <c r="GI152" s="29">
        <f>IF(BK152&lt;&gt;-999,BK152*$GF152, -999)</f>
        <v>-3067631.5039912383</v>
      </c>
      <c r="GJ152" s="30">
        <f t="shared" si="103"/>
        <v>15470996.80332968</v>
      </c>
    </row>
    <row r="153" spans="1:192">
      <c r="A153" s="49" t="s">
        <v>142</v>
      </c>
      <c r="B153" s="49" t="s">
        <v>283</v>
      </c>
      <c r="C153" s="49">
        <v>15</v>
      </c>
      <c r="D153" s="50">
        <v>0.47599999999999998</v>
      </c>
      <c r="E153" s="49">
        <v>62.474981467550897</v>
      </c>
      <c r="F153" s="49">
        <v>0.79472669358207504</v>
      </c>
      <c r="G153" s="49">
        <v>78.867924395798497</v>
      </c>
      <c r="H153" s="49">
        <v>0.81766801915667597</v>
      </c>
      <c r="I153" s="42">
        <v>27316.5</v>
      </c>
      <c r="J153" s="43">
        <v>25915.7</v>
      </c>
      <c r="K153" s="43">
        <f t="shared" si="78"/>
        <v>53232.2</v>
      </c>
      <c r="L153" s="43">
        <v>4419.5</v>
      </c>
      <c r="M153" s="43">
        <v>4192.8999999999996</v>
      </c>
      <c r="N153" s="43">
        <f t="shared" si="79"/>
        <v>8612.4</v>
      </c>
      <c r="O153" s="43">
        <v>35638.9</v>
      </c>
      <c r="P153" s="43">
        <v>33811.4</v>
      </c>
      <c r="Q153" s="43">
        <f t="shared" si="80"/>
        <v>69450.3</v>
      </c>
      <c r="R153" s="43">
        <v>21300.1</v>
      </c>
      <c r="S153" s="43">
        <v>20207.900000000001</v>
      </c>
      <c r="T153" s="43">
        <f t="shared" si="81"/>
        <v>41508</v>
      </c>
      <c r="U153" s="43">
        <v>3446.1</v>
      </c>
      <c r="V153" s="43">
        <v>3269.4</v>
      </c>
      <c r="W153" s="43">
        <f t="shared" si="82"/>
        <v>6715.5</v>
      </c>
      <c r="X153" s="43">
        <v>27789.599999999999</v>
      </c>
      <c r="Y153" s="43">
        <v>26364.6</v>
      </c>
      <c r="Z153" s="43">
        <f t="shared" si="83"/>
        <v>54154.2</v>
      </c>
      <c r="AA153" s="22">
        <v>424453.3</v>
      </c>
      <c r="AB153">
        <v>209244.4</v>
      </c>
      <c r="AC153">
        <v>633697.6</v>
      </c>
      <c r="AD153">
        <v>68672.2</v>
      </c>
      <c r="AE153">
        <v>33853.599999999999</v>
      </c>
      <c r="AF153">
        <v>102525.8</v>
      </c>
      <c r="AG153">
        <v>553770.9</v>
      </c>
      <c r="AH153">
        <v>272994.59999999998</v>
      </c>
      <c r="AI153">
        <v>826765.5</v>
      </c>
      <c r="AJ153">
        <v>330969.09999999998</v>
      </c>
      <c r="AK153">
        <v>163159.1</v>
      </c>
      <c r="AL153">
        <v>494128.2</v>
      </c>
      <c r="AM153">
        <v>53547.4</v>
      </c>
      <c r="AN153">
        <v>26397.5</v>
      </c>
      <c r="AO153">
        <v>79944.899999999994</v>
      </c>
      <c r="AP153">
        <v>431805</v>
      </c>
      <c r="AQ153">
        <v>212868.6</v>
      </c>
      <c r="AR153">
        <v>644673.6</v>
      </c>
      <c r="AS153">
        <v>2781735.49</v>
      </c>
      <c r="AT153" s="22">
        <f t="shared" si="111"/>
        <v>706580.81887251756</v>
      </c>
      <c r="AU153">
        <f t="shared" si="111"/>
        <v>348325.90416068997</v>
      </c>
      <c r="AV153">
        <f t="shared" si="111"/>
        <v>1054906.5565647599</v>
      </c>
      <c r="AW153">
        <f t="shared" si="111"/>
        <v>114317.54520409499</v>
      </c>
      <c r="AX153">
        <f t="shared" si="111"/>
        <v>56355.562342859994</v>
      </c>
      <c r="AY153">
        <f t="shared" si="111"/>
        <v>170673.107546955</v>
      </c>
      <c r="AZ153">
        <f t="shared" si="111"/>
        <v>921853.81993677747</v>
      </c>
      <c r="BA153">
        <f t="shared" si="111"/>
        <v>454449.87237883499</v>
      </c>
      <c r="BB153">
        <f t="shared" si="111"/>
        <v>1376303.6923156125</v>
      </c>
      <c r="BC153">
        <f t="shared" si="111"/>
        <v>550959.12247472245</v>
      </c>
      <c r="BD153">
        <f t="shared" si="110"/>
        <v>271608.4207249725</v>
      </c>
      <c r="BE153">
        <f t="shared" si="110"/>
        <v>822567.54319969495</v>
      </c>
      <c r="BF153">
        <f t="shared" si="110"/>
        <v>89139.525456615011</v>
      </c>
      <c r="BG153">
        <f t="shared" si="110"/>
        <v>43943.5084288125</v>
      </c>
      <c r="BH153">
        <f t="shared" si="110"/>
        <v>133083.03388542749</v>
      </c>
      <c r="BI153">
        <f t="shared" si="110"/>
        <v>718819.07972737495</v>
      </c>
      <c r="BJ153">
        <f t="shared" si="110"/>
        <v>354359.053634985</v>
      </c>
      <c r="BK153">
        <f t="shared" si="110"/>
        <v>1073178.1333623598</v>
      </c>
      <c r="BL153">
        <f t="shared" si="110"/>
        <v>4630711.8837595182</v>
      </c>
      <c r="BM153" s="22">
        <f>-17.17-(0.1023*E153)+F153*(100-8.576-13.681)</f>
        <v>38.223246735020808</v>
      </c>
      <c r="BN153">
        <f>IF(AT153&lt;&gt;-999,AT153*$BM153, -999)</f>
        <v>27007812.977997284</v>
      </c>
      <c r="BO153">
        <f>IF(AU153&lt;&gt;-999,AU153*$BM153, -999)</f>
        <v>13314146.978933264</v>
      </c>
      <c r="BP153" s="25">
        <f>IF(AV153&lt;&gt;-999,AV153*$BM153, -999)</f>
        <v>40321953.593966007</v>
      </c>
      <c r="BQ153">
        <f>-19.943-(0.1023*E153)+F153*(100-8.576-13.681)</f>
        <v>35.450246735020812</v>
      </c>
      <c r="BR153">
        <f>IF(AW153&lt;&gt;-999,AW153*$BQ153, -999)</f>
        <v>4052585.1836270625</v>
      </c>
      <c r="BS153">
        <f>IF(AX153&lt;&gt;-999,AX153*$BQ153, -999)</f>
        <v>1997818.5899452344</v>
      </c>
      <c r="BT153" s="25">
        <f>IF(AY153&lt;&gt;-999,AY153*$BQ153, -999)</f>
        <v>6050403.7735722978</v>
      </c>
      <c r="BU153">
        <f>-25.871-(0.1023*E153)+F153*(100-8.576-13.681)</f>
        <v>29.522246735020815</v>
      </c>
      <c r="BV153">
        <f>IF(AZ153&lt;&gt;-999,AZ153*$BU153, -999)</f>
        <v>27215195.925794996</v>
      </c>
      <c r="BW153">
        <f>IF(BA153&lt;&gt;-999,BA153*$BU153, -999)</f>
        <v>13416381.261066686</v>
      </c>
      <c r="BX153" s="25">
        <f>IF(BB153&lt;&gt;-999,BB153*$BU153, -999)</f>
        <v>40631577.186861679</v>
      </c>
      <c r="BY153">
        <f>-25.245-(0.1023*E153)+F153*(100-8.576-13.681)</f>
        <v>30.148246735020809</v>
      </c>
      <c r="BZ153">
        <f>IF(BC153&lt;&gt;-999,BC153*$BY153, -999)</f>
        <v>16610451.565278482</v>
      </c>
      <c r="CA153">
        <f>IF(BD153&lt;&gt;-999,BD153*$BY153, -999)</f>
        <v>8188517.6833258104</v>
      </c>
      <c r="CB153" s="25">
        <f>IF(BE153&lt;&gt;-999,BE153*$BY153, -999)</f>
        <v>24798969.24860429</v>
      </c>
      <c r="CC153">
        <f>-29.317-(0.1023*E153)+F153*(100-8.576-13.681)</f>
        <v>26.07624673502081</v>
      </c>
      <c r="CD153">
        <f>IF(BF153&lt;&gt;-999,BF153*$CC153, -999)</f>
        <v>2324424.2596493615</v>
      </c>
      <c r="CE153">
        <f>IF(BG153&lt;&gt;-999,BG153*$CC153, -999)</f>
        <v>1145881.7681921814</v>
      </c>
      <c r="CF153" s="25">
        <f>IF(BH153&lt;&gt;-999,BH153*$CC153, -999)</f>
        <v>3470306.0278415424</v>
      </c>
      <c r="CG153">
        <f>-38.03-(0.1023*E153)+F153*(100-8.576-13.681)</f>
        <v>17.363246735020809</v>
      </c>
      <c r="CH153">
        <f>IF(BI153&lt;&gt;-999,BI153*$CG153, -999)</f>
        <v>12481033.039147006</v>
      </c>
      <c r="CI153">
        <f>IF(BJ153&lt;&gt;-999,BJ153*$CG153, -999)</f>
        <v>6152823.6810527174</v>
      </c>
      <c r="CJ153" s="25">
        <f>IF(BK153&lt;&gt;-999,BK153*$CG153, -999)</f>
        <v>18633856.720199719</v>
      </c>
      <c r="CK153" s="26">
        <f t="shared" si="84"/>
        <v>133907066.55104552</v>
      </c>
      <c r="CL153">
        <f t="shared" si="85"/>
        <v>-39.945276323519884</v>
      </c>
      <c r="CM153">
        <f t="shared" si="86"/>
        <v>17.237904217661587</v>
      </c>
      <c r="CN153">
        <f t="shared" si="87"/>
        <v>-96.140695906954008</v>
      </c>
      <c r="CO153" s="22">
        <f t="shared" si="88"/>
        <v>-40.08</v>
      </c>
      <c r="CP153">
        <f>IF(AT153&lt;&gt;-999,AT153*$CO153, -999)</f>
        <v>-28319759.220410503</v>
      </c>
      <c r="CQ153">
        <f>IF(AU153&lt;&gt;-999,AU153*$CO153, -999)</f>
        <v>-13960902.238760453</v>
      </c>
      <c r="CR153" s="27">
        <f>IF(AV153&lt;&gt;-999,AV153*$CO153, -999)</f>
        <v>-42280654.787115574</v>
      </c>
      <c r="CS153">
        <f t="shared" si="89"/>
        <v>-42.853000000000002</v>
      </c>
      <c r="CT153">
        <f>IF(AW153&lt;&gt;-999,AW153*$CS153, -999)</f>
        <v>-4898849.7646310823</v>
      </c>
      <c r="CU153">
        <f>IF(AX153&lt;&gt;-999,AX153*$CS153, -999)</f>
        <v>-2415004.9130785796</v>
      </c>
      <c r="CV153" s="27">
        <f>IF(AY153&lt;&gt;-999,AY153*$CS153, -999)</f>
        <v>-7313854.6777096624</v>
      </c>
      <c r="CW153">
        <f t="shared" si="90"/>
        <v>-48.780999999999999</v>
      </c>
      <c r="CX153">
        <f>IF(AZ153&lt;&gt;-999,AZ153*$CO153, -999)</f>
        <v>-36947901.103066042</v>
      </c>
      <c r="CY153">
        <f>IF(BA153&lt;&gt;-999,BA153*$CO153, -999)</f>
        <v>-18214350.884943705</v>
      </c>
      <c r="CZ153" s="27">
        <f>IF(BB153&lt;&gt;-999,BB153*$CO153, -999)</f>
        <v>-55162251.988009743</v>
      </c>
      <c r="DA153">
        <f t="shared" si="91"/>
        <v>-48.155000000000001</v>
      </c>
      <c r="DB153">
        <f>IF(BC153&lt;&gt;-999,BC153*$DA153, -999)</f>
        <v>-26531436.542770259</v>
      </c>
      <c r="DC153">
        <f>IF(BD153&lt;&gt;-999,BD153*$DA153, -999)</f>
        <v>-13079303.500011051</v>
      </c>
      <c r="DD153" s="27">
        <f>IF(BE153&lt;&gt;-999,BE153*$DA153, -999)</f>
        <v>-39610740.042781308</v>
      </c>
      <c r="DE153">
        <f t="shared" si="92"/>
        <v>-52.227000000000004</v>
      </c>
      <c r="DF153">
        <f>IF(BF153&lt;&gt;-999,BF153*$DE153, -999)</f>
        <v>-4655489.9960226323</v>
      </c>
      <c r="DG153">
        <f>IF(BG153&lt;&gt;-999,BG153*$DE153, -999)</f>
        <v>-2295037.6147115906</v>
      </c>
      <c r="DH153" s="27">
        <f>IF(BH153&lt;&gt;-999,BH153*$DE153, -999)</f>
        <v>-6950527.6107342215</v>
      </c>
      <c r="DI153">
        <f t="shared" si="93"/>
        <v>-60.94</v>
      </c>
      <c r="DJ153">
        <f>IF(BI153&lt;&gt;-999,BI153*$DI153, -999)</f>
        <v>-43804834.718586229</v>
      </c>
      <c r="DK153">
        <f>IF(BJ153&lt;&gt;-999,BJ153*$DI153, -999)</f>
        <v>-21594640.728515986</v>
      </c>
      <c r="DL153" s="27">
        <f>IF(BK153&lt;&gt;-999,BK153*$DI153, -999)</f>
        <v>-65399475.447102204</v>
      </c>
      <c r="DM153" s="28">
        <f t="shared" si="94"/>
        <v>-216717504.55345273</v>
      </c>
      <c r="DN153" s="22">
        <f t="shared" si="95"/>
        <v>-17.170000000000002</v>
      </c>
      <c r="DO153">
        <f>IF(AT153&lt;&gt;-999,AT153*$DN153, -999)</f>
        <v>-12131992.660041127</v>
      </c>
      <c r="DP153">
        <f>IF(AU153&lt;&gt;-999,AU153*$DN153, -999)</f>
        <v>-5980755.7744390471</v>
      </c>
      <c r="DQ153" s="24">
        <f>IF(AV153&lt;&gt;-999,AV153*$DN153, -999)</f>
        <v>-18112745.576216929</v>
      </c>
      <c r="DR153">
        <f t="shared" si="96"/>
        <v>-19.943000000000001</v>
      </c>
      <c r="DS153">
        <f>IF(AW153&lt;&gt;-999,AW153*$DR153, -999)</f>
        <v>-2279834.8040052666</v>
      </c>
      <c r="DT153">
        <f>IF(AX153&lt;&gt;-999,AX153*$DR153, -999)</f>
        <v>-1123898.9798036569</v>
      </c>
      <c r="DU153" s="24">
        <f>IF(AY153&lt;&gt;-999,AY153*$DR153, -999)</f>
        <v>-3403733.7838089238</v>
      </c>
      <c r="DV153">
        <f t="shared" si="97"/>
        <v>-25.870999999999999</v>
      </c>
      <c r="DW153">
        <f>IF(AZ153&lt;&gt;-999,AZ153*$DV153, -999)</f>
        <v>-23849280.175584368</v>
      </c>
      <c r="DX153">
        <f>IF(BA153&lt;&gt;-999,BA153*$DV153, -999)</f>
        <v>-11757072.648312839</v>
      </c>
      <c r="DY153" s="24">
        <f>IF(BB153&lt;&gt;-999,BB153*$DV153, -999)</f>
        <v>-35606352.823897205</v>
      </c>
      <c r="DZ153">
        <f t="shared" si="98"/>
        <v>-25.245000000000001</v>
      </c>
      <c r="EA153">
        <f>IF(BC153&lt;&gt;-999, BC153*$DZ153, -999)</f>
        <v>-13908963.046874369</v>
      </c>
      <c r="EB153">
        <f>IF(BD153&lt;&gt;-999, BD153*$DZ153, -999)</f>
        <v>-6856754.5812019315</v>
      </c>
      <c r="EC153" s="24">
        <f>IF(BE153&lt;&gt;-999, BE153*$DZ153, -999)</f>
        <v>-20765717.6280763</v>
      </c>
      <c r="ED153">
        <f t="shared" si="99"/>
        <v>-29.317</v>
      </c>
      <c r="EE153">
        <f>IF(BF153&lt;&gt;-999,BF153*$ED153, -999)</f>
        <v>-2613303.4678115821</v>
      </c>
      <c r="EF153">
        <f>IF(BG153&lt;&gt;-999,BG153*$ED153, -999)</f>
        <v>-1288291.836607496</v>
      </c>
      <c r="EG153" s="24">
        <f>IF(BH153&lt;&gt;-999,BH153*$ED153, -999)</f>
        <v>-3901595.3044190779</v>
      </c>
      <c r="EH153">
        <f t="shared" si="100"/>
        <v>-38.03</v>
      </c>
      <c r="EI153">
        <f>IF(BI153&lt;&gt;-999,BI153*$EH153, -999)</f>
        <v>-27336689.602032069</v>
      </c>
      <c r="EJ153">
        <f>IF(BJ153&lt;&gt;-999,BJ153*$EH153, -999)</f>
        <v>-13476274.80973848</v>
      </c>
      <c r="EK153" s="24">
        <f>IF(BK153&lt;&gt;-999,BK153*$EH153, -999)</f>
        <v>-40812964.411770545</v>
      </c>
      <c r="EL153" s="28">
        <f t="shared" si="101"/>
        <v>-122603109.52818897</v>
      </c>
      <c r="EM153" s="22">
        <f>-17.17-(0.1023*G153)+H153*(100+102.093-66.644-64.243)</f>
        <v>32.984680306380092</v>
      </c>
      <c r="EN153">
        <f>IF(AT153&lt;&gt;-999,AT153*$EM153, -999)</f>
        <v>23306342.421130247</v>
      </c>
      <c r="EO153">
        <f>IF(AU153&lt;&gt;-999,AU153*$EM153, -999)</f>
        <v>11489418.591171149</v>
      </c>
      <c r="EP153" s="23">
        <f>IF(AV153&lt;&gt;-999,AV153*$EM153, -999)</f>
        <v>34795755.521392874</v>
      </c>
      <c r="EQ153">
        <f>-19.943-(0.1023*G153)+H153*(100+102.093-66.644-64.243)</f>
        <v>30.211680306380092</v>
      </c>
      <c r="ER153">
        <f>IF(AW153&lt;&gt;-999,AW153*$EQ153, -999)</f>
        <v>3453725.1291162726</v>
      </c>
      <c r="ES153">
        <f>IF(AX153&lt;&gt;-999,AX153*$EQ153, -999)</f>
        <v>1702596.2329887587</v>
      </c>
      <c r="ET153" s="23">
        <f>IF(AY153&lt;&gt;-999,AY153*$EQ153, -999)</f>
        <v>5156321.3621050315</v>
      </c>
      <c r="EU153">
        <f>-25.871-(0.1023*G153)+H153*(100+102.093-66.644-64.243)</f>
        <v>24.283680306380099</v>
      </c>
      <c r="EV153">
        <f>IF(AZ153&lt;&gt;-999,AZ153*$EU153, -999)</f>
        <v>22386003.452559989</v>
      </c>
      <c r="EW153">
        <f>IF(BA153&lt;&gt;-999,BA153*$EU153, -999)</f>
        <v>11035715.416122865</v>
      </c>
      <c r="EX153" s="23">
        <f>IF(BB153&lt;&gt;-999,BB153*$EU153, -999)</f>
        <v>33421718.868682854</v>
      </c>
      <c r="EY153">
        <f>-25.245-(0.1023*G153)+H153*(100+102.093-66.644-64.243)</f>
        <v>24.909680306380089</v>
      </c>
      <c r="EZ153">
        <f>IF(BC153&lt;&gt;-999, BC153*$EY153, -999)</f>
        <v>13724215.602729049</v>
      </c>
      <c r="FA153">
        <f>IF(BD153&lt;&gt;-999, BD153*$EY153, -999)</f>
        <v>6765678.9287798451</v>
      </c>
      <c r="FB153" s="23">
        <f>IF(BE153&lt;&gt;-999, BE153*$EY153, -999)</f>
        <v>20489894.531508893</v>
      </c>
      <c r="FC153">
        <f>-29.317-(0.1023*G153)+H153*(100+102.093-66.644-64.243)</f>
        <v>20.837680306380093</v>
      </c>
      <c r="FD153">
        <f>IF(BF153&lt;&gt;-999,BF153*$FC153, -999)</f>
        <v>1857460.9341273736</v>
      </c>
      <c r="FE153">
        <f>IF(BG153&lt;&gt;-999,BG153*$FC153, -999)</f>
        <v>915680.78018031386</v>
      </c>
      <c r="FF153" s="23">
        <f>IF(BH153&lt;&gt;-999,BH153*$FC153, -999)</f>
        <v>2773141.7143076872</v>
      </c>
      <c r="FG153">
        <f>-38.03-(0.1023*G153)+H153*(100+102.093-66.644-64.243)</f>
        <v>12.124680306380093</v>
      </c>
      <c r="FH153">
        <f>IF(BI153&lt;&gt;-999,BI153*$FG153, -999)</f>
        <v>8715451.5398207642</v>
      </c>
      <c r="FI153">
        <f>IF(BJ153&lt;&gt;-999,BJ153*$FG153, -999)</f>
        <v>4296490.2389955893</v>
      </c>
      <c r="FJ153" s="23">
        <f>IF(BK153&lt;&gt;-999,BK153*$FG153, -999)</f>
        <v>13011941.778816354</v>
      </c>
      <c r="FK153" s="28">
        <f t="shared" si="102"/>
        <v>109648773.77681369</v>
      </c>
      <c r="FL153" s="22">
        <f t="shared" si="104"/>
        <v>10.012280000000011</v>
      </c>
      <c r="FM153">
        <f>IF(AT153&lt;&gt;-999,AT153*$FL153, -999)</f>
        <v>7074485.0011809375</v>
      </c>
      <c r="FN153">
        <f>IF(AU153&lt;&gt;-999,AU153*$FL153, -999)</f>
        <v>3487536.483709997</v>
      </c>
      <c r="FO153" s="29">
        <f>IF(AV153&lt;&gt;-999,AV153*$FL153, -999)</f>
        <v>10562019.818162227</v>
      </c>
      <c r="FP153">
        <f t="shared" si="105"/>
        <v>7.2392800000000115</v>
      </c>
      <c r="FQ153">
        <f>IF(AW153&lt;&gt;-999,AW153*$FP153, -999)</f>
        <v>827576.71864510211</v>
      </c>
      <c r="FR153">
        <f>IF(AX153&lt;&gt;-999,AX153*$FP153, -999)</f>
        <v>407973.69535742013</v>
      </c>
      <c r="FS153" s="29">
        <f>IF(AY153&lt;&gt;-999,AY153*$FP153, -999)</f>
        <v>1235550.4140025224</v>
      </c>
      <c r="FT153">
        <f t="shared" si="106"/>
        <v>1.3112800000000142</v>
      </c>
      <c r="FU153">
        <f>IF(AZ153&lt;&gt;-999,AZ153*$FT153, -999)</f>
        <v>1208808.4770067106</v>
      </c>
      <c r="FV153">
        <f>IF(BA153&lt;&gt;-999,BA153*$FT153, -999)</f>
        <v>595911.02865292516</v>
      </c>
      <c r="FW153" s="29">
        <f>IF(BB153&lt;&gt;-999,BB153*$FT153, -999)</f>
        <v>1804719.5056596359</v>
      </c>
      <c r="FX153">
        <f t="shared" si="107"/>
        <v>1.9372800000000119</v>
      </c>
      <c r="FY153">
        <f>IF(BC153&lt;&gt;-999, BC153*$FX153, -999)</f>
        <v>1067362.088787837</v>
      </c>
      <c r="FZ153">
        <f>IF(BD153&lt;&gt;-999, BD153*$FX153, -999)</f>
        <v>526181.56130207796</v>
      </c>
      <c r="GA153" s="29">
        <f>IF(BE153&lt;&gt;-999, BE153*$FX153, -999)</f>
        <v>1593543.6500899149</v>
      </c>
      <c r="GB153">
        <f t="shared" si="108"/>
        <v>-2.1347199999999873</v>
      </c>
      <c r="GC153">
        <f>IF(BF153&lt;&gt;-999,BF153*$GB153, -999)</f>
        <v>-190287.92778274405</v>
      </c>
      <c r="GD153">
        <f>IF(BG153&lt;&gt;-999,BG153*$GB153, -999)</f>
        <v>-93807.086313154068</v>
      </c>
      <c r="GE153" s="29">
        <f>IF(BH153&lt;&gt;-999,BH153*$GB153, -999)</f>
        <v>-284095.01409589808</v>
      </c>
      <c r="GF153">
        <f t="shared" si="109"/>
        <v>-10.847719999999988</v>
      </c>
      <c r="GG153">
        <f>IF(BI153&lt;&gt;-999,BI153*$GF153, -999)</f>
        <v>-7797548.1075402312</v>
      </c>
      <c r="GH153">
        <f>IF(BJ153&lt;&gt;-999,BJ153*$GF153, -999)</f>
        <v>-3843987.7932972955</v>
      </c>
      <c r="GI153" s="29">
        <f>IF(BK153&lt;&gt;-999,BK153*$GF153, -999)</f>
        <v>-11641535.900837526</v>
      </c>
      <c r="GJ153" s="30">
        <f t="shared" si="103"/>
        <v>3270202.4729808755</v>
      </c>
    </row>
    <row r="154" spans="1:192">
      <c r="A154" s="48" t="s">
        <v>142</v>
      </c>
      <c r="B154" s="48" t="s">
        <v>284</v>
      </c>
      <c r="C154" s="49">
        <v>0</v>
      </c>
      <c r="D154" s="50">
        <v>0.47</v>
      </c>
      <c r="E154" s="49">
        <v>85.339500274050806</v>
      </c>
      <c r="F154" s="49">
        <v>0.79389110779111605</v>
      </c>
      <c r="G154" s="49">
        <v>132.07937592961301</v>
      </c>
      <c r="H154" s="49">
        <v>0.812375507544982</v>
      </c>
      <c r="I154" s="42">
        <v>8225.1</v>
      </c>
      <c r="J154" s="43">
        <v>-999</v>
      </c>
      <c r="K154" s="43">
        <f t="shared" si="78"/>
        <v>8225.1</v>
      </c>
      <c r="L154" s="43">
        <v>3772.9</v>
      </c>
      <c r="M154" s="43">
        <v>-999</v>
      </c>
      <c r="N154" s="43">
        <f t="shared" si="79"/>
        <v>3772.9</v>
      </c>
      <c r="O154" s="43">
        <v>9684.4</v>
      </c>
      <c r="P154" s="43">
        <v>-999</v>
      </c>
      <c r="Q154" s="43">
        <f t="shared" si="80"/>
        <v>9684.4</v>
      </c>
      <c r="R154" s="43">
        <v>9334</v>
      </c>
      <c r="S154" s="43">
        <v>-999</v>
      </c>
      <c r="T154" s="43">
        <f t="shared" si="81"/>
        <v>9334</v>
      </c>
      <c r="U154" s="43">
        <v>4281.5</v>
      </c>
      <c r="V154" s="43">
        <v>-999</v>
      </c>
      <c r="W154" s="43">
        <f t="shared" si="82"/>
        <v>4281.5</v>
      </c>
      <c r="X154" s="43">
        <v>10990.1</v>
      </c>
      <c r="Y154" s="43">
        <v>-999</v>
      </c>
      <c r="Z154" s="43">
        <f t="shared" si="83"/>
        <v>10990.1</v>
      </c>
      <c r="AA154" s="22">
        <v>554093</v>
      </c>
      <c r="AB154">
        <v>-999</v>
      </c>
      <c r="AC154">
        <v>554093</v>
      </c>
      <c r="AD154">
        <v>254164.1</v>
      </c>
      <c r="AE154">
        <v>-999</v>
      </c>
      <c r="AF154">
        <v>254164.1</v>
      </c>
      <c r="AG154">
        <v>652404.19999999995</v>
      </c>
      <c r="AH154">
        <v>-999</v>
      </c>
      <c r="AI154">
        <v>652404.19999999995</v>
      </c>
      <c r="AJ154">
        <v>628798.5</v>
      </c>
      <c r="AK154">
        <v>-999</v>
      </c>
      <c r="AL154">
        <v>628798.5</v>
      </c>
      <c r="AM154">
        <v>288431.8</v>
      </c>
      <c r="AN154">
        <v>-999</v>
      </c>
      <c r="AO154">
        <v>288431.8</v>
      </c>
      <c r="AP154">
        <v>740364.4</v>
      </c>
      <c r="AQ154">
        <v>-999</v>
      </c>
      <c r="AR154">
        <v>740364.4</v>
      </c>
      <c r="AS154">
        <v>3118256.1</v>
      </c>
      <c r="AT154" s="22">
        <f t="shared" si="111"/>
        <v>922390.01480617502</v>
      </c>
      <c r="AU154">
        <f t="shared" si="111"/>
        <v>-999</v>
      </c>
      <c r="AV154">
        <f t="shared" si="111"/>
        <v>922390.01480617502</v>
      </c>
      <c r="AW154">
        <f t="shared" si="111"/>
        <v>423103.0313723475</v>
      </c>
      <c r="AX154">
        <f t="shared" si="111"/>
        <v>-999</v>
      </c>
      <c r="AY154">
        <f t="shared" si="111"/>
        <v>423103.0313723475</v>
      </c>
      <c r="AZ154">
        <f t="shared" si="111"/>
        <v>1086047.1431647949</v>
      </c>
      <c r="BA154">
        <f t="shared" si="111"/>
        <v>-999</v>
      </c>
      <c r="BB154">
        <f t="shared" si="111"/>
        <v>1086047.1431647949</v>
      </c>
      <c r="BC154">
        <f t="shared" si="111"/>
        <v>1046751.1008532876</v>
      </c>
      <c r="BD154">
        <f t="shared" si="110"/>
        <v>-999</v>
      </c>
      <c r="BE154">
        <f t="shared" si="110"/>
        <v>1046751.1008532876</v>
      </c>
      <c r="BF154">
        <f t="shared" si="110"/>
        <v>480147.93955630501</v>
      </c>
      <c r="BG154">
        <f t="shared" si="110"/>
        <v>-999</v>
      </c>
      <c r="BH154">
        <f t="shared" si="110"/>
        <v>480147.93955630501</v>
      </c>
      <c r="BI154">
        <f t="shared" si="110"/>
        <v>1232473.1225226901</v>
      </c>
      <c r="BJ154">
        <f t="shared" si="110"/>
        <v>-999</v>
      </c>
      <c r="BK154">
        <f t="shared" si="110"/>
        <v>1232473.1225226901</v>
      </c>
      <c r="BL154">
        <f t="shared" si="110"/>
        <v>5190912.5187440477</v>
      </c>
      <c r="BM154" s="22">
        <f>-17.17-(0.1023*E154)+F154*(100-8.576-13.681)</f>
        <v>35.819245514969339</v>
      </c>
      <c r="BN154">
        <f>IF(AT154&lt;&gt;-999,AT154*$BM154, -999)</f>
        <v>33039314.400898587</v>
      </c>
      <c r="BO154">
        <f>IF(AU154&lt;&gt;-999,AU154*$BM154, -999)</f>
        <v>-999</v>
      </c>
      <c r="BP154" s="25">
        <f>IF(AV154&lt;&gt;-999,AV154*$BM154, -999)</f>
        <v>33039314.400898587</v>
      </c>
      <c r="BQ154">
        <f>-19.943-(0.1023*E154)+F154*(100-8.576-13.681)</f>
        <v>33.046245514969343</v>
      </c>
      <c r="BR154">
        <f>IF(AW154&lt;&gt;-999,AW154*$BQ154, -999)</f>
        <v>13981966.652858371</v>
      </c>
      <c r="BS154">
        <f>IF(AX154&lt;&gt;-999,AX154*$BQ154, -999)</f>
        <v>-999</v>
      </c>
      <c r="BT154" s="25">
        <f>IF(AY154&lt;&gt;-999,AY154*$BQ154, -999)</f>
        <v>13981966.652858371</v>
      </c>
      <c r="BU154">
        <f>-25.871-(0.1023*E154)+F154*(100-8.576-13.681)</f>
        <v>27.118245514969345</v>
      </c>
      <c r="BV154">
        <f>IF(AZ154&lt;&gt;-999,AZ154*$BU154, -999)</f>
        <v>29451693.069173969</v>
      </c>
      <c r="BW154">
        <f>IF(BA154&lt;&gt;-999,BA154*$BU154, -999)</f>
        <v>-999</v>
      </c>
      <c r="BX154" s="25">
        <f>IF(BB154&lt;&gt;-999,BB154*$BU154, -999)</f>
        <v>29451693.069173969</v>
      </c>
      <c r="BY154">
        <f>-25.245-(0.1023*E154)+F154*(100-8.576-13.681)</f>
        <v>27.744245514969343</v>
      </c>
      <c r="BZ154">
        <f>IF(BC154&lt;&gt;-999,BC154*$BY154, -999)</f>
        <v>29041319.535138048</v>
      </c>
      <c r="CA154">
        <f>IF(BD154&lt;&gt;-999,BD154*$BY154, -999)</f>
        <v>-999</v>
      </c>
      <c r="CB154" s="25">
        <f>IF(BE154&lt;&gt;-999,BE154*$BY154, -999)</f>
        <v>29041319.535138048</v>
      </c>
      <c r="CC154">
        <f>-29.317-(0.1023*E154)+F154*(100-8.576-13.681)</f>
        <v>23.67224551496934</v>
      </c>
      <c r="CD154">
        <f>IF(BF154&lt;&gt;-999,BF154*$CC154, -999)</f>
        <v>11366179.90868351</v>
      </c>
      <c r="CE154">
        <f>IF(BG154&lt;&gt;-999,BG154*$CC154, -999)</f>
        <v>-999</v>
      </c>
      <c r="CF154" s="25">
        <f>IF(BH154&lt;&gt;-999,BH154*$CC154, -999)</f>
        <v>11366179.90868351</v>
      </c>
      <c r="CG154">
        <f>-38.03-(0.1023*E154)+F154*(100-8.576-13.681)</f>
        <v>14.959245514969339</v>
      </c>
      <c r="CH154">
        <f>IF(BI154&lt;&gt;-999,BI154*$CG154, -999)</f>
        <v>18436868.030417807</v>
      </c>
      <c r="CI154">
        <f>IF(BJ154&lt;&gt;-999,BJ154*$CG154, -999)</f>
        <v>-999</v>
      </c>
      <c r="CJ154" s="25">
        <f>IF(BK154&lt;&gt;-999,BK154*$CG154, -999)</f>
        <v>18436868.030417807</v>
      </c>
      <c r="CK154" s="26">
        <f t="shared" si="84"/>
        <v>135317341.59717029</v>
      </c>
      <c r="CL154">
        <f t="shared" si="85"/>
        <v>-37.064446807735131</v>
      </c>
      <c r="CM154">
        <f t="shared" si="86"/>
        <v>20.178920140213133</v>
      </c>
      <c r="CN154">
        <f t="shared" si="87"/>
        <v>-93.319013160367305</v>
      </c>
      <c r="CO154" s="22">
        <f t="shared" si="88"/>
        <v>-40.08</v>
      </c>
      <c r="CP154">
        <f>IF(AT154&lt;&gt;-999,AT154*$CO154, -999)</f>
        <v>-36969391.793431491</v>
      </c>
      <c r="CQ154">
        <f>IF(AU154&lt;&gt;-999,AU154*$CO154, -999)</f>
        <v>-999</v>
      </c>
      <c r="CR154" s="27">
        <f>IF(AV154&lt;&gt;-999,AV154*$CO154, -999)</f>
        <v>-36969391.793431491</v>
      </c>
      <c r="CS154">
        <f t="shared" si="89"/>
        <v>-42.853000000000002</v>
      </c>
      <c r="CT154">
        <f>IF(AW154&lt;&gt;-999,AW154*$CS154, -999)</f>
        <v>-18131234.203399207</v>
      </c>
      <c r="CU154">
        <f>IF(AX154&lt;&gt;-999,AX154*$CS154, -999)</f>
        <v>-999</v>
      </c>
      <c r="CV154" s="27">
        <f>IF(AY154&lt;&gt;-999,AY154*$CS154, -999)</f>
        <v>-18131234.203399207</v>
      </c>
      <c r="CW154">
        <f t="shared" si="90"/>
        <v>-48.780999999999999</v>
      </c>
      <c r="CX154">
        <f>IF(AZ154&lt;&gt;-999,AZ154*$CO154, -999)</f>
        <v>-43528769.498044975</v>
      </c>
      <c r="CY154">
        <f>IF(BA154&lt;&gt;-999,BA154*$CO154, -999)</f>
        <v>-999</v>
      </c>
      <c r="CZ154" s="27">
        <f>IF(BB154&lt;&gt;-999,BB154*$CO154, -999)</f>
        <v>-43528769.498044975</v>
      </c>
      <c r="DA154">
        <f t="shared" si="91"/>
        <v>-48.155000000000001</v>
      </c>
      <c r="DB154">
        <f>IF(BC154&lt;&gt;-999,BC154*$DA154, -999)</f>
        <v>-50406299.261590064</v>
      </c>
      <c r="DC154">
        <f>IF(BD154&lt;&gt;-999,BD154*$DA154, -999)</f>
        <v>-999</v>
      </c>
      <c r="DD154" s="27">
        <f>IF(BE154&lt;&gt;-999,BE154*$DA154, -999)</f>
        <v>-50406299.261590064</v>
      </c>
      <c r="DE154">
        <f t="shared" si="92"/>
        <v>-52.227000000000004</v>
      </c>
      <c r="DF154">
        <f>IF(BF154&lt;&gt;-999,BF154*$DE154, -999)</f>
        <v>-25076686.439207144</v>
      </c>
      <c r="DG154">
        <f>IF(BG154&lt;&gt;-999,BG154*$DE154, -999)</f>
        <v>-999</v>
      </c>
      <c r="DH154" s="27">
        <f>IF(BH154&lt;&gt;-999,BH154*$DE154, -999)</f>
        <v>-25076686.439207144</v>
      </c>
      <c r="DI154">
        <f t="shared" si="93"/>
        <v>-60.94</v>
      </c>
      <c r="DJ154">
        <f>IF(BI154&lt;&gt;-999,BI154*$DI154, -999)</f>
        <v>-75106912.086532727</v>
      </c>
      <c r="DK154">
        <f>IF(BJ154&lt;&gt;-999,BJ154*$DI154, -999)</f>
        <v>-999</v>
      </c>
      <c r="DL154" s="27">
        <f>IF(BK154&lt;&gt;-999,BK154*$DI154, -999)</f>
        <v>-75106912.086532727</v>
      </c>
      <c r="DM154" s="28">
        <f t="shared" si="94"/>
        <v>-249219293.28220558</v>
      </c>
      <c r="DN154" s="22">
        <f t="shared" si="95"/>
        <v>-17.170000000000002</v>
      </c>
      <c r="DO154">
        <f>IF(AT154&lt;&gt;-999,AT154*$DN154, -999)</f>
        <v>-15837436.554222027</v>
      </c>
      <c r="DP154">
        <f>IF(AU154&lt;&gt;-999,AU154*$DN154, -999)</f>
        <v>-999</v>
      </c>
      <c r="DQ154" s="24">
        <f>IF(AV154&lt;&gt;-999,AV154*$DN154, -999)</f>
        <v>-15837436.554222027</v>
      </c>
      <c r="DR154">
        <f t="shared" si="96"/>
        <v>-19.943000000000001</v>
      </c>
      <c r="DS154">
        <f>IF(AW154&lt;&gt;-999,AW154*$DR154, -999)</f>
        <v>-8437943.754658727</v>
      </c>
      <c r="DT154">
        <f>IF(AX154&lt;&gt;-999,AX154*$DR154, -999)</f>
        <v>-999</v>
      </c>
      <c r="DU154" s="24">
        <f>IF(AY154&lt;&gt;-999,AY154*$DR154, -999)</f>
        <v>-8437943.754658727</v>
      </c>
      <c r="DV154">
        <f t="shared" si="97"/>
        <v>-25.870999999999999</v>
      </c>
      <c r="DW154">
        <f>IF(AZ154&lt;&gt;-999,AZ154*$DV154, -999)</f>
        <v>-28097125.640816405</v>
      </c>
      <c r="DX154">
        <f>IF(BA154&lt;&gt;-999,BA154*$DV154, -999)</f>
        <v>-999</v>
      </c>
      <c r="DY154" s="24">
        <f>IF(BB154&lt;&gt;-999,BB154*$DV154, -999)</f>
        <v>-28097125.640816405</v>
      </c>
      <c r="DZ154">
        <f t="shared" si="98"/>
        <v>-25.245000000000001</v>
      </c>
      <c r="EA154">
        <f>IF(BC154&lt;&gt;-999, BC154*$DZ154, -999)</f>
        <v>-26425231.541041248</v>
      </c>
      <c r="EB154">
        <f>IF(BD154&lt;&gt;-999, BD154*$DZ154, -999)</f>
        <v>-999</v>
      </c>
      <c r="EC154" s="24">
        <f>IF(BE154&lt;&gt;-999, BE154*$DZ154, -999)</f>
        <v>-26425231.541041248</v>
      </c>
      <c r="ED154">
        <f t="shared" si="99"/>
        <v>-29.317</v>
      </c>
      <c r="EE154">
        <f>IF(BF154&lt;&gt;-999,BF154*$ED154, -999)</f>
        <v>-14076497.143972194</v>
      </c>
      <c r="EF154">
        <f>IF(BG154&lt;&gt;-999,BG154*$ED154, -999)</f>
        <v>-999</v>
      </c>
      <c r="EG154" s="24">
        <f>IF(BH154&lt;&gt;-999,BH154*$ED154, -999)</f>
        <v>-14076497.143972194</v>
      </c>
      <c r="EH154">
        <f t="shared" si="100"/>
        <v>-38.03</v>
      </c>
      <c r="EI154">
        <f>IF(BI154&lt;&gt;-999,BI154*$EH154, -999)</f>
        <v>-46870952.849537909</v>
      </c>
      <c r="EJ154">
        <f>IF(BJ154&lt;&gt;-999,BJ154*$EH154, -999)</f>
        <v>-999</v>
      </c>
      <c r="EK154" s="24">
        <f>IF(BK154&lt;&gt;-999,BK154*$EH154, -999)</f>
        <v>-46870952.849537909</v>
      </c>
      <c r="EL154" s="28">
        <f t="shared" si="101"/>
        <v>-139745187.48424852</v>
      </c>
      <c r="EM154" s="22">
        <f>-17.17-(0.1023*G154)+H154*(100+102.093-66.644-64.243)</f>
        <v>27.16429023264859</v>
      </c>
      <c r="EN154">
        <f>IF(AT154&lt;&gt;-999,AT154*$EM154, -999)</f>
        <v>25056070.069891967</v>
      </c>
      <c r="EO154">
        <f>IF(AU154&lt;&gt;-999,AU154*$EM154, -999)</f>
        <v>-999</v>
      </c>
      <c r="EP154" s="23">
        <f>IF(AV154&lt;&gt;-999,AV154*$EM154, -999)</f>
        <v>25056070.069891967</v>
      </c>
      <c r="EQ154">
        <f>-19.943-(0.1023*G154)+H154*(100+102.093-66.644-64.243)</f>
        <v>24.391290232648593</v>
      </c>
      <c r="ER154">
        <f>IF(AW154&lt;&gt;-999,AW154*$EQ154, -999)</f>
        <v>10320028.836516351</v>
      </c>
      <c r="ES154">
        <f>IF(AX154&lt;&gt;-999,AX154*$EQ154, -999)</f>
        <v>-999</v>
      </c>
      <c r="ET154" s="23">
        <f>IF(AY154&lt;&gt;-999,AY154*$EQ154, -999)</f>
        <v>10320028.836516351</v>
      </c>
      <c r="EU154">
        <f>-25.871-(0.1023*G154)+H154*(100+102.093-66.644-64.243)</f>
        <v>18.463290232648596</v>
      </c>
      <c r="EV154">
        <f>IF(AZ154&lt;&gt;-999,AZ154*$EU154, -999)</f>
        <v>20052003.610590469</v>
      </c>
      <c r="EW154">
        <f>IF(BA154&lt;&gt;-999,BA154*$EU154, -999)</f>
        <v>-999</v>
      </c>
      <c r="EX154" s="23">
        <f>IF(BB154&lt;&gt;-999,BB154*$EU154, -999)</f>
        <v>20052003.610590469</v>
      </c>
      <c r="EY154">
        <f>-25.245-(0.1023*G154)+H154*(100+102.093-66.644-64.243)</f>
        <v>19.089290232648594</v>
      </c>
      <c r="EZ154">
        <f>IF(BC154&lt;&gt;-999, BC154*$EY154, -999)</f>
        <v>19981735.565532826</v>
      </c>
      <c r="FA154">
        <f>IF(BD154&lt;&gt;-999, BD154*$EY154, -999)</f>
        <v>-999</v>
      </c>
      <c r="FB154" s="23">
        <f>IF(BE154&lt;&gt;-999, BE154*$EY154, -999)</f>
        <v>19981735.565532826</v>
      </c>
      <c r="FC154">
        <f>-29.317-(0.1023*G154)+H154*(100+102.093-66.644-64.243)</f>
        <v>15.017290232648591</v>
      </c>
      <c r="FD154">
        <f>IF(BF154&lt;&gt;-999,BF154*$FC154, -999)</f>
        <v>7210520.9629252451</v>
      </c>
      <c r="FE154">
        <f>IF(BG154&lt;&gt;-999,BG154*$FC154, -999)</f>
        <v>-999</v>
      </c>
      <c r="FF154" s="23">
        <f>IF(BH154&lt;&gt;-999,BH154*$FC154, -999)</f>
        <v>7210520.9629252451</v>
      </c>
      <c r="FG154">
        <f>-38.03-(0.1023*G154)+H154*(100+102.093-66.644-64.243)</f>
        <v>6.3042902326485901</v>
      </c>
      <c r="FH154">
        <f>IF(BI154&lt;&gt;-999,BI154*$FG154, -999)</f>
        <v>7769868.2683217041</v>
      </c>
      <c r="FI154">
        <f>IF(BJ154&lt;&gt;-999,BJ154*$FG154, -999)</f>
        <v>-999</v>
      </c>
      <c r="FJ154" s="23">
        <f>IF(BK154&lt;&gt;-999,BK154*$FG154, -999)</f>
        <v>7769868.2683217041</v>
      </c>
      <c r="FK154" s="28">
        <f t="shared" si="102"/>
        <v>90390227.313778549</v>
      </c>
      <c r="FL154" s="22">
        <f t="shared" si="104"/>
        <v>10.012280000000011</v>
      </c>
      <c r="FM154">
        <f>IF(AT154&lt;&gt;-999,AT154*$FL154, -999)</f>
        <v>9235227.0974435806</v>
      </c>
      <c r="FN154">
        <f>IF(AU154&lt;&gt;-999,AU154*$FL154, -999)</f>
        <v>-999</v>
      </c>
      <c r="FO154" s="29">
        <f>IF(AV154&lt;&gt;-999,AV154*$FL154, -999)</f>
        <v>9235227.0974435806</v>
      </c>
      <c r="FP154">
        <f t="shared" si="105"/>
        <v>7.2392800000000115</v>
      </c>
      <c r="FQ154">
        <f>IF(AW154&lt;&gt;-999,AW154*$FP154, -999)</f>
        <v>3062961.3129532128</v>
      </c>
      <c r="FR154">
        <f>IF(AX154&lt;&gt;-999,AX154*$FP154, -999)</f>
        <v>-999</v>
      </c>
      <c r="FS154" s="29">
        <f>IF(AY154&lt;&gt;-999,AY154*$FP154, -999)</f>
        <v>3062961.3129532128</v>
      </c>
      <c r="FT154">
        <f t="shared" si="106"/>
        <v>1.3112800000000142</v>
      </c>
      <c r="FU154">
        <f>IF(AZ154&lt;&gt;-999,AZ154*$FT154, -999)</f>
        <v>1424111.8978891477</v>
      </c>
      <c r="FV154">
        <f>IF(BA154&lt;&gt;-999,BA154*$FT154, -999)</f>
        <v>-999</v>
      </c>
      <c r="FW154" s="29">
        <f>IF(BB154&lt;&gt;-999,BB154*$FT154, -999)</f>
        <v>1424111.8978891477</v>
      </c>
      <c r="FX154">
        <f t="shared" si="107"/>
        <v>1.9372800000000119</v>
      </c>
      <c r="FY154">
        <f>IF(BC154&lt;&gt;-999, BC154*$FX154, -999)</f>
        <v>2027849.9726610694</v>
      </c>
      <c r="FZ154">
        <f>IF(BD154&lt;&gt;-999, BD154*$FX154, -999)</f>
        <v>-999</v>
      </c>
      <c r="GA154" s="29">
        <f>IF(BE154&lt;&gt;-999, BE154*$FX154, -999)</f>
        <v>2027849.9726610694</v>
      </c>
      <c r="GB154">
        <f t="shared" si="108"/>
        <v>-2.1347199999999873</v>
      </c>
      <c r="GC154">
        <f>IF(BF154&lt;&gt;-999,BF154*$GB154, -999)</f>
        <v>-1024981.4095296293</v>
      </c>
      <c r="GD154">
        <f>IF(BG154&lt;&gt;-999,BG154*$GB154, -999)</f>
        <v>-999</v>
      </c>
      <c r="GE154" s="29">
        <f>IF(BH154&lt;&gt;-999,BH154*$GB154, -999)</f>
        <v>-1024981.4095296293</v>
      </c>
      <c r="GF154">
        <f t="shared" si="109"/>
        <v>-10.847719999999988</v>
      </c>
      <c r="GG154">
        <f>IF(BI154&lt;&gt;-999,BI154*$GF154, -999)</f>
        <v>-13369523.340651821</v>
      </c>
      <c r="GH154">
        <f>IF(BJ154&lt;&gt;-999,BJ154*$GF154, -999)</f>
        <v>-999</v>
      </c>
      <c r="GI154" s="29">
        <f>IF(BK154&lt;&gt;-999,BK154*$GF154, -999)</f>
        <v>-13369523.340651821</v>
      </c>
      <c r="GJ154" s="30">
        <f t="shared" si="103"/>
        <v>1355645.5307655595</v>
      </c>
    </row>
    <row r="155" spans="1:192">
      <c r="A155" s="48" t="s">
        <v>160</v>
      </c>
      <c r="B155" s="48" t="s">
        <v>285</v>
      </c>
      <c r="C155" s="49">
        <v>35</v>
      </c>
      <c r="D155" s="50">
        <v>0.46500000000000002</v>
      </c>
      <c r="E155" s="49">
        <v>252.36690058187699</v>
      </c>
      <c r="F155" s="49">
        <v>0.773150091010808</v>
      </c>
      <c r="G155" s="49">
        <v>99.2693045249449</v>
      </c>
      <c r="H155" s="49">
        <v>0.816372780970953</v>
      </c>
      <c r="I155" s="42">
        <v>379844.4</v>
      </c>
      <c r="J155" s="43">
        <v>304030.8</v>
      </c>
      <c r="K155" s="43">
        <f t="shared" si="78"/>
        <v>683875.2</v>
      </c>
      <c r="L155" s="43">
        <v>199231.3</v>
      </c>
      <c r="M155" s="43">
        <v>159466.5</v>
      </c>
      <c r="N155" s="43">
        <f t="shared" si="79"/>
        <v>358697.8</v>
      </c>
      <c r="O155" s="43">
        <v>257550.9</v>
      </c>
      <c r="P155" s="43">
        <v>206146</v>
      </c>
      <c r="Q155" s="43">
        <f t="shared" si="80"/>
        <v>463696.9</v>
      </c>
      <c r="R155" s="43">
        <v>72691.3</v>
      </c>
      <c r="S155" s="43">
        <v>58182.8</v>
      </c>
      <c r="T155" s="43">
        <f t="shared" si="81"/>
        <v>130874.1</v>
      </c>
      <c r="U155" s="43">
        <v>38127.199999999997</v>
      </c>
      <c r="V155" s="43">
        <v>30517.3</v>
      </c>
      <c r="W155" s="43">
        <f t="shared" si="82"/>
        <v>68644.5</v>
      </c>
      <c r="X155" s="43">
        <v>49287.9</v>
      </c>
      <c r="Y155" s="43">
        <v>39450.400000000001</v>
      </c>
      <c r="Z155" s="43">
        <f t="shared" si="83"/>
        <v>88738.3</v>
      </c>
      <c r="AA155" s="22">
        <v>6777253</v>
      </c>
      <c r="AB155">
        <v>3843536.2</v>
      </c>
      <c r="AC155">
        <v>10620789.199999999</v>
      </c>
      <c r="AD155">
        <v>3554721.3</v>
      </c>
      <c r="AE155">
        <v>2015964.2</v>
      </c>
      <c r="AF155">
        <v>5570685.5999999996</v>
      </c>
      <c r="AG155">
        <v>4595270.2</v>
      </c>
      <c r="AH155">
        <v>2606083.5</v>
      </c>
      <c r="AI155">
        <v>7201353.7000000002</v>
      </c>
      <c r="AJ155">
        <v>1296971.8999999999</v>
      </c>
      <c r="AK155">
        <v>735542.6</v>
      </c>
      <c r="AL155">
        <v>2032514.5</v>
      </c>
      <c r="AM155">
        <v>680271.7</v>
      </c>
      <c r="AN155">
        <v>385797.7</v>
      </c>
      <c r="AO155">
        <v>1066069.5</v>
      </c>
      <c r="AP155">
        <v>879402.9</v>
      </c>
      <c r="AQ155">
        <v>498729.6</v>
      </c>
      <c r="AR155">
        <v>1378132.6</v>
      </c>
      <c r="AS155">
        <v>27869544.989999998</v>
      </c>
      <c r="AT155" s="22">
        <f t="shared" si="111"/>
        <v>11281987.852247175</v>
      </c>
      <c r="AU155">
        <f t="shared" si="111"/>
        <v>6398275.0412404956</v>
      </c>
      <c r="AV155">
        <f t="shared" si="111"/>
        <v>17680262.89348767</v>
      </c>
      <c r="AW155">
        <f t="shared" si="111"/>
        <v>5917489.361061817</v>
      </c>
      <c r="AX155">
        <f t="shared" si="111"/>
        <v>3355944.3058957951</v>
      </c>
      <c r="AY155">
        <f t="shared" si="111"/>
        <v>9273433.8334260602</v>
      </c>
      <c r="AZ155">
        <f t="shared" si="111"/>
        <v>7649674.9603701448</v>
      </c>
      <c r="BA155">
        <f t="shared" si="111"/>
        <v>4338306.7430036627</v>
      </c>
      <c r="BB155">
        <f t="shared" si="111"/>
        <v>11987981.703373808</v>
      </c>
      <c r="BC155">
        <f t="shared" si="111"/>
        <v>2159048.9864412523</v>
      </c>
      <c r="BD155">
        <f t="shared" si="110"/>
        <v>1224446.346921135</v>
      </c>
      <c r="BE155">
        <f t="shared" si="110"/>
        <v>3383495.3333623875</v>
      </c>
      <c r="BF155">
        <f t="shared" si="110"/>
        <v>1132437.7377718575</v>
      </c>
      <c r="BG155">
        <f t="shared" si="110"/>
        <v>642231.44168070762</v>
      </c>
      <c r="BH155">
        <f t="shared" si="110"/>
        <v>1774669.3459210126</v>
      </c>
      <c r="BI155">
        <f t="shared" si="110"/>
        <v>1463928.3548999776</v>
      </c>
      <c r="BJ155">
        <f t="shared" si="110"/>
        <v>830227.42234296002</v>
      </c>
      <c r="BK155">
        <f t="shared" si="110"/>
        <v>2294155.9437113851</v>
      </c>
      <c r="BL155">
        <f t="shared" si="110"/>
        <v>46393998.870167032</v>
      </c>
      <c r="BM155" s="22">
        <f>-17.17-(0.1023*E155)+F155*(100-8.576-13.681)</f>
        <v>17.119873595927238</v>
      </c>
      <c r="BN155">
        <f>IF(AT155&lt;&gt;-999,AT155*$BM155, -999)</f>
        <v>193146205.94125825</v>
      </c>
      <c r="BO155">
        <f>IF(AU155&lt;&gt;-999,AU155*$BM155, -999)</f>
        <v>109537659.93801342</v>
      </c>
      <c r="BP155" s="25">
        <f>IF(AV155&lt;&gt;-999,AV155*$BM155, -999)</f>
        <v>302683865.87927169</v>
      </c>
      <c r="BQ155">
        <f>-19.943-(0.1023*E155)+F155*(100-8.576-13.681)</f>
        <v>14.346873595927235</v>
      </c>
      <c r="BR155">
        <f>IF(AW155&lt;&gt;-999,AW155*$BQ155, -999)</f>
        <v>84897471.868398115</v>
      </c>
      <c r="BS155">
        <f>IF(AX155&lt;&gt;-999,AX155*$BQ155, -999)</f>
        <v>48147308.751658738</v>
      </c>
      <c r="BT155" s="25">
        <f>IF(AY155&lt;&gt;-999,AY155*$BQ155, -999)</f>
        <v>133044783.00835863</v>
      </c>
      <c r="BU155">
        <f>-25.871-(0.1023*E155)+F155*(100-8.576-13.681)</f>
        <v>8.4188735959272378</v>
      </c>
      <c r="BV155">
        <f>IF(AZ155&lt;&gt;-999,AZ155*$BU155, -999)</f>
        <v>64401646.541285954</v>
      </c>
      <c r="BW155">
        <f>IF(BA155&lt;&gt;-999,BA155*$BU155, -999)</f>
        <v>36523656.08970663</v>
      </c>
      <c r="BX155" s="25">
        <f>IF(BB155&lt;&gt;-999,BB155*$BU155, -999)</f>
        <v>100925302.63099259</v>
      </c>
      <c r="BY155">
        <f>-25.245-(0.1023*E155)+F155*(100-8.576-13.681)</f>
        <v>9.0448735959272426</v>
      </c>
      <c r="BZ155">
        <f>IF(BC155&lt;&gt;-999,BC155*$BY155, -999)</f>
        <v>19528325.169775959</v>
      </c>
      <c r="CA155">
        <f>IF(BD155&lt;&gt;-999,BD155*$BY155, -999)</f>
        <v>11074962.432896541</v>
      </c>
      <c r="CB155" s="25">
        <f>IF(BE155&lt;&gt;-999,BE155*$BY155, -999)</f>
        <v>30603287.602672502</v>
      </c>
      <c r="CC155">
        <f>-29.317-(0.1023*E155)+F155*(100-8.576-13.681)</f>
        <v>4.9728735959272399</v>
      </c>
      <c r="CD155">
        <f>IF(BF155&lt;&gt;-999,BF155*$CC155, -999)</f>
        <v>5631469.7251972463</v>
      </c>
      <c r="CE155">
        <f>IF(BG155&lt;&gt;-999,BG155*$CC155, -999)</f>
        <v>3193735.7788082762</v>
      </c>
      <c r="CF155" s="25">
        <f>IF(BH155&lt;&gt;-999,BH155*$CC155, -999)</f>
        <v>8825206.331832068</v>
      </c>
      <c r="CG155">
        <f>-38.03-(0.1023*E155)+F155*(100-8.576-13.681)</f>
        <v>-3.7401264040727611</v>
      </c>
      <c r="CH155">
        <f>IF(BI155&lt;&gt;-999,BI155*$CG155, -999)</f>
        <v>-5475277.093832206</v>
      </c>
      <c r="CI155">
        <f>IF(BJ155&lt;&gt;-999,BJ155*$CG155, -999)</f>
        <v>-3105155.5036901725</v>
      </c>
      <c r="CJ155" s="25">
        <f>IF(BK155&lt;&gt;-999,BK155*$CG155, -999)</f>
        <v>-8580433.220135415</v>
      </c>
      <c r="CK155" s="26">
        <f t="shared" si="84"/>
        <v>567502012.23299205</v>
      </c>
      <c r="CL155">
        <f t="shared" si="85"/>
        <v>-16.555471755958834</v>
      </c>
      <c r="CM155">
        <f t="shared" si="86"/>
        <v>42.22354221348364</v>
      </c>
      <c r="CN155">
        <f t="shared" si="87"/>
        <v>-74.319158935523163</v>
      </c>
      <c r="CO155" s="22">
        <f t="shared" si="88"/>
        <v>-40.08</v>
      </c>
      <c r="CP155">
        <f>IF(AT155&lt;&gt;-999,AT155*$CO155, -999)</f>
        <v>-452182073.11806673</v>
      </c>
      <c r="CQ155">
        <f>IF(AU155&lt;&gt;-999,AU155*$CO155, -999)</f>
        <v>-256442863.65291905</v>
      </c>
      <c r="CR155" s="27">
        <f>IF(AV155&lt;&gt;-999,AV155*$CO155, -999)</f>
        <v>-708624936.77098572</v>
      </c>
      <c r="CS155">
        <f t="shared" si="89"/>
        <v>-42.853000000000002</v>
      </c>
      <c r="CT155">
        <f>IF(AW155&lt;&gt;-999,AW155*$CS155, -999)</f>
        <v>-253582171.58958206</v>
      </c>
      <c r="CU155">
        <f>IF(AX155&lt;&gt;-999,AX155*$CS155, -999)</f>
        <v>-143812281.34055251</v>
      </c>
      <c r="CV155" s="27">
        <f>IF(AY155&lt;&gt;-999,AY155*$CS155, -999)</f>
        <v>-397394460.06380695</v>
      </c>
      <c r="CW155">
        <f t="shared" si="90"/>
        <v>-48.780999999999999</v>
      </c>
      <c r="CX155">
        <f>IF(AZ155&lt;&gt;-999,AZ155*$CO155, -999)</f>
        <v>-306598972.4116354</v>
      </c>
      <c r="CY155">
        <f>IF(BA155&lt;&gt;-999,BA155*$CO155, -999)</f>
        <v>-173879334.25958678</v>
      </c>
      <c r="CZ155" s="27">
        <f>IF(BB155&lt;&gt;-999,BB155*$CO155, -999)</f>
        <v>-480478306.67122221</v>
      </c>
      <c r="DA155">
        <f t="shared" si="91"/>
        <v>-48.155000000000001</v>
      </c>
      <c r="DB155">
        <f>IF(BC155&lt;&gt;-999,BC155*$DA155, -999)</f>
        <v>-103969003.9420785</v>
      </c>
      <c r="DC155">
        <f>IF(BD155&lt;&gt;-999,BD155*$DA155, -999)</f>
        <v>-58963213.835987255</v>
      </c>
      <c r="DD155" s="27">
        <f>IF(BE155&lt;&gt;-999,BE155*$DA155, -999)</f>
        <v>-162932217.77806577</v>
      </c>
      <c r="DE155">
        <f t="shared" si="92"/>
        <v>-52.227000000000004</v>
      </c>
      <c r="DF155">
        <f>IF(BF155&lt;&gt;-999,BF155*$DE155, -999)</f>
        <v>-59143825.73061081</v>
      </c>
      <c r="DG155">
        <f>IF(BG155&lt;&gt;-999,BG155*$DE155, -999)</f>
        <v>-33541821.504658319</v>
      </c>
      <c r="DH155" s="27">
        <f>IF(BH155&lt;&gt;-999,BH155*$DE155, -999)</f>
        <v>-92685655.929416731</v>
      </c>
      <c r="DI155">
        <f t="shared" si="93"/>
        <v>-60.94</v>
      </c>
      <c r="DJ155">
        <f>IF(BI155&lt;&gt;-999,BI155*$DI155, -999)</f>
        <v>-89211793.947604626</v>
      </c>
      <c r="DK155">
        <f>IF(BJ155&lt;&gt;-999,BJ155*$DI155, -999)</f>
        <v>-50594059.117579982</v>
      </c>
      <c r="DL155" s="27">
        <f>IF(BK155&lt;&gt;-999,BK155*$DI155, -999)</f>
        <v>-139805863.20977181</v>
      </c>
      <c r="DM155" s="28">
        <f t="shared" si="94"/>
        <v>-1981921440.423269</v>
      </c>
      <c r="DN155" s="22">
        <f t="shared" si="95"/>
        <v>-17.170000000000002</v>
      </c>
      <c r="DO155">
        <f>IF(AT155&lt;&gt;-999,AT155*$DN155, -999)</f>
        <v>-193711731.42308402</v>
      </c>
      <c r="DP155">
        <f>IF(AU155&lt;&gt;-999,AU155*$DN155, -999)</f>
        <v>-109858382.45809932</v>
      </c>
      <c r="DQ155" s="24">
        <f>IF(AV155&lt;&gt;-999,AV155*$DN155, -999)</f>
        <v>-303570113.88118333</v>
      </c>
      <c r="DR155">
        <f t="shared" si="96"/>
        <v>-19.943000000000001</v>
      </c>
      <c r="DS155">
        <f>IF(AW155&lt;&gt;-999,AW155*$DR155, -999)</f>
        <v>-118012490.32765582</v>
      </c>
      <c r="DT155">
        <f>IF(AX155&lt;&gt;-999,AX155*$DR155, -999)</f>
        <v>-66927597.29247985</v>
      </c>
      <c r="DU155" s="24">
        <f>IF(AY155&lt;&gt;-999,AY155*$DR155, -999)</f>
        <v>-184940090.94001594</v>
      </c>
      <c r="DV155">
        <f t="shared" si="97"/>
        <v>-25.870999999999999</v>
      </c>
      <c r="DW155">
        <f>IF(AZ155&lt;&gt;-999,AZ155*$DV155, -999)</f>
        <v>-197904740.89973602</v>
      </c>
      <c r="DX155">
        <f>IF(BA155&lt;&gt;-999,BA155*$DV155, -999)</f>
        <v>-112236333.74824776</v>
      </c>
      <c r="DY155" s="24">
        <f>IF(BB155&lt;&gt;-999,BB155*$DV155, -999)</f>
        <v>-310141074.64798379</v>
      </c>
      <c r="DZ155">
        <f t="shared" si="98"/>
        <v>-25.245000000000001</v>
      </c>
      <c r="EA155">
        <f>IF(BC155&lt;&gt;-999, BC155*$DZ155, -999)</f>
        <v>-54505191.662709415</v>
      </c>
      <c r="EB155">
        <f>IF(BD155&lt;&gt;-999, BD155*$DZ155, -999)</f>
        <v>-30911148.028024055</v>
      </c>
      <c r="EC155" s="24">
        <f>IF(BE155&lt;&gt;-999, BE155*$DZ155, -999)</f>
        <v>-85416339.690733477</v>
      </c>
      <c r="ED155">
        <f t="shared" si="99"/>
        <v>-29.317</v>
      </c>
      <c r="EE155">
        <f>IF(BF155&lt;&gt;-999,BF155*$ED155, -999)</f>
        <v>-33199677.158257548</v>
      </c>
      <c r="EF155">
        <f>IF(BG155&lt;&gt;-999,BG155*$ED155, -999)</f>
        <v>-18828299.175753307</v>
      </c>
      <c r="EG155" s="24">
        <f>IF(BH155&lt;&gt;-999,BH155*$ED155, -999)</f>
        <v>-52027981.214366324</v>
      </c>
      <c r="EH155">
        <f t="shared" si="100"/>
        <v>-38.03</v>
      </c>
      <c r="EI155">
        <f>IF(BI155&lt;&gt;-999,BI155*$EH155, -999)</f>
        <v>-55673195.33684615</v>
      </c>
      <c r="EJ155">
        <f>IF(BJ155&lt;&gt;-999,BJ155*$EH155, -999)</f>
        <v>-31573548.871702772</v>
      </c>
      <c r="EK155" s="24">
        <f>IF(BK155&lt;&gt;-999,BK155*$EH155, -999)</f>
        <v>-87246750.539343983</v>
      </c>
      <c r="EL155" s="28">
        <f t="shared" si="101"/>
        <v>-1023342350.9136268</v>
      </c>
      <c r="EM155" s="22">
        <f>-17.17-(0.1023*G155)+H155*(100+102.093-66.644-64.243)</f>
        <v>30.805390388915828</v>
      </c>
      <c r="EN155">
        <f>IF(AT155&lt;&gt;-999,AT155*$EM155, -999)</f>
        <v>347546040.15148026</v>
      </c>
      <c r="EO155">
        <f>IF(AU155&lt;&gt;-999,AU155*$EM155, -999)</f>
        <v>197101360.46107</v>
      </c>
      <c r="EP155" s="23">
        <f>IF(AV155&lt;&gt;-999,AV155*$EM155, -999)</f>
        <v>544647400.61255026</v>
      </c>
      <c r="EQ155">
        <f>-19.943-(0.1023*G155)+H155*(100+102.093-66.644-64.243)</f>
        <v>28.032390388915829</v>
      </c>
      <c r="ER155">
        <f>IF(AW155&lt;&gt;-999,AW155*$EQ155, -999)</f>
        <v>165881371.89154094</v>
      </c>
      <c r="ES155">
        <f>IF(AX155&lt;&gt;-999,AX155*$EQ155, -999)</f>
        <v>94075140.906330094</v>
      </c>
      <c r="ET155" s="23">
        <f>IF(AY155&lt;&gt;-999,AY155*$EQ155, -999)</f>
        <v>259956517.46437955</v>
      </c>
      <c r="EU155">
        <f>-25.871-(0.1023*G155)+H155*(100+102.093-66.644-64.243)</f>
        <v>22.104390388915832</v>
      </c>
      <c r="EV155">
        <f>IF(AZ155&lt;&gt;-999,AZ155*$EU155, -999)</f>
        <v>169091401.67233592</v>
      </c>
      <c r="EW155">
        <f>IF(BA155&lt;&gt;-999,BA155*$EU155, -999)</f>
        <v>95895625.874218911</v>
      </c>
      <c r="EX155" s="23">
        <f>IF(BB155&lt;&gt;-999,BB155*$EU155, -999)</f>
        <v>264987027.54655486</v>
      </c>
      <c r="EY155">
        <f>-25.245-(0.1023*G155)+H155*(100+102.093-66.644-64.243)</f>
        <v>22.730390388915829</v>
      </c>
      <c r="EZ155">
        <f>IF(BC155&lt;&gt;-999, BC155*$EY155, -999)</f>
        <v>49076026.330602705</v>
      </c>
      <c r="FA155">
        <f>IF(BD155&lt;&gt;-999, BD155*$EY155, -999)</f>
        <v>27832143.475799263</v>
      </c>
      <c r="FB155" s="23">
        <f>IF(BE155&lt;&gt;-999, BE155*$EY155, -999)</f>
        <v>76908169.806401968</v>
      </c>
      <c r="FC155">
        <f>-29.317-(0.1023*G155)+H155*(100+102.093-66.644-64.243)</f>
        <v>18.658390388915826</v>
      </c>
      <c r="FD155">
        <f>IF(BF155&lt;&gt;-999,BF155*$FC155, -999)</f>
        <v>21129465.402488008</v>
      </c>
      <c r="FE155">
        <f>IF(BG155&lt;&gt;-999,BG155*$FC155, -999)</f>
        <v>11983004.95891487</v>
      </c>
      <c r="FF155" s="23">
        <f>IF(BH155&lt;&gt;-999,BH155*$FC155, -999)</f>
        <v>33112473.467436157</v>
      </c>
      <c r="FG155">
        <f>-38.03-(0.1023*G155)+H155*(100+102.093-66.644-64.243)</f>
        <v>9.9453903889158326</v>
      </c>
      <c r="FH155">
        <f>IF(BI155&lt;&gt;-999,BI155*$FG155, -999)</f>
        <v>14559338.990883604</v>
      </c>
      <c r="FI155">
        <f>IF(BJ155&lt;&gt;-999,BJ155*$FG155, -999)</f>
        <v>8256935.8267840408</v>
      </c>
      <c r="FJ155" s="23">
        <f>IF(BK155&lt;&gt;-999,BK155*$FG155, -999)</f>
        <v>22816276.473261341</v>
      </c>
      <c r="FK155" s="28">
        <f t="shared" si="102"/>
        <v>1202427865.370584</v>
      </c>
      <c r="FL155" s="22">
        <f t="shared" si="104"/>
        <v>10.012280000000011</v>
      </c>
      <c r="FM155">
        <f>IF(AT155&lt;&gt;-999,AT155*$FL155, -999)</f>
        <v>112958421.33329748</v>
      </c>
      <c r="FN155">
        <f>IF(AU155&lt;&gt;-999,AU155*$FL155, -999)</f>
        <v>64061321.229911461</v>
      </c>
      <c r="FO155" s="29">
        <f>IF(AV155&lt;&gt;-999,AV155*$FL155, -999)</f>
        <v>177019742.56320891</v>
      </c>
      <c r="FP155">
        <f t="shared" si="105"/>
        <v>7.2392800000000115</v>
      </c>
      <c r="FQ155">
        <f>IF(AW155&lt;&gt;-999,AW155*$FP155, -999)</f>
        <v>42838362.381747656</v>
      </c>
      <c r="FR155">
        <f>IF(AX155&lt;&gt;-999,AX155*$FP155, -999)</f>
        <v>24294620.49478535</v>
      </c>
      <c r="FS155" s="29">
        <f>IF(AY155&lt;&gt;-999,AY155*$FP155, -999)</f>
        <v>67132984.081644714</v>
      </c>
      <c r="FT155">
        <f t="shared" si="106"/>
        <v>1.3112800000000142</v>
      </c>
      <c r="FU155">
        <f>IF(AZ155&lt;&gt;-999,AZ155*$FT155, -999)</f>
        <v>10030865.782034272</v>
      </c>
      <c r="FV155">
        <f>IF(BA155&lt;&gt;-999,BA155*$FT155, -999)</f>
        <v>5688734.8659659047</v>
      </c>
      <c r="FW155" s="29">
        <f>IF(BB155&lt;&gt;-999,BB155*$FT155, -999)</f>
        <v>15719600.648000177</v>
      </c>
      <c r="FX155">
        <f t="shared" si="107"/>
        <v>1.9372800000000119</v>
      </c>
      <c r="FY155">
        <f>IF(BC155&lt;&gt;-999, BC155*$FX155, -999)</f>
        <v>4182682.4204529347</v>
      </c>
      <c r="FZ155">
        <f>IF(BD155&lt;&gt;-999, BD155*$FX155, -999)</f>
        <v>2372095.4189633909</v>
      </c>
      <c r="GA155" s="29">
        <f>IF(BE155&lt;&gt;-999, BE155*$FX155, -999)</f>
        <v>6554777.839416326</v>
      </c>
      <c r="GB155">
        <f t="shared" si="108"/>
        <v>-2.1347199999999873</v>
      </c>
      <c r="GC155">
        <f>IF(BF155&lt;&gt;-999,BF155*$GB155, -999)</f>
        <v>-2417437.4875763254</v>
      </c>
      <c r="GD155">
        <f>IF(BG155&lt;&gt;-999,BG155*$GB155, -999)</f>
        <v>-1370984.303184632</v>
      </c>
      <c r="GE155" s="29">
        <f>IF(BH155&lt;&gt;-999,BH155*$GB155, -999)</f>
        <v>-3788422.1461244812</v>
      </c>
      <c r="GF155">
        <f t="shared" si="109"/>
        <v>-10.847719999999988</v>
      </c>
      <c r="GG155">
        <f>IF(BI155&lt;&gt;-999,BI155*$GF155, -999)</f>
        <v>-15880284.894015567</v>
      </c>
      <c r="GH155">
        <f>IF(BJ155&lt;&gt;-999,BJ155*$GF155, -999)</f>
        <v>-9006074.6138981637</v>
      </c>
      <c r="GI155" s="29">
        <f>IF(BK155&lt;&gt;-999,BK155*$GF155, -999)</f>
        <v>-24886361.31371684</v>
      </c>
      <c r="GJ155" s="30">
        <f t="shared" si="103"/>
        <v>237752321.67242882</v>
      </c>
    </row>
    <row r="156" spans="1:192">
      <c r="A156" s="48" t="s">
        <v>153</v>
      </c>
      <c r="B156" s="48" t="s">
        <v>286</v>
      </c>
      <c r="C156" s="49">
        <v>72</v>
      </c>
      <c r="D156" s="50">
        <v>0.46500000000000002</v>
      </c>
      <c r="E156" s="49">
        <v>202.620689898439</v>
      </c>
      <c r="F156" s="49">
        <v>0.77684554622867097</v>
      </c>
      <c r="G156" s="49">
        <v>120.50891588541501</v>
      </c>
      <c r="H156" s="49">
        <v>0.81490867977609405</v>
      </c>
      <c r="I156" s="42">
        <v>80052.2</v>
      </c>
      <c r="J156" s="43">
        <v>-999</v>
      </c>
      <c r="K156" s="43">
        <f t="shared" si="78"/>
        <v>80052.2</v>
      </c>
      <c r="L156" s="43">
        <v>36529.300000000003</v>
      </c>
      <c r="M156" s="43">
        <v>-999</v>
      </c>
      <c r="N156" s="43">
        <f t="shared" si="79"/>
        <v>36529.300000000003</v>
      </c>
      <c r="O156" s="43">
        <v>53317.1</v>
      </c>
      <c r="P156" s="43">
        <v>-999</v>
      </c>
      <c r="Q156" s="43">
        <f t="shared" si="80"/>
        <v>53317.1</v>
      </c>
      <c r="R156" s="43">
        <v>59255.6</v>
      </c>
      <c r="S156" s="43">
        <v>-999</v>
      </c>
      <c r="T156" s="43">
        <f t="shared" si="81"/>
        <v>59255.6</v>
      </c>
      <c r="U156" s="43">
        <v>27039.5</v>
      </c>
      <c r="V156" s="43">
        <v>-999</v>
      </c>
      <c r="W156" s="43">
        <f t="shared" si="82"/>
        <v>27039.5</v>
      </c>
      <c r="X156" s="43">
        <v>39466</v>
      </c>
      <c r="Y156" s="43">
        <v>-999</v>
      </c>
      <c r="Z156" s="43">
        <f t="shared" si="83"/>
        <v>39466</v>
      </c>
      <c r="AA156" s="22">
        <v>4794188.7</v>
      </c>
      <c r="AB156">
        <v>-999</v>
      </c>
      <c r="AC156">
        <v>4794188.7</v>
      </c>
      <c r="AD156">
        <v>2187678.5</v>
      </c>
      <c r="AE156">
        <v>-999</v>
      </c>
      <c r="AF156">
        <v>2187678.5</v>
      </c>
      <c r="AG156">
        <v>3193071.6</v>
      </c>
      <c r="AH156">
        <v>-999</v>
      </c>
      <c r="AI156">
        <v>3193071.6</v>
      </c>
      <c r="AJ156">
        <v>3548718.2</v>
      </c>
      <c r="AK156">
        <v>-999</v>
      </c>
      <c r="AL156">
        <v>3548718.2</v>
      </c>
      <c r="AM156">
        <v>1619346.9</v>
      </c>
      <c r="AN156">
        <v>-999</v>
      </c>
      <c r="AO156">
        <v>1619346.9</v>
      </c>
      <c r="AP156">
        <v>2363551.4</v>
      </c>
      <c r="AQ156">
        <v>-999</v>
      </c>
      <c r="AR156">
        <v>2363551.4</v>
      </c>
      <c r="AS156">
        <v>17706555.219999999</v>
      </c>
      <c r="AT156" s="22">
        <f t="shared" si="111"/>
        <v>7980811.4991104323</v>
      </c>
      <c r="AU156">
        <f t="shared" si="111"/>
        <v>-999</v>
      </c>
      <c r="AV156">
        <f t="shared" si="111"/>
        <v>7980811.4991104323</v>
      </c>
      <c r="AW156">
        <f t="shared" si="111"/>
        <v>3641794.4352412876</v>
      </c>
      <c r="AX156">
        <f t="shared" si="111"/>
        <v>-999</v>
      </c>
      <c r="AY156">
        <f t="shared" si="111"/>
        <v>3641794.4352412876</v>
      </c>
      <c r="AZ156">
        <f t="shared" si="111"/>
        <v>5315456.7200834099</v>
      </c>
      <c r="BA156">
        <f t="shared" si="111"/>
        <v>-999</v>
      </c>
      <c r="BB156">
        <f t="shared" si="111"/>
        <v>5315456.7200834099</v>
      </c>
      <c r="BC156">
        <f t="shared" si="111"/>
        <v>5907496.0936899446</v>
      </c>
      <c r="BD156">
        <f t="shared" si="110"/>
        <v>-999</v>
      </c>
      <c r="BE156">
        <f t="shared" si="110"/>
        <v>5907496.0936899446</v>
      </c>
      <c r="BF156">
        <f t="shared" si="110"/>
        <v>2695701.6440693773</v>
      </c>
      <c r="BG156">
        <f t="shared" si="110"/>
        <v>-999</v>
      </c>
      <c r="BH156">
        <f t="shared" si="110"/>
        <v>2695701.6440693773</v>
      </c>
      <c r="BI156">
        <f t="shared" si="110"/>
        <v>3934567.3214445151</v>
      </c>
      <c r="BJ156">
        <f t="shared" si="110"/>
        <v>-999</v>
      </c>
      <c r="BK156">
        <f t="shared" si="110"/>
        <v>3934567.3214445151</v>
      </c>
      <c r="BL156">
        <f t="shared" si="110"/>
        <v>29475827.58046421</v>
      </c>
      <c r="BM156" s="22">
        <f>-17.17-(0.1023*E156)+F156*(100-8.576-13.681)</f>
        <v>22.496206723845262</v>
      </c>
      <c r="BN156">
        <f>IF(AT156&lt;&gt;-999,AT156*$BM156, -999)</f>
        <v>179537985.30802968</v>
      </c>
      <c r="BO156">
        <f>IF(AU156&lt;&gt;-999,AU156*$BM156, -999)</f>
        <v>-999</v>
      </c>
      <c r="BP156" s="25">
        <f>IF(AV156&lt;&gt;-999,AV156*$BM156, -999)</f>
        <v>179537985.30802968</v>
      </c>
      <c r="BQ156">
        <f>-19.943-(0.1023*E156)+F156*(100-8.576-13.681)</f>
        <v>19.723206723845266</v>
      </c>
      <c r="BR156">
        <f>IF(AW156&lt;&gt;-999,AW156*$BQ156, -999)</f>
        <v>71827864.492013231</v>
      </c>
      <c r="BS156">
        <f>IF(AX156&lt;&gt;-999,AX156*$BQ156, -999)</f>
        <v>-999</v>
      </c>
      <c r="BT156" s="25">
        <f>IF(AY156&lt;&gt;-999,AY156*$BQ156, -999)</f>
        <v>71827864.492013231</v>
      </c>
      <c r="BU156">
        <f>-25.871-(0.1023*E156)+F156*(100-8.576-13.681)</f>
        <v>13.795206723845268</v>
      </c>
      <c r="BV156">
        <f>IF(AZ156&lt;&gt;-999,AZ156*$BU156, -999)</f>
        <v>73327824.285203174</v>
      </c>
      <c r="BW156">
        <f>IF(BA156&lt;&gt;-999,BA156*$BU156, -999)</f>
        <v>-999</v>
      </c>
      <c r="BX156" s="25">
        <f>IF(BB156&lt;&gt;-999,BB156*$BU156, -999)</f>
        <v>73327824.285203174</v>
      </c>
      <c r="BY156">
        <f>-25.245-(0.1023*E156)+F156*(100-8.576-13.681)</f>
        <v>14.421206723845266</v>
      </c>
      <c r="BZ156">
        <f>IF(BC156&lt;&gt;-999,BC156*$BY156, -999)</f>
        <v>85193222.387411073</v>
      </c>
      <c r="CA156">
        <f>IF(BD156&lt;&gt;-999,BD156*$BY156, -999)</f>
        <v>-999</v>
      </c>
      <c r="CB156" s="25">
        <f>IF(BE156&lt;&gt;-999,BE156*$BY156, -999)</f>
        <v>85193222.387411073</v>
      </c>
      <c r="CC156">
        <f>-29.317-(0.1023*E156)+F156*(100-8.576-13.681)</f>
        <v>10.349206723845271</v>
      </c>
      <c r="CD156">
        <f>IF(BF156&lt;&gt;-999,BF156*$CC156, -999)</f>
        <v>27898373.580283549</v>
      </c>
      <c r="CE156">
        <f>IF(BG156&lt;&gt;-999,BG156*$CC156, -999)</f>
        <v>-999</v>
      </c>
      <c r="CF156" s="25">
        <f>IF(BH156&lt;&gt;-999,BH156*$CC156, -999)</f>
        <v>27898373.580283549</v>
      </c>
      <c r="CG156">
        <f>-38.03-(0.1023*E156)+F156*(100-8.576-13.681)</f>
        <v>1.6362067238452624</v>
      </c>
      <c r="CH156">
        <f>IF(BI156&lt;&gt;-999,BI156*$CG156, -999)</f>
        <v>6437765.50676936</v>
      </c>
      <c r="CI156">
        <f>IF(BJ156&lt;&gt;-999,BJ156*$CG156, -999)</f>
        <v>-999</v>
      </c>
      <c r="CJ156" s="25">
        <f>IF(BK156&lt;&gt;-999,BK156*$CG156, -999)</f>
        <v>6437765.50676936</v>
      </c>
      <c r="CK156" s="26">
        <f t="shared" si="84"/>
        <v>444223035.55971003</v>
      </c>
      <c r="CL156">
        <f t="shared" si="85"/>
        <v>-22.92174060522531</v>
      </c>
      <c r="CM156">
        <f t="shared" si="86"/>
        <v>35.577661522547054</v>
      </c>
      <c r="CN156">
        <f t="shared" si="87"/>
        <v>-80.410645853906445</v>
      </c>
      <c r="CO156" s="22">
        <f t="shared" si="88"/>
        <v>-40.08</v>
      </c>
      <c r="CP156">
        <f>IF(AT156&lt;&gt;-999,AT156*$CO156, -999)</f>
        <v>-319870924.88434613</v>
      </c>
      <c r="CQ156">
        <f>IF(AU156&lt;&gt;-999,AU156*$CO156, -999)</f>
        <v>-999</v>
      </c>
      <c r="CR156" s="27">
        <f>IF(AV156&lt;&gt;-999,AV156*$CO156, -999)</f>
        <v>-319870924.88434613</v>
      </c>
      <c r="CS156">
        <f t="shared" si="89"/>
        <v>-42.853000000000002</v>
      </c>
      <c r="CT156">
        <f>IF(AW156&lt;&gt;-999,AW156*$CS156, -999)</f>
        <v>-156061816.93339491</v>
      </c>
      <c r="CU156">
        <f>IF(AX156&lt;&gt;-999,AX156*$CS156, -999)</f>
        <v>-999</v>
      </c>
      <c r="CV156" s="27">
        <f>IF(AY156&lt;&gt;-999,AY156*$CS156, -999)</f>
        <v>-156061816.93339491</v>
      </c>
      <c r="CW156">
        <f t="shared" si="90"/>
        <v>-48.780999999999999</v>
      </c>
      <c r="CX156">
        <f>IF(AZ156&lt;&gt;-999,AZ156*$CO156, -999)</f>
        <v>-213043505.34094307</v>
      </c>
      <c r="CY156">
        <f>IF(BA156&lt;&gt;-999,BA156*$CO156, -999)</f>
        <v>-999</v>
      </c>
      <c r="CZ156" s="27">
        <f>IF(BB156&lt;&gt;-999,BB156*$CO156, -999)</f>
        <v>-213043505.34094307</v>
      </c>
      <c r="DA156">
        <f t="shared" si="91"/>
        <v>-48.155000000000001</v>
      </c>
      <c r="DB156">
        <f>IF(BC156&lt;&gt;-999,BC156*$DA156, -999)</f>
        <v>-284475474.39163929</v>
      </c>
      <c r="DC156">
        <f>IF(BD156&lt;&gt;-999,BD156*$DA156, -999)</f>
        <v>-999</v>
      </c>
      <c r="DD156" s="27">
        <f>IF(BE156&lt;&gt;-999,BE156*$DA156, -999)</f>
        <v>-284475474.39163929</v>
      </c>
      <c r="DE156">
        <f t="shared" si="92"/>
        <v>-52.227000000000004</v>
      </c>
      <c r="DF156">
        <f>IF(BF156&lt;&gt;-999,BF156*$DE156, -999)</f>
        <v>-140788409.76481137</v>
      </c>
      <c r="DG156">
        <f>IF(BG156&lt;&gt;-999,BG156*$DE156, -999)</f>
        <v>-999</v>
      </c>
      <c r="DH156" s="27">
        <f>IF(BH156&lt;&gt;-999,BH156*$DE156, -999)</f>
        <v>-140788409.76481137</v>
      </c>
      <c r="DI156">
        <f t="shared" si="93"/>
        <v>-60.94</v>
      </c>
      <c r="DJ156">
        <f>IF(BI156&lt;&gt;-999,BI156*$DI156, -999)</f>
        <v>-239772532.56882873</v>
      </c>
      <c r="DK156">
        <f>IF(BJ156&lt;&gt;-999,BJ156*$DI156, -999)</f>
        <v>-999</v>
      </c>
      <c r="DL156" s="27">
        <f>IF(BK156&lt;&gt;-999,BK156*$DI156, -999)</f>
        <v>-239772532.56882873</v>
      </c>
      <c r="DM156" s="28">
        <f t="shared" si="94"/>
        <v>-1354012663.8839636</v>
      </c>
      <c r="DN156" s="22">
        <f t="shared" si="95"/>
        <v>-17.170000000000002</v>
      </c>
      <c r="DO156">
        <f>IF(AT156&lt;&gt;-999,AT156*$DN156, -999)</f>
        <v>-137030533.43972614</v>
      </c>
      <c r="DP156">
        <f>IF(AU156&lt;&gt;-999,AU156*$DN156, -999)</f>
        <v>-999</v>
      </c>
      <c r="DQ156" s="24">
        <f>IF(AV156&lt;&gt;-999,AV156*$DN156, -999)</f>
        <v>-137030533.43972614</v>
      </c>
      <c r="DR156">
        <f t="shared" si="96"/>
        <v>-19.943000000000001</v>
      </c>
      <c r="DS156">
        <f>IF(AW156&lt;&gt;-999,AW156*$DR156, -999)</f>
        <v>-72628306.422017008</v>
      </c>
      <c r="DT156">
        <f>IF(AX156&lt;&gt;-999,AX156*$DR156, -999)</f>
        <v>-999</v>
      </c>
      <c r="DU156" s="24">
        <f>IF(AY156&lt;&gt;-999,AY156*$DR156, -999)</f>
        <v>-72628306.422017008</v>
      </c>
      <c r="DV156">
        <f t="shared" si="97"/>
        <v>-25.870999999999999</v>
      </c>
      <c r="DW156">
        <f>IF(AZ156&lt;&gt;-999,AZ156*$DV156, -999)</f>
        <v>-137516180.80527788</v>
      </c>
      <c r="DX156">
        <f>IF(BA156&lt;&gt;-999,BA156*$DV156, -999)</f>
        <v>-999</v>
      </c>
      <c r="DY156" s="24">
        <f>IF(BB156&lt;&gt;-999,BB156*$DV156, -999)</f>
        <v>-137516180.80527788</v>
      </c>
      <c r="DZ156">
        <f t="shared" si="98"/>
        <v>-25.245000000000001</v>
      </c>
      <c r="EA156">
        <f>IF(BC156&lt;&gt;-999, BC156*$DZ156, -999)</f>
        <v>-149134738.88520265</v>
      </c>
      <c r="EB156">
        <f>IF(BD156&lt;&gt;-999, BD156*$DZ156, -999)</f>
        <v>-999</v>
      </c>
      <c r="EC156" s="24">
        <f>IF(BE156&lt;&gt;-999, BE156*$DZ156, -999)</f>
        <v>-149134738.88520265</v>
      </c>
      <c r="ED156">
        <f t="shared" si="99"/>
        <v>-29.317</v>
      </c>
      <c r="EE156">
        <f>IF(BF156&lt;&gt;-999,BF156*$ED156, -999)</f>
        <v>-79029885.099181935</v>
      </c>
      <c r="EF156">
        <f>IF(BG156&lt;&gt;-999,BG156*$ED156, -999)</f>
        <v>-999</v>
      </c>
      <c r="EG156" s="24">
        <f>IF(BH156&lt;&gt;-999,BH156*$ED156, -999)</f>
        <v>-79029885.099181935</v>
      </c>
      <c r="EH156">
        <f t="shared" si="100"/>
        <v>-38.03</v>
      </c>
      <c r="EI156">
        <f>IF(BI156&lt;&gt;-999,BI156*$EH156, -999)</f>
        <v>-149631595.23453492</v>
      </c>
      <c r="EJ156">
        <f>IF(BJ156&lt;&gt;-999,BJ156*$EH156, -999)</f>
        <v>-999</v>
      </c>
      <c r="EK156" s="24">
        <f>IF(BK156&lt;&gt;-999,BK156*$EH156, -999)</f>
        <v>-149631595.23453492</v>
      </c>
      <c r="EL156" s="28">
        <f t="shared" si="101"/>
        <v>-724971239.88594055</v>
      </c>
      <c r="EM156" s="22">
        <f>-17.17-(0.1023*G156)+H156*(100+102.093-66.644-64.243)</f>
        <v>28.528325357058613</v>
      </c>
      <c r="EN156">
        <f>IF(AT156&lt;&gt;-999,AT156*$EM156, -999)</f>
        <v>227679187.05997711</v>
      </c>
      <c r="EO156">
        <f>IF(AU156&lt;&gt;-999,AU156*$EM156, -999)</f>
        <v>-999</v>
      </c>
      <c r="EP156" s="23">
        <f>IF(AV156&lt;&gt;-999,AV156*$EM156, -999)</f>
        <v>227679187.05997711</v>
      </c>
      <c r="EQ156">
        <f>-19.943-(0.1023*G156)+H156*(100+102.093-66.644-64.243)</f>
        <v>25.755325357058609</v>
      </c>
      <c r="ER156">
        <f>IF(AW156&lt;&gt;-999,AW156*$EQ156, -999)</f>
        <v>93795600.563164875</v>
      </c>
      <c r="ES156">
        <f>IF(AX156&lt;&gt;-999,AX156*$EQ156, -999)</f>
        <v>-999</v>
      </c>
      <c r="ET156" s="23">
        <f>IF(AY156&lt;&gt;-999,AY156*$EQ156, -999)</f>
        <v>93795600.563164875</v>
      </c>
      <c r="EU156">
        <f>-25.871-(0.1023*G156)+H156*(100+102.093-66.644-64.243)</f>
        <v>19.827325357058612</v>
      </c>
      <c r="EV156">
        <f>IF(AZ156&lt;&gt;-999,AZ156*$EU156, -999)</f>
        <v>105391289.81045739</v>
      </c>
      <c r="EW156">
        <f>IF(BA156&lt;&gt;-999,BA156*$EU156, -999)</f>
        <v>-999</v>
      </c>
      <c r="EX156" s="23">
        <f>IF(BB156&lt;&gt;-999,BB156*$EU156, -999)</f>
        <v>105391289.81045739</v>
      </c>
      <c r="EY156">
        <f>-25.245-(0.1023*G156)+H156*(100+102.093-66.644-64.243)</f>
        <v>20.45332535705861</v>
      </c>
      <c r="EZ156">
        <f>IF(BC156&lt;&gt;-999, BC156*$EY156, -999)</f>
        <v>120827939.64979322</v>
      </c>
      <c r="FA156">
        <f>IF(BD156&lt;&gt;-999, BD156*$EY156, -999)</f>
        <v>-999</v>
      </c>
      <c r="FB156" s="23">
        <f>IF(BE156&lt;&gt;-999, BE156*$EY156, -999)</f>
        <v>120827939.64979322</v>
      </c>
      <c r="FC156">
        <f>-29.317-(0.1023*G156)+H156*(100+102.093-66.644-64.243)</f>
        <v>16.381325357058614</v>
      </c>
      <c r="FD156">
        <f>IF(BF156&lt;&gt;-999,BF156*$FC156, -999)</f>
        <v>44159165.697058283</v>
      </c>
      <c r="FE156">
        <f>IF(BG156&lt;&gt;-999,BG156*$FC156, -999)</f>
        <v>-999</v>
      </c>
      <c r="FF156" s="23">
        <f>IF(BH156&lt;&gt;-999,BH156*$FC156, -999)</f>
        <v>44159165.697058283</v>
      </c>
      <c r="FG156">
        <f>-38.03-(0.1023*G156)+H156*(100+102.093-66.644-64.243)</f>
        <v>7.6683253570586132</v>
      </c>
      <c r="FH156">
        <f>IF(BI156&lt;&gt;-999,BI156*$FG156, -999)</f>
        <v>30171542.360087164</v>
      </c>
      <c r="FI156">
        <f>IF(BJ156&lt;&gt;-999,BJ156*$FG156, -999)</f>
        <v>-999</v>
      </c>
      <c r="FJ156" s="23">
        <f>IF(BK156&lt;&gt;-999,BK156*$FG156, -999)</f>
        <v>30171542.360087164</v>
      </c>
      <c r="FK156" s="28">
        <f t="shared" si="102"/>
        <v>622024725.1405381</v>
      </c>
      <c r="FL156" s="22">
        <f t="shared" si="104"/>
        <v>10.012280000000011</v>
      </c>
      <c r="FM156">
        <f>IF(AT156&lt;&gt;-999,AT156*$FL156, -999)</f>
        <v>79906119.356313482</v>
      </c>
      <c r="FN156">
        <f>IF(AU156&lt;&gt;-999,AU156*$FL156, -999)</f>
        <v>-999</v>
      </c>
      <c r="FO156" s="29">
        <f>IF(AV156&lt;&gt;-999,AV156*$FL156, -999)</f>
        <v>79906119.356313482</v>
      </c>
      <c r="FP156">
        <f t="shared" si="105"/>
        <v>7.2392800000000115</v>
      </c>
      <c r="FQ156">
        <f>IF(AW156&lt;&gt;-999,AW156*$FP156, -999)</f>
        <v>26363969.619153589</v>
      </c>
      <c r="FR156">
        <f>IF(AX156&lt;&gt;-999,AX156*$FP156, -999)</f>
        <v>-999</v>
      </c>
      <c r="FS156" s="29">
        <f>IF(AY156&lt;&gt;-999,AY156*$FP156, -999)</f>
        <v>26363969.619153589</v>
      </c>
      <c r="FT156">
        <f t="shared" si="106"/>
        <v>1.3112800000000142</v>
      </c>
      <c r="FU156">
        <f>IF(AZ156&lt;&gt;-999,AZ156*$FT156, -999)</f>
        <v>6970052.0879110489</v>
      </c>
      <c r="FV156">
        <f>IF(BA156&lt;&gt;-999,BA156*$FT156, -999)</f>
        <v>-999</v>
      </c>
      <c r="FW156" s="29">
        <f>IF(BB156&lt;&gt;-999,BB156*$FT156, -999)</f>
        <v>6970052.0879110489</v>
      </c>
      <c r="FX156">
        <f t="shared" si="107"/>
        <v>1.9372800000000119</v>
      </c>
      <c r="FY156">
        <f>IF(BC156&lt;&gt;-999, BC156*$FX156, -999)</f>
        <v>11444474.032383727</v>
      </c>
      <c r="FZ156">
        <f>IF(BD156&lt;&gt;-999, BD156*$FX156, -999)</f>
        <v>-999</v>
      </c>
      <c r="GA156" s="29">
        <f>IF(BE156&lt;&gt;-999, BE156*$FX156, -999)</f>
        <v>11444474.032383727</v>
      </c>
      <c r="GB156">
        <f t="shared" si="108"/>
        <v>-2.1347199999999873</v>
      </c>
      <c r="GC156">
        <f>IF(BF156&lt;&gt;-999,BF156*$GB156, -999)</f>
        <v>-5754568.2136277473</v>
      </c>
      <c r="GD156">
        <f>IF(BG156&lt;&gt;-999,BG156*$GB156, -999)</f>
        <v>-999</v>
      </c>
      <c r="GE156" s="29">
        <f>IF(BH156&lt;&gt;-999,BH156*$GB156, -999)</f>
        <v>-5754568.2136277473</v>
      </c>
      <c r="GF156">
        <f t="shared" si="109"/>
        <v>-10.847719999999988</v>
      </c>
      <c r="GG156">
        <f>IF(BI156&lt;&gt;-999,BI156*$GF156, -999)</f>
        <v>-42681084.624180049</v>
      </c>
      <c r="GH156">
        <f>IF(BJ156&lt;&gt;-999,BJ156*$GF156, -999)</f>
        <v>-999</v>
      </c>
      <c r="GI156" s="29">
        <f>IF(BK156&lt;&gt;-999,BK156*$GF156, -999)</f>
        <v>-42681084.624180049</v>
      </c>
      <c r="GJ156" s="30">
        <f t="shared" si="103"/>
        <v>76248962.257954061</v>
      </c>
    </row>
    <row r="157" spans="1:192">
      <c r="A157" s="49" t="s">
        <v>146</v>
      </c>
      <c r="B157" s="49" t="s">
        <v>287</v>
      </c>
      <c r="C157" s="49">
        <v>5</v>
      </c>
      <c r="D157" s="50">
        <v>0.46300000000000002</v>
      </c>
      <c r="E157" s="49">
        <v>68.962231094108006</v>
      </c>
      <c r="F157" s="49">
        <v>0.79167182254858703</v>
      </c>
      <c r="G157" s="49">
        <v>176.58547999435399</v>
      </c>
      <c r="H157" s="49">
        <v>0.81096683479434095</v>
      </c>
      <c r="I157" s="42">
        <v>5850.4</v>
      </c>
      <c r="J157" s="43">
        <v>96265.5</v>
      </c>
      <c r="K157" s="43">
        <f t="shared" si="78"/>
        <v>102115.9</v>
      </c>
      <c r="L157" s="43">
        <v>4043.5</v>
      </c>
      <c r="M157" s="43">
        <v>66533.7</v>
      </c>
      <c r="N157" s="43">
        <f t="shared" si="79"/>
        <v>70577.2</v>
      </c>
      <c r="O157" s="43">
        <v>7895.3</v>
      </c>
      <c r="P157" s="43">
        <v>129914.4</v>
      </c>
      <c r="Q157" s="43">
        <f t="shared" si="80"/>
        <v>137809.69999999998</v>
      </c>
      <c r="R157" s="43">
        <v>4226.1000000000004</v>
      </c>
      <c r="S157" s="43">
        <v>69538.8</v>
      </c>
      <c r="T157" s="43">
        <f t="shared" si="81"/>
        <v>73764.900000000009</v>
      </c>
      <c r="U157" s="43">
        <v>2920.9</v>
      </c>
      <c r="V157" s="43">
        <v>48061.599999999999</v>
      </c>
      <c r="W157" s="43">
        <f t="shared" si="82"/>
        <v>50982.5</v>
      </c>
      <c r="X157" s="43">
        <v>5703.3</v>
      </c>
      <c r="Y157" s="43">
        <v>93845.7</v>
      </c>
      <c r="Z157" s="43">
        <f t="shared" si="83"/>
        <v>99549</v>
      </c>
      <c r="AA157" s="22">
        <v>37946.1</v>
      </c>
      <c r="AB157">
        <v>820762.6</v>
      </c>
      <c r="AC157">
        <v>858708.7</v>
      </c>
      <c r="AD157">
        <v>26226.3</v>
      </c>
      <c r="AE157">
        <v>567268.19999999995</v>
      </c>
      <c r="AF157">
        <v>593494.5</v>
      </c>
      <c r="AG157">
        <v>51209.9</v>
      </c>
      <c r="AH157">
        <v>1107654.5</v>
      </c>
      <c r="AI157">
        <v>1158864.3999999999</v>
      </c>
      <c r="AJ157">
        <v>27410.9</v>
      </c>
      <c r="AK157">
        <v>592890.30000000005</v>
      </c>
      <c r="AL157">
        <v>620301.19999999995</v>
      </c>
      <c r="AM157">
        <v>18945</v>
      </c>
      <c r="AN157">
        <v>409774.7</v>
      </c>
      <c r="AO157">
        <v>428719.7</v>
      </c>
      <c r="AP157">
        <v>36992.199999999997</v>
      </c>
      <c r="AQ157">
        <v>800131</v>
      </c>
      <c r="AR157">
        <v>837123.2</v>
      </c>
      <c r="AS157">
        <v>4497211.71</v>
      </c>
      <c r="AT157" s="22">
        <f t="shared" si="111"/>
        <v>63168.283556797505</v>
      </c>
      <c r="AU157">
        <f t="shared" si="111"/>
        <v>1366310.7578806351</v>
      </c>
      <c r="AV157">
        <f t="shared" si="111"/>
        <v>1429479.0414374324</v>
      </c>
      <c r="AW157">
        <f t="shared" si="111"/>
        <v>43658.514446692498</v>
      </c>
      <c r="AX157">
        <f t="shared" si="111"/>
        <v>944322.56570119492</v>
      </c>
      <c r="AY157">
        <f t="shared" si="111"/>
        <v>987981.08014788746</v>
      </c>
      <c r="AZ157">
        <f t="shared" si="111"/>
        <v>85248.32549630251</v>
      </c>
      <c r="BA157">
        <f t="shared" si="111"/>
        <v>1843895.2498138875</v>
      </c>
      <c r="BB157">
        <f t="shared" si="111"/>
        <v>1929143.5753101897</v>
      </c>
      <c r="BC157">
        <f t="shared" si="111"/>
        <v>45630.499675777501</v>
      </c>
      <c r="BD157">
        <f t="shared" si="110"/>
        <v>986975.2777880925</v>
      </c>
      <c r="BE157">
        <f t="shared" si="110"/>
        <v>1032605.7774638699</v>
      </c>
      <c r="BF157">
        <f t="shared" si="110"/>
        <v>31537.447378874997</v>
      </c>
      <c r="BG157">
        <f t="shared" si="110"/>
        <v>682145.58133778255</v>
      </c>
      <c r="BH157">
        <f t="shared" si="110"/>
        <v>713683.02871665754</v>
      </c>
      <c r="BI157">
        <f t="shared" si="110"/>
        <v>61580.341036094993</v>
      </c>
      <c r="BJ157">
        <f t="shared" si="110"/>
        <v>1331965.653666225</v>
      </c>
      <c r="BK157">
        <f t="shared" si="110"/>
        <v>1393545.9947023198</v>
      </c>
      <c r="BL157">
        <f t="shared" si="110"/>
        <v>7486438.5144252023</v>
      </c>
      <c r="BM157" s="22">
        <f>-17.17-(0.1023*E157)+F157*(100-8.576-13.681)</f>
        <v>37.32210625946756</v>
      </c>
      <c r="BN157">
        <f>IF(AT157&lt;&gt;-999,AT157*$BM157, -999)</f>
        <v>2357573.3911349741</v>
      </c>
      <c r="BO157">
        <f>IF(AU157&lt;&gt;-999,AU157*$BM157, -999)</f>
        <v>50993595.289074719</v>
      </c>
      <c r="BP157" s="25">
        <f>IF(AV157&lt;&gt;-999,AV157*$BM157, -999)</f>
        <v>53351168.680209681</v>
      </c>
      <c r="BQ157">
        <f>-19.943-(0.1023*E157)+F157*(100-8.576-13.681)</f>
        <v>34.549106259467557</v>
      </c>
      <c r="BR157">
        <f>IF(AW157&lt;&gt;-999,AW157*$BQ157, -999)</f>
        <v>1508362.6547492784</v>
      </c>
      <c r="BS157">
        <f>IF(AX157&lt;&gt;-999,AX157*$BQ157, -999)</f>
        <v>32625500.665623616</v>
      </c>
      <c r="BT157" s="25">
        <f>IF(AY157&lt;&gt;-999,AY157*$BQ157, -999)</f>
        <v>34133863.320372894</v>
      </c>
      <c r="BU157">
        <f>-25.871-(0.1023*E157)+F157*(100-8.576-13.681)</f>
        <v>28.62110625946756</v>
      </c>
      <c r="BV157">
        <f>IF(AZ157&lt;&gt;-999,AZ157*$BU157, -999)</f>
        <v>2439901.3824713519</v>
      </c>
      <c r="BW157">
        <f>IF(BA157&lt;&gt;-999,BA157*$BU157, -999)</f>
        <v>52774321.876250759</v>
      </c>
      <c r="BX157" s="25">
        <f>IF(BB157&lt;&gt;-999,BB157*$BU157, -999)</f>
        <v>55214223.258722097</v>
      </c>
      <c r="BY157">
        <f>-25.245-(0.1023*E157)+F157*(100-8.576-13.681)</f>
        <v>29.247106259467557</v>
      </c>
      <c r="BZ157">
        <f>IF(BC157&lt;&gt;-999,BC157*$BY157, -999)</f>
        <v>1334560.0726900646</v>
      </c>
      <c r="CA157">
        <f>IF(BD157&lt;&gt;-999,BD157*$BY157, -999)</f>
        <v>28866170.82493585</v>
      </c>
      <c r="CB157" s="25">
        <f>IF(BE157&lt;&gt;-999,BE157*$BY157, -999)</f>
        <v>30200730.897625912</v>
      </c>
      <c r="CC157">
        <f>-29.317-(0.1023*E157)+F157*(100-8.576-13.681)</f>
        <v>25.175106259467555</v>
      </c>
      <c r="CD157">
        <f>IF(BF157&lt;&gt;-999,BF157*$CC157, -999)</f>
        <v>793958.58891554456</v>
      </c>
      <c r="CE157">
        <f>IF(BG157&lt;&gt;-999,BG157*$CC157, -999)</f>
        <v>17173087.494604945</v>
      </c>
      <c r="CF157" s="25">
        <f>IF(BH157&lt;&gt;-999,BH157*$CC157, -999)</f>
        <v>17967046.083520487</v>
      </c>
      <c r="CG157">
        <f>-38.03-(0.1023*E157)+F157*(100-8.576-13.681)</f>
        <v>16.462106259467554</v>
      </c>
      <c r="CH157">
        <f>IF(BI157&lt;&gt;-999,BI157*$CG157, -999)</f>
        <v>1013742.117630446</v>
      </c>
      <c r="CI157">
        <f>IF(BJ157&lt;&gt;-999,BJ157*$CG157, -999)</f>
        <v>21926960.124614555</v>
      </c>
      <c r="CJ157" s="25">
        <f>IF(BK157&lt;&gt;-999,BK157*$CG157, -999)</f>
        <v>22940702.242244996</v>
      </c>
      <c r="CK157" s="26">
        <f t="shared" si="84"/>
        <v>213807734.48269609</v>
      </c>
      <c r="CL157">
        <f t="shared" si="85"/>
        <v>-39.347016171839435</v>
      </c>
      <c r="CM157">
        <f t="shared" si="86"/>
        <v>18.05682050091384</v>
      </c>
      <c r="CN157">
        <f t="shared" si="87"/>
        <v>-95.759280355031464</v>
      </c>
      <c r="CO157" s="22">
        <f t="shared" si="88"/>
        <v>-40.08</v>
      </c>
      <c r="CP157">
        <f>IF(AT157&lt;&gt;-999,AT157*$CO157, -999)</f>
        <v>-2531784.8049564441</v>
      </c>
      <c r="CQ157">
        <f>IF(AU157&lt;&gt;-999,AU157*$CO157, -999)</f>
        <v>-54761735.175855853</v>
      </c>
      <c r="CR157" s="27">
        <f>IF(AV157&lt;&gt;-999,AV157*$CO157, -999)</f>
        <v>-57293519.980812289</v>
      </c>
      <c r="CS157">
        <f t="shared" si="89"/>
        <v>-42.853000000000002</v>
      </c>
      <c r="CT157">
        <f>IF(AW157&lt;&gt;-999,AW157*$CS157, -999)</f>
        <v>-1870898.3195841138</v>
      </c>
      <c r="CU157">
        <f>IF(AX157&lt;&gt;-999,AX157*$CS157, -999)</f>
        <v>-40467054.907993309</v>
      </c>
      <c r="CV157" s="27">
        <f>IF(AY157&lt;&gt;-999,AY157*$CS157, -999)</f>
        <v>-42337953.227577426</v>
      </c>
      <c r="CW157">
        <f t="shared" si="90"/>
        <v>-48.780999999999999</v>
      </c>
      <c r="CX157">
        <f>IF(AZ157&lt;&gt;-999,AZ157*$CO157, -999)</f>
        <v>-3416752.8858918045</v>
      </c>
      <c r="CY157">
        <f>IF(BA157&lt;&gt;-999,BA157*$CO157, -999)</f>
        <v>-73903321.612540603</v>
      </c>
      <c r="CZ157" s="27">
        <f>IF(BB157&lt;&gt;-999,BB157*$CO157, -999)</f>
        <v>-77320074.498432398</v>
      </c>
      <c r="DA157">
        <f t="shared" si="91"/>
        <v>-48.155000000000001</v>
      </c>
      <c r="DB157">
        <f>IF(BC157&lt;&gt;-999,BC157*$DA157, -999)</f>
        <v>-2197336.7118870658</v>
      </c>
      <c r="DC157">
        <f>IF(BD157&lt;&gt;-999,BD157*$DA157, -999)</f>
        <v>-47527794.501885593</v>
      </c>
      <c r="DD157" s="27">
        <f>IF(BE157&lt;&gt;-999,BE157*$DA157, -999)</f>
        <v>-49725131.213772655</v>
      </c>
      <c r="DE157">
        <f t="shared" si="92"/>
        <v>-52.227000000000004</v>
      </c>
      <c r="DF157">
        <f>IF(BF157&lt;&gt;-999,BF157*$DE157, -999)</f>
        <v>-1647106.2642565046</v>
      </c>
      <c r="DG157">
        <f>IF(BG157&lt;&gt;-999,BG157*$DE157, -999)</f>
        <v>-35626417.276528373</v>
      </c>
      <c r="DH157" s="27">
        <f>IF(BH157&lt;&gt;-999,BH157*$DE157, -999)</f>
        <v>-37273523.540784873</v>
      </c>
      <c r="DI157">
        <f t="shared" si="93"/>
        <v>-60.94</v>
      </c>
      <c r="DJ157">
        <f>IF(BI157&lt;&gt;-999,BI157*$DI157, -999)</f>
        <v>-3752705.9827396288</v>
      </c>
      <c r="DK157">
        <f>IF(BJ157&lt;&gt;-999,BJ157*$DI157, -999)</f>
        <v>-81169986.934419751</v>
      </c>
      <c r="DL157" s="27">
        <f>IF(BK157&lt;&gt;-999,BK157*$DI157, -999)</f>
        <v>-84922692.917159364</v>
      </c>
      <c r="DM157" s="28">
        <f t="shared" si="94"/>
        <v>-348872895.37853897</v>
      </c>
      <c r="DN157" s="22">
        <f t="shared" si="95"/>
        <v>-17.170000000000002</v>
      </c>
      <c r="DO157">
        <f>IF(AT157&lt;&gt;-999,AT157*$DN157, -999)</f>
        <v>-1084599.4286702133</v>
      </c>
      <c r="DP157">
        <f>IF(AU157&lt;&gt;-999,AU157*$DN157, -999)</f>
        <v>-23459555.712810505</v>
      </c>
      <c r="DQ157" s="24">
        <f>IF(AV157&lt;&gt;-999,AV157*$DN157, -999)</f>
        <v>-24544155.141480718</v>
      </c>
      <c r="DR157">
        <f t="shared" si="96"/>
        <v>-19.943000000000001</v>
      </c>
      <c r="DS157">
        <f>IF(AW157&lt;&gt;-999,AW157*$DR157, -999)</f>
        <v>-870681.75361038849</v>
      </c>
      <c r="DT157">
        <f>IF(AX157&lt;&gt;-999,AX157*$DR157, -999)</f>
        <v>-18832624.927778933</v>
      </c>
      <c r="DU157" s="24">
        <f>IF(AY157&lt;&gt;-999,AY157*$DR157, -999)</f>
        <v>-19703306.681389321</v>
      </c>
      <c r="DV157">
        <f t="shared" si="97"/>
        <v>-25.870999999999999</v>
      </c>
      <c r="DW157">
        <f>IF(AZ157&lt;&gt;-999,AZ157*$DV157, -999)</f>
        <v>-2205459.4289148422</v>
      </c>
      <c r="DX157">
        <f>IF(BA157&lt;&gt;-999,BA157*$DV157, -999)</f>
        <v>-47703414.007935084</v>
      </c>
      <c r="DY157" s="24">
        <f>IF(BB157&lt;&gt;-999,BB157*$DV157, -999)</f>
        <v>-49908873.436849914</v>
      </c>
      <c r="DZ157">
        <f t="shared" si="98"/>
        <v>-25.245000000000001</v>
      </c>
      <c r="EA157">
        <f>IF(BC157&lt;&gt;-999, BC157*$DZ157, -999)</f>
        <v>-1151941.964315003</v>
      </c>
      <c r="EB157">
        <f>IF(BD157&lt;&gt;-999, BD157*$DZ157, -999)</f>
        <v>-24916190.887760397</v>
      </c>
      <c r="EC157" s="24">
        <f>IF(BE157&lt;&gt;-999, BE157*$DZ157, -999)</f>
        <v>-26068132.852075398</v>
      </c>
      <c r="ED157">
        <f t="shared" si="99"/>
        <v>-29.317</v>
      </c>
      <c r="EE157">
        <f>IF(BF157&lt;&gt;-999,BF157*$ED157, -999)</f>
        <v>-924583.34480647824</v>
      </c>
      <c r="EF157">
        <f>IF(BG157&lt;&gt;-999,BG157*$ED157, -999)</f>
        <v>-19998462.008079771</v>
      </c>
      <c r="EG157" s="24">
        <f>IF(BH157&lt;&gt;-999,BH157*$ED157, -999)</f>
        <v>-20923045.352886248</v>
      </c>
      <c r="EH157">
        <f t="shared" si="100"/>
        <v>-38.03</v>
      </c>
      <c r="EI157">
        <f>IF(BI157&lt;&gt;-999,BI157*$EH157, -999)</f>
        <v>-2341900.3696026928</v>
      </c>
      <c r="EJ157">
        <f>IF(BJ157&lt;&gt;-999,BJ157*$EH157, -999)</f>
        <v>-50654653.808926538</v>
      </c>
      <c r="EK157" s="24">
        <f>IF(BK157&lt;&gt;-999,BK157*$EH157, -999)</f>
        <v>-52996554.178529225</v>
      </c>
      <c r="EL157" s="28">
        <f t="shared" si="101"/>
        <v>-194144067.64321083</v>
      </c>
      <c r="EM157" s="22">
        <f>-17.17-(0.1023*G157)+H157*(100+102.093-66.644-64.243)</f>
        <v>22.511009834943444</v>
      </c>
      <c r="EN157">
        <f>IF(AT157&lt;&gt;-999,AT157*$EM157, -999)</f>
        <v>1421981.8524035648</v>
      </c>
      <c r="EO157">
        <f>IF(AU157&lt;&gt;-999,AU157*$EM157, -999)</f>
        <v>30757034.908240005</v>
      </c>
      <c r="EP157" s="23">
        <f>IF(AV157&lt;&gt;-999,AV157*$EM157, -999)</f>
        <v>32179016.760643568</v>
      </c>
      <c r="EQ157">
        <f>-19.943-(0.1023*G157)+H157*(100+102.093-66.644-64.243)</f>
        <v>19.738009834943441</v>
      </c>
      <c r="ER157">
        <f>IF(AW157&lt;&gt;-999,AW157*$EQ157, -999)</f>
        <v>861732.18752783677</v>
      </c>
      <c r="ES157">
        <f>IF(AX157&lt;&gt;-999,AX157*$EQ157, -999)</f>
        <v>18639048.089169208</v>
      </c>
      <c r="ET157" s="23">
        <f>IF(AY157&lt;&gt;-999,AY157*$EQ157, -999)</f>
        <v>19500780.276697047</v>
      </c>
      <c r="EU157">
        <f>-25.871-(0.1023*G157)+H157*(100+102.093-66.644-64.243)</f>
        <v>13.810009834943443</v>
      </c>
      <c r="EV157">
        <f>IF(AZ157&lt;&gt;-999,AZ157*$EU157, -999)</f>
        <v>1177280.2135163976</v>
      </c>
      <c r="EW157">
        <f>IF(BA157&lt;&gt;-999,BA157*$EU157, -999)</f>
        <v>25464211.534535285</v>
      </c>
      <c r="EX157" s="23">
        <f>IF(BB157&lt;&gt;-999,BB157*$EU157, -999)</f>
        <v>26641491.748051677</v>
      </c>
      <c r="EY157">
        <f>-25.245-(0.1023*G157)+H157*(100+102.093-66.644-64.243)</f>
        <v>14.436009834943441</v>
      </c>
      <c r="EZ157">
        <f>IF(BC157&lt;&gt;-999, BC157*$EY157, -999)</f>
        <v>658722.34209290752</v>
      </c>
      <c r="FA157">
        <f>IF(BD157&lt;&gt;-999, BD157*$EY157, -999)</f>
        <v>14247984.816994937</v>
      </c>
      <c r="FB157" s="23">
        <f>IF(BE157&lt;&gt;-999, BE157*$EY157, -999)</f>
        <v>14906707.159087844</v>
      </c>
      <c r="FC157">
        <f>-29.317-(0.1023*G157)+H157*(100+102.093-66.644-64.243)</f>
        <v>10.364009834943438</v>
      </c>
      <c r="FD157">
        <f>IF(BF157&lt;&gt;-999,BF157*$FC157, -999)</f>
        <v>326854.41480367159</v>
      </c>
      <c r="FE157">
        <f>IF(BG157&lt;&gt;-999,BG157*$FC157, -999)</f>
        <v>7069763.5138479872</v>
      </c>
      <c r="FF157" s="23">
        <f>IF(BH157&lt;&gt;-999,BH157*$FC157, -999)</f>
        <v>7396617.9286516588</v>
      </c>
      <c r="FG157">
        <f>-38.03-(0.1023*G157)+H157*(100+102.093-66.644-64.243)</f>
        <v>1.6510098349434443</v>
      </c>
      <c r="FH157">
        <f>IF(BI157&lt;&gt;-999,BI157*$FG157, -999)</f>
        <v>101669.74868976421</v>
      </c>
      <c r="FI157">
        <f>IF(BJ157&lt;&gt;-999,BJ157*$FG157, -999)</f>
        <v>2199088.3940098113</v>
      </c>
      <c r="FJ157" s="23">
        <f>IF(BK157&lt;&gt;-999,BK157*$FG157, -999)</f>
        <v>2300758.1426995751</v>
      </c>
      <c r="FK157" s="28">
        <f t="shared" si="102"/>
        <v>102925372.01583135</v>
      </c>
      <c r="FL157" s="22">
        <f t="shared" si="104"/>
        <v>10.012280000000011</v>
      </c>
      <c r="FM157">
        <f>IF(AT157&lt;&gt;-999,AT157*$FL157, -999)</f>
        <v>632458.5420900532</v>
      </c>
      <c r="FN157">
        <f>IF(AU157&lt;&gt;-999,AU157*$FL157, -999)</f>
        <v>13679885.874913141</v>
      </c>
      <c r="FO157" s="29">
        <f>IF(AV157&lt;&gt;-999,AV157*$FL157, -999)</f>
        <v>14312344.417003192</v>
      </c>
      <c r="FP157">
        <f t="shared" si="105"/>
        <v>7.2392800000000115</v>
      </c>
      <c r="FQ157">
        <f>IF(AW157&lt;&gt;-999,AW157*$FP157, -999)</f>
        <v>316056.21046365256</v>
      </c>
      <c r="FR157">
        <f>IF(AX157&lt;&gt;-999,AX157*$FP157, -999)</f>
        <v>6836215.4634293569</v>
      </c>
      <c r="FS157" s="29">
        <f>IF(AY157&lt;&gt;-999,AY157*$FP157, -999)</f>
        <v>7152271.6738930102</v>
      </c>
      <c r="FT157">
        <f t="shared" si="106"/>
        <v>1.3112800000000142</v>
      </c>
      <c r="FU157">
        <f>IF(AZ157&lt;&gt;-999,AZ157*$FT157, -999)</f>
        <v>111784.42425679277</v>
      </c>
      <c r="FV157">
        <f>IF(BA157&lt;&gt;-999,BA157*$FT157, -999)</f>
        <v>2417862.9631759808</v>
      </c>
      <c r="FW157" s="29">
        <f>IF(BB157&lt;&gt;-999,BB157*$FT157, -999)</f>
        <v>2529647.3874327731</v>
      </c>
      <c r="FX157">
        <f t="shared" si="107"/>
        <v>1.9372800000000119</v>
      </c>
      <c r="FY157">
        <f>IF(BC157&lt;&gt;-999, BC157*$FX157, -999)</f>
        <v>88399.054411890786</v>
      </c>
      <c r="FZ157">
        <f>IF(BD157&lt;&gt;-999, BD157*$FX157, -999)</f>
        <v>1912047.4661533276</v>
      </c>
      <c r="GA157" s="29">
        <f>IF(BE157&lt;&gt;-999, BE157*$FX157, -999)</f>
        <v>2000446.5205652181</v>
      </c>
      <c r="GB157">
        <f t="shared" si="108"/>
        <v>-2.1347199999999873</v>
      </c>
      <c r="GC157">
        <f>IF(BF157&lt;&gt;-999,BF157*$GB157, -999)</f>
        <v>-67323.619668631625</v>
      </c>
      <c r="GD157">
        <f>IF(BG157&lt;&gt;-999,BG157*$GB157, -999)</f>
        <v>-1456189.8153933825</v>
      </c>
      <c r="GE157" s="29">
        <f>IF(BH157&lt;&gt;-999,BH157*$GB157, -999)</f>
        <v>-1523513.435062014</v>
      </c>
      <c r="GF157">
        <f t="shared" si="109"/>
        <v>-10.847719999999988</v>
      </c>
      <c r="GG157">
        <f>IF(BI157&lt;&gt;-999,BI157*$GF157, -999)</f>
        <v>-668006.29706406768</v>
      </c>
      <c r="GH157">
        <f>IF(BJ157&lt;&gt;-999,BJ157*$GF157, -999)</f>
        <v>-14448790.460588166</v>
      </c>
      <c r="GI157" s="29">
        <f>IF(BK157&lt;&gt;-999,BK157*$GF157, -999)</f>
        <v>-15116796.757652232</v>
      </c>
      <c r="GJ157" s="30">
        <f t="shared" si="103"/>
        <v>9354399.80617995</v>
      </c>
    </row>
    <row r="158" spans="1:192">
      <c r="A158" s="48" t="s">
        <v>258</v>
      </c>
      <c r="B158" s="48" t="s">
        <v>288</v>
      </c>
      <c r="C158" s="49">
        <v>34</v>
      </c>
      <c r="D158" s="50">
        <v>0.45700000000000002</v>
      </c>
      <c r="E158" s="49">
        <v>234.40682770163301</v>
      </c>
      <c r="F158" s="49">
        <v>0.779475564733072</v>
      </c>
      <c r="G158" s="49">
        <v>69.113925448069907</v>
      </c>
      <c r="H158" s="49">
        <v>0.81817111860952996</v>
      </c>
      <c r="I158" s="42">
        <v>35673.699999999997</v>
      </c>
      <c r="J158" s="43">
        <v>33765.1</v>
      </c>
      <c r="K158" s="43">
        <f t="shared" si="78"/>
        <v>69438.799999999988</v>
      </c>
      <c r="L158" s="43">
        <v>33461.800000000003</v>
      </c>
      <c r="M158" s="43">
        <v>31671.4</v>
      </c>
      <c r="N158" s="43">
        <f t="shared" si="79"/>
        <v>65133.200000000004</v>
      </c>
      <c r="O158" s="43">
        <v>52647.9</v>
      </c>
      <c r="P158" s="43">
        <v>49831</v>
      </c>
      <c r="Q158" s="43">
        <f t="shared" si="80"/>
        <v>102478.9</v>
      </c>
      <c r="R158" s="43">
        <v>59822.7</v>
      </c>
      <c r="S158" s="43">
        <v>56622</v>
      </c>
      <c r="T158" s="43">
        <f t="shared" si="81"/>
        <v>116444.7</v>
      </c>
      <c r="U158" s="43">
        <v>56113.4</v>
      </c>
      <c r="V158" s="43">
        <v>53111.199999999997</v>
      </c>
      <c r="W158" s="43">
        <f t="shared" si="82"/>
        <v>109224.6</v>
      </c>
      <c r="X158" s="43">
        <v>88287.4</v>
      </c>
      <c r="Y158" s="43">
        <v>83563.7</v>
      </c>
      <c r="Z158" s="43">
        <f t="shared" si="83"/>
        <v>171851.09999999998</v>
      </c>
      <c r="AA158" s="22">
        <v>874351.1</v>
      </c>
      <c r="AB158">
        <v>670260.19999999995</v>
      </c>
      <c r="AC158">
        <v>1544611.3</v>
      </c>
      <c r="AD158">
        <v>820136.4</v>
      </c>
      <c r="AE158">
        <v>628700.30000000005</v>
      </c>
      <c r="AF158">
        <v>1448836.7</v>
      </c>
      <c r="AG158">
        <v>1290381.3999999999</v>
      </c>
      <c r="AH158">
        <v>989180.8</v>
      </c>
      <c r="AI158">
        <v>2279562.2000000002</v>
      </c>
      <c r="AJ158">
        <v>1466235.3</v>
      </c>
      <c r="AK158">
        <v>1123986.8999999999</v>
      </c>
      <c r="AL158">
        <v>2590222.2000000002</v>
      </c>
      <c r="AM158">
        <v>1375320.4</v>
      </c>
      <c r="AN158">
        <v>1054293.3999999999</v>
      </c>
      <c r="AO158">
        <v>2429613.7999999998</v>
      </c>
      <c r="AP158">
        <v>2163893.6</v>
      </c>
      <c r="AQ158">
        <v>1658798</v>
      </c>
      <c r="AR158">
        <v>3822691.6</v>
      </c>
      <c r="AS158">
        <v>14115537.82</v>
      </c>
      <c r="AT158" s="22">
        <f t="shared" si="111"/>
        <v>1455518.7018691725</v>
      </c>
      <c r="AU158">
        <f t="shared" si="111"/>
        <v>1115771.7491503949</v>
      </c>
      <c r="AV158">
        <f t="shared" si="111"/>
        <v>2571290.4510195674</v>
      </c>
      <c r="AW158">
        <f t="shared" si="111"/>
        <v>1365268.33246239</v>
      </c>
      <c r="AX158">
        <f t="shared" si="111"/>
        <v>1046587.6288378426</v>
      </c>
      <c r="AY158">
        <f t="shared" si="111"/>
        <v>2411855.9613002324</v>
      </c>
      <c r="AZ158">
        <f t="shared" si="111"/>
        <v>2148077.8834087648</v>
      </c>
      <c r="BA158">
        <f t="shared" si="111"/>
        <v>1646673.9207280802</v>
      </c>
      <c r="BB158">
        <f t="shared" si="111"/>
        <v>3794751.8041368453</v>
      </c>
      <c r="BC158">
        <f t="shared" si="111"/>
        <v>2440819.1406069677</v>
      </c>
      <c r="BD158">
        <f t="shared" si="110"/>
        <v>1871083.5425333774</v>
      </c>
      <c r="BE158">
        <f t="shared" si="110"/>
        <v>4311902.6831403458</v>
      </c>
      <c r="BF158">
        <f t="shared" si="110"/>
        <v>2289474.5180307901</v>
      </c>
      <c r="BG158">
        <f t="shared" si="110"/>
        <v>1755065.8550749647</v>
      </c>
      <c r="BH158">
        <f t="shared" si="110"/>
        <v>4044540.3731057551</v>
      </c>
      <c r="BI158">
        <f t="shared" si="110"/>
        <v>3602200.0814718599</v>
      </c>
      <c r="BJ158">
        <f t="shared" si="110"/>
        <v>2761375.27776105</v>
      </c>
      <c r="BK158">
        <f t="shared" si="110"/>
        <v>6363575.35923291</v>
      </c>
      <c r="BL158">
        <f t="shared" si="110"/>
        <v>23497916.665229347</v>
      </c>
      <c r="BM158" s="22">
        <f>-17.17-(0.1023*E158)+F158*(100-8.576-13.681)</f>
        <v>19.448950355166161</v>
      </c>
      <c r="BN158">
        <f>IF(AT158&lt;&gt;-999,AT158*$BM158, -999)</f>
        <v>28308310.973669432</v>
      </c>
      <c r="BO158">
        <f>IF(AU158&lt;&gt;-999,AU158*$BM158, -999)</f>
        <v>21700589.356922943</v>
      </c>
      <c r="BP158" s="25">
        <f>IF(AV158&lt;&gt;-999,AV158*$BM158, -999)</f>
        <v>50008900.330592379</v>
      </c>
      <c r="BQ158">
        <f>-19.943-(0.1023*E158)+F158*(100-8.576-13.681)</f>
        <v>16.675950355166165</v>
      </c>
      <c r="BR158">
        <f>IF(AW158&lt;&gt;-999,AW158*$BQ158, -999)</f>
        <v>22767146.93362331</v>
      </c>
      <c r="BS158">
        <f>IF(AX158&lt;&gt;-999,AX158*$BQ158, -999)</f>
        <v>17452843.340830937</v>
      </c>
      <c r="BT158" s="25">
        <f>IF(AY158&lt;&gt;-999,AY158*$BQ158, -999)</f>
        <v>40219990.274454243</v>
      </c>
      <c r="BU158">
        <f>-25.871-(0.1023*E158)+F158*(100-8.576-13.681)</f>
        <v>10.747950355166168</v>
      </c>
      <c r="BV158">
        <f>IF(AZ158&lt;&gt;-999,AZ158*$BU158, -999)</f>
        <v>23087434.449907824</v>
      </c>
      <c r="BW158">
        <f>IF(BA158&lt;&gt;-999,BA158*$BU158, -999)</f>
        <v>17698369.551132236</v>
      </c>
      <c r="BX158" s="25">
        <f>IF(BB158&lt;&gt;-999,BB158*$BU158, -999)</f>
        <v>40785804.001040064</v>
      </c>
      <c r="BY158">
        <f>-25.245-(0.1023*E158)+F158*(100-8.576-13.681)</f>
        <v>11.373950355166166</v>
      </c>
      <c r="BZ158">
        <f>IF(BC158&lt;&gt;-999,BC158*$BY158, -999)</f>
        <v>27761755.731202997</v>
      </c>
      <c r="CA158">
        <f>IF(BD158&lt;&gt;-999,BD158*$BY158, -999)</f>
        <v>21281611.323143076</v>
      </c>
      <c r="CB158" s="25">
        <f>IF(BE158&lt;&gt;-999,BE158*$BY158, -999)</f>
        <v>49043367.054346077</v>
      </c>
      <c r="CC158">
        <f>-29.317-(0.1023*E158)+F158*(100-8.576-13.681)</f>
        <v>7.30195035516617</v>
      </c>
      <c r="CD158">
        <f>IF(BF158&lt;&gt;-999,BF158*$CC158, -999)</f>
        <v>16717629.270078825</v>
      </c>
      <c r="CE158">
        <f>IF(BG158&lt;&gt;-999,BG158*$CC158, -999)</f>
        <v>12815403.743804656</v>
      </c>
      <c r="CF158" s="25">
        <f>IF(BH158&lt;&gt;-999,BH158*$CC158, -999)</f>
        <v>29533033.013883483</v>
      </c>
      <c r="CG158">
        <f>-38.03-(0.1023*E158)+F158*(100-8.576-13.681)</f>
        <v>-1.4110496448338381</v>
      </c>
      <c r="CH158">
        <f>IF(BI158&lt;&gt;-999,BI158*$CG158, -999)</f>
        <v>-5082883.1455812911</v>
      </c>
      <c r="CI158">
        <f>IF(BJ158&lt;&gt;-999,BJ158*$CG158, -999)</f>
        <v>-3896437.6049376708</v>
      </c>
      <c r="CJ158" s="25">
        <f>IF(BK158&lt;&gt;-999,BK158*$CG158, -999)</f>
        <v>-8979320.7505189609</v>
      </c>
      <c r="CK158" s="26">
        <f t="shared" si="84"/>
        <v>200611773.92379731</v>
      </c>
      <c r="CL158">
        <f t="shared" si="85"/>
        <v>-18.597624528259836</v>
      </c>
      <c r="CM158">
        <f t="shared" si="86"/>
        <v>39.704395517182448</v>
      </c>
      <c r="CN158">
        <f t="shared" si="87"/>
        <v>-75.89255719916865</v>
      </c>
      <c r="CO158" s="22">
        <f t="shared" si="88"/>
        <v>-40.08</v>
      </c>
      <c r="CP158">
        <f>IF(AT158&lt;&gt;-999,AT158*$CO158, -999)</f>
        <v>-58337189.570916429</v>
      </c>
      <c r="CQ158">
        <f>IF(AU158&lt;&gt;-999,AU158*$CO158, -999)</f>
        <v>-44720131.705947824</v>
      </c>
      <c r="CR158" s="27">
        <f>IF(AV158&lt;&gt;-999,AV158*$CO158, -999)</f>
        <v>-103057321.27686426</v>
      </c>
      <c r="CS158">
        <f t="shared" si="89"/>
        <v>-42.853000000000002</v>
      </c>
      <c r="CT158">
        <f>IF(AW158&lt;&gt;-999,AW158*$CS158, -999)</f>
        <v>-58505843.851010799</v>
      </c>
      <c r="CU158">
        <f>IF(AX158&lt;&gt;-999,AX158*$CS158, -999)</f>
        <v>-44849419.658588074</v>
      </c>
      <c r="CV158" s="27">
        <f>IF(AY158&lt;&gt;-999,AY158*$CS158, -999)</f>
        <v>-103355263.50959887</v>
      </c>
      <c r="CW158">
        <f t="shared" si="90"/>
        <v>-48.780999999999999</v>
      </c>
      <c r="CX158">
        <f>IF(AZ158&lt;&gt;-999,AZ158*$CO158, -999)</f>
        <v>-86094961.567023292</v>
      </c>
      <c r="CY158">
        <f>IF(BA158&lt;&gt;-999,BA158*$CO158, -999)</f>
        <v>-65998690.742781453</v>
      </c>
      <c r="CZ158" s="27">
        <f>IF(BB158&lt;&gt;-999,BB158*$CO158, -999)</f>
        <v>-152093652.30980477</v>
      </c>
      <c r="DA158">
        <f t="shared" si="91"/>
        <v>-48.155000000000001</v>
      </c>
      <c r="DB158">
        <f>IF(BC158&lt;&gt;-999,BC158*$DA158, -999)</f>
        <v>-117537645.71592854</v>
      </c>
      <c r="DC158">
        <f>IF(BD158&lt;&gt;-999,BD158*$DA158, -999)</f>
        <v>-90102027.990694791</v>
      </c>
      <c r="DD158" s="27">
        <f>IF(BE158&lt;&gt;-999,BE158*$DA158, -999)</f>
        <v>-207639673.70662335</v>
      </c>
      <c r="DE158">
        <f t="shared" si="92"/>
        <v>-52.227000000000004</v>
      </c>
      <c r="DF158">
        <f>IF(BF158&lt;&gt;-999,BF158*$DE158, -999)</f>
        <v>-119572385.65319408</v>
      </c>
      <c r="DG158">
        <f>IF(BG158&lt;&gt;-999,BG158*$DE158, -999)</f>
        <v>-91661824.413000181</v>
      </c>
      <c r="DH158" s="27">
        <f>IF(BH158&lt;&gt;-999,BH158*$DE158, -999)</f>
        <v>-211234210.0661943</v>
      </c>
      <c r="DI158">
        <f t="shared" si="93"/>
        <v>-60.94</v>
      </c>
      <c r="DJ158">
        <f>IF(BI158&lt;&gt;-999,BI158*$DI158, -999)</f>
        <v>-219518072.96489513</v>
      </c>
      <c r="DK158">
        <f>IF(BJ158&lt;&gt;-999,BJ158*$DI158, -999)</f>
        <v>-168278209.42675838</v>
      </c>
      <c r="DL158" s="27">
        <f>IF(BK158&lt;&gt;-999,BK158*$DI158, -999)</f>
        <v>-387796282.39165354</v>
      </c>
      <c r="DM158" s="28">
        <f t="shared" si="94"/>
        <v>-1165176403.2607391</v>
      </c>
      <c r="DN158" s="22">
        <f t="shared" si="95"/>
        <v>-17.170000000000002</v>
      </c>
      <c r="DO158">
        <f>IF(AT158&lt;&gt;-999,AT158*$DN158, -999)</f>
        <v>-24991256.111093696</v>
      </c>
      <c r="DP158">
        <f>IF(AU158&lt;&gt;-999,AU158*$DN158, -999)</f>
        <v>-19157800.932912283</v>
      </c>
      <c r="DQ158" s="24">
        <f>IF(AV158&lt;&gt;-999,AV158*$DN158, -999)</f>
        <v>-44149057.044005975</v>
      </c>
      <c r="DR158">
        <f t="shared" si="96"/>
        <v>-19.943000000000001</v>
      </c>
      <c r="DS158">
        <f>IF(AW158&lt;&gt;-999,AW158*$DR158, -999)</f>
        <v>-27227546.354297444</v>
      </c>
      <c r="DT158">
        <f>IF(AX158&lt;&gt;-999,AX158*$DR158, -999)</f>
        <v>-20872097.081913095</v>
      </c>
      <c r="DU158" s="24">
        <f>IF(AY158&lt;&gt;-999,AY158*$DR158, -999)</f>
        <v>-48099643.436210535</v>
      </c>
      <c r="DV158">
        <f t="shared" si="97"/>
        <v>-25.870999999999999</v>
      </c>
      <c r="DW158">
        <f>IF(AZ158&lt;&gt;-999,AZ158*$DV158, -999)</f>
        <v>-55572922.92166815</v>
      </c>
      <c r="DX158">
        <f>IF(BA158&lt;&gt;-999,BA158*$DV158, -999)</f>
        <v>-42601101.003156163</v>
      </c>
      <c r="DY158" s="24">
        <f>IF(BB158&lt;&gt;-999,BB158*$DV158, -999)</f>
        <v>-98174023.924824312</v>
      </c>
      <c r="DZ158">
        <f t="shared" si="98"/>
        <v>-25.245000000000001</v>
      </c>
      <c r="EA158">
        <f>IF(BC158&lt;&gt;-999, BC158*$DZ158, -999)</f>
        <v>-61618479.204622902</v>
      </c>
      <c r="EB158">
        <f>IF(BD158&lt;&gt;-999, BD158*$DZ158, -999)</f>
        <v>-47235504.031255111</v>
      </c>
      <c r="EC158" s="24">
        <f>IF(BE158&lt;&gt;-999, BE158*$DZ158, -999)</f>
        <v>-108853983.23587804</v>
      </c>
      <c r="ED158">
        <f t="shared" si="99"/>
        <v>-29.317</v>
      </c>
      <c r="EE158">
        <f>IF(BF158&lt;&gt;-999,BF158*$ED158, -999)</f>
        <v>-67120524.445108682</v>
      </c>
      <c r="EF158">
        <f>IF(BG158&lt;&gt;-999,BG158*$ED158, -999)</f>
        <v>-51453265.673232742</v>
      </c>
      <c r="EG158" s="24">
        <f>IF(BH158&lt;&gt;-999,BH158*$ED158, -999)</f>
        <v>-118573790.11834142</v>
      </c>
      <c r="EH158">
        <f t="shared" si="100"/>
        <v>-38.03</v>
      </c>
      <c r="EI158">
        <f>IF(BI158&lt;&gt;-999,BI158*$EH158, -999)</f>
        <v>-136991669.09837484</v>
      </c>
      <c r="EJ158">
        <f>IF(BJ158&lt;&gt;-999,BJ158*$EH158, -999)</f>
        <v>-105015101.81325273</v>
      </c>
      <c r="EK158" s="24">
        <f>IF(BK158&lt;&gt;-999,BK158*$EH158, -999)</f>
        <v>-242006770.91162756</v>
      </c>
      <c r="EL158" s="28">
        <f t="shared" si="101"/>
        <v>-659857268.67088783</v>
      </c>
      <c r="EM158" s="22">
        <f>-17.17-(0.1023*G158)+H158*(100+102.093-66.644-64.243)</f>
        <v>34.018338098372652</v>
      </c>
      <c r="EN158">
        <f>IF(AT158&lt;&gt;-999,AT158*$EM158, -999)</f>
        <v>49514327.308689974</v>
      </c>
      <c r="EO158">
        <f>IF(AU158&lt;&gt;-999,AU158*$EM158, -999)</f>
        <v>37956700.603210777</v>
      </c>
      <c r="EP158" s="23">
        <f>IF(AV158&lt;&gt;-999,AV158*$EM158, -999)</f>
        <v>87471027.911900744</v>
      </c>
      <c r="EQ158">
        <f>-19.943-(0.1023*G158)+H158*(100+102.093-66.644-64.243)</f>
        <v>31.245338098372656</v>
      </c>
      <c r="ER158">
        <f>IF(AW158&lt;&gt;-999,AW158*$EQ158, -999)</f>
        <v>42658270.64278882</v>
      </c>
      <c r="ES158">
        <f>IF(AX158&lt;&gt;-999,AX158*$EQ158, -999)</f>
        <v>32700984.312612545</v>
      </c>
      <c r="ET158" s="23">
        <f>IF(AY158&lt;&gt;-999,AY158*$EQ158, -999)</f>
        <v>75359254.955401361</v>
      </c>
      <c r="EU158">
        <f>-25.871-(0.1023*G158)+H158*(100+102.093-66.644-64.243)</f>
        <v>25.317338098372659</v>
      </c>
      <c r="EV158">
        <f>IF(AZ158&lt;&gt;-999,AZ158*$EU158, -999)</f>
        <v>54383614.035896428</v>
      </c>
      <c r="EW158">
        <f>IF(BA158&lt;&gt;-999,BA158*$EU158, -999)</f>
        <v>41689400.388845704</v>
      </c>
      <c r="EX158" s="23">
        <f>IF(BB158&lt;&gt;-999,BB158*$EU158, -999)</f>
        <v>96073014.424742132</v>
      </c>
      <c r="EY158">
        <f>-25.245-(0.1023*G158)+H158*(100+102.093-66.644-64.243)</f>
        <v>25.943338098372656</v>
      </c>
      <c r="EZ158">
        <f>IF(BC158&lt;&gt;-999, BC158*$EY158, -999)</f>
        <v>63322996.20174595</v>
      </c>
      <c r="FA158">
        <f>IF(BD158&lt;&gt;-999, BD158*$EY158, -999)</f>
        <v>48542152.954244249</v>
      </c>
      <c r="FB158" s="23">
        <f>IF(BE158&lt;&gt;-999, BE158*$EY158, -999)</f>
        <v>111865149.15599021</v>
      </c>
      <c r="FC158">
        <f>-29.317-(0.1023*G158)+H158*(100+102.093-66.644-64.243)</f>
        <v>21.871338098372654</v>
      </c>
      <c r="FD158">
        <f>IF(BF158&lt;&gt;-999,BF158*$FC158, -999)</f>
        <v>50073871.251460187</v>
      </c>
      <c r="FE158">
        <f>IF(BG158&lt;&gt;-999,BG158*$FC158, -999)</f>
        <v>38385638.701254055</v>
      </c>
      <c r="FF158" s="23">
        <f>IF(BH158&lt;&gt;-999,BH158*$FC158, -999)</f>
        <v>88459509.952714249</v>
      </c>
      <c r="FG158">
        <f>-38.03-(0.1023*G158)+H158*(100+102.093-66.644-64.243)</f>
        <v>13.158338098372653</v>
      </c>
      <c r="FH158">
        <f>IF(BI158&lt;&gt;-999,BI158*$FG158, -999)</f>
        <v>47398966.569992252</v>
      </c>
      <c r="FI158">
        <f>IF(BJ158&lt;&gt;-999,BJ158*$FG158, -999)</f>
        <v>36335109.521267593</v>
      </c>
      <c r="FJ158" s="23">
        <f>IF(BK158&lt;&gt;-999,BK158*$FG158, -999)</f>
        <v>83734076.091259837</v>
      </c>
      <c r="FK158" s="28">
        <f t="shared" si="102"/>
        <v>542962032.49200857</v>
      </c>
      <c r="FL158" s="22">
        <f t="shared" si="104"/>
        <v>10.012280000000011</v>
      </c>
      <c r="FM158">
        <f>IF(AT158&lt;&gt;-999,AT158*$FL158, -999)</f>
        <v>14573060.788350694</v>
      </c>
      <c r="FN158">
        <f>IF(AU158&lt;&gt;-999,AU158*$FL158, -999)</f>
        <v>11171419.168583529</v>
      </c>
      <c r="FO158" s="29">
        <f>IF(AV158&lt;&gt;-999,AV158*$FL158, -999)</f>
        <v>25744479.956934225</v>
      </c>
      <c r="FP158">
        <f t="shared" si="105"/>
        <v>7.2392800000000115</v>
      </c>
      <c r="FQ158">
        <f>IF(AW158&lt;&gt;-999,AW158*$FP158, -999)</f>
        <v>9883559.7338283453</v>
      </c>
      <c r="FR158">
        <f>IF(AX158&lt;&gt;-999,AX158*$FP158, -999)</f>
        <v>7576540.8896932295</v>
      </c>
      <c r="FS158" s="29">
        <f>IF(AY158&lt;&gt;-999,AY158*$FP158, -999)</f>
        <v>17460100.623521574</v>
      </c>
      <c r="FT158">
        <f t="shared" si="106"/>
        <v>1.3112800000000142</v>
      </c>
      <c r="FU158">
        <f>IF(AZ158&lt;&gt;-999,AZ158*$FT158, -999)</f>
        <v>2816731.5669562756</v>
      </c>
      <c r="FV158">
        <f>IF(BA158&lt;&gt;-999,BA158*$FT158, -999)</f>
        <v>2159250.5787723404</v>
      </c>
      <c r="FW158" s="29">
        <f>IF(BB158&lt;&gt;-999,BB158*$FT158, -999)</f>
        <v>4975982.145728616</v>
      </c>
      <c r="FX158">
        <f t="shared" si="107"/>
        <v>1.9372800000000119</v>
      </c>
      <c r="FY158">
        <f>IF(BC158&lt;&gt;-999, BC158*$FX158, -999)</f>
        <v>4728550.1047150958</v>
      </c>
      <c r="FZ158">
        <f>IF(BD158&lt;&gt;-999, BD158*$FX158, -999)</f>
        <v>3624812.7252790835</v>
      </c>
      <c r="GA158" s="29">
        <f>IF(BE158&lt;&gt;-999, BE158*$FX158, -999)</f>
        <v>8353362.8299941802</v>
      </c>
      <c r="GB158">
        <f t="shared" si="108"/>
        <v>-2.1347199999999873</v>
      </c>
      <c r="GC158">
        <f>IF(BF158&lt;&gt;-999,BF158*$GB158, -999)</f>
        <v>-4887387.0431306595</v>
      </c>
      <c r="GD158">
        <f>IF(BG158&lt;&gt;-999,BG158*$GB158, -999)</f>
        <v>-3746574.1821456063</v>
      </c>
      <c r="GE158" s="29">
        <f>IF(BH158&lt;&gt;-999,BH158*$GB158, -999)</f>
        <v>-8633961.2252762653</v>
      </c>
      <c r="GF158">
        <f t="shared" si="109"/>
        <v>-10.847719999999988</v>
      </c>
      <c r="GG158">
        <f>IF(BI158&lt;&gt;-999,BI158*$GF158, -999)</f>
        <v>-39075657.867783882</v>
      </c>
      <c r="GH158">
        <f>IF(BJ158&lt;&gt;-999,BJ158*$GF158, -999)</f>
        <v>-29954625.828074064</v>
      </c>
      <c r="GI158" s="29">
        <f>IF(BK158&lt;&gt;-999,BK158*$GF158, -999)</f>
        <v>-69030283.695857942</v>
      </c>
      <c r="GJ158" s="30">
        <f t="shared" si="103"/>
        <v>-21130319.364955619</v>
      </c>
    </row>
    <row r="159" spans="1:192">
      <c r="A159" s="48" t="s">
        <v>142</v>
      </c>
      <c r="B159" s="48" t="s">
        <v>239</v>
      </c>
      <c r="C159" s="49">
        <v>102</v>
      </c>
      <c r="D159" s="50">
        <v>0.45600000000000002</v>
      </c>
      <c r="E159" s="49">
        <v>33.009730395526702</v>
      </c>
      <c r="F159" s="49">
        <v>0.79719207624716304</v>
      </c>
      <c r="G159" s="49">
        <v>103.733906156657</v>
      </c>
      <c r="H159" s="49">
        <v>0.81437138618941995</v>
      </c>
      <c r="I159" s="42">
        <v>43686.1</v>
      </c>
      <c r="J159" s="43">
        <v>-999</v>
      </c>
      <c r="K159" s="43">
        <f t="shared" si="78"/>
        <v>43686.1</v>
      </c>
      <c r="L159" s="43">
        <v>16400.400000000001</v>
      </c>
      <c r="M159" s="43">
        <v>-999</v>
      </c>
      <c r="N159" s="43">
        <f t="shared" si="79"/>
        <v>16400.400000000001</v>
      </c>
      <c r="O159" s="43">
        <v>68339.600000000006</v>
      </c>
      <c r="P159" s="43">
        <v>-999</v>
      </c>
      <c r="Q159" s="43">
        <f t="shared" si="80"/>
        <v>68339.600000000006</v>
      </c>
      <c r="R159" s="43">
        <v>43800.6</v>
      </c>
      <c r="S159" s="43">
        <v>-999</v>
      </c>
      <c r="T159" s="43">
        <f t="shared" si="81"/>
        <v>43800.6</v>
      </c>
      <c r="U159" s="43">
        <v>16443.400000000001</v>
      </c>
      <c r="V159" s="43">
        <v>-999</v>
      </c>
      <c r="W159" s="43">
        <f t="shared" si="82"/>
        <v>16443.400000000001</v>
      </c>
      <c r="X159" s="43">
        <v>68518.600000000006</v>
      </c>
      <c r="Y159" s="43">
        <v>-999</v>
      </c>
      <c r="Z159" s="43">
        <f t="shared" si="83"/>
        <v>68518.600000000006</v>
      </c>
      <c r="AA159" s="22">
        <v>439172.8</v>
      </c>
      <c r="AB159">
        <v>-999</v>
      </c>
      <c r="AC159">
        <v>439172.8</v>
      </c>
      <c r="AD159">
        <v>164871.70000000001</v>
      </c>
      <c r="AE159">
        <v>-999</v>
      </c>
      <c r="AF159">
        <v>164871.70000000001</v>
      </c>
      <c r="AG159">
        <v>687011.3</v>
      </c>
      <c r="AH159">
        <v>-999</v>
      </c>
      <c r="AI159">
        <v>687011.3</v>
      </c>
      <c r="AJ159">
        <v>440323.6</v>
      </c>
      <c r="AK159">
        <v>-999</v>
      </c>
      <c r="AL159">
        <v>440323.6</v>
      </c>
      <c r="AM159">
        <v>165303.70000000001</v>
      </c>
      <c r="AN159">
        <v>-999</v>
      </c>
      <c r="AO159">
        <v>165303.70000000001</v>
      </c>
      <c r="AP159">
        <v>688811.6</v>
      </c>
      <c r="AQ159">
        <v>-999</v>
      </c>
      <c r="AR159">
        <v>688811.6</v>
      </c>
      <c r="AS159">
        <v>2585494.69</v>
      </c>
      <c r="AT159" s="22">
        <f t="shared" si="111"/>
        <v>731084.14200227999</v>
      </c>
      <c r="AU159">
        <f t="shared" si="111"/>
        <v>-999</v>
      </c>
      <c r="AV159">
        <f t="shared" si="111"/>
        <v>731084.14200227999</v>
      </c>
      <c r="AW159">
        <f t="shared" si="111"/>
        <v>274459.35935685755</v>
      </c>
      <c r="AX159">
        <f t="shared" si="111"/>
        <v>-999</v>
      </c>
      <c r="AY159">
        <f t="shared" si="111"/>
        <v>274459.35935685755</v>
      </c>
      <c r="AZ159">
        <f t="shared" si="111"/>
        <v>1143657.0452595674</v>
      </c>
      <c r="BA159">
        <f t="shared" si="111"/>
        <v>-999</v>
      </c>
      <c r="BB159">
        <f t="shared" si="111"/>
        <v>1143657.0452595674</v>
      </c>
      <c r="BC159">
        <f t="shared" si="111"/>
        <v>732999.86089610995</v>
      </c>
      <c r="BD159">
        <f t="shared" si="110"/>
        <v>-999</v>
      </c>
      <c r="BE159">
        <f t="shared" si="110"/>
        <v>732999.86089610995</v>
      </c>
      <c r="BF159">
        <f t="shared" si="110"/>
        <v>275178.50305005751</v>
      </c>
      <c r="BG159">
        <f t="shared" si="110"/>
        <v>-999</v>
      </c>
      <c r="BH159">
        <f t="shared" si="110"/>
        <v>275178.50305005751</v>
      </c>
      <c r="BI159">
        <f t="shared" si="110"/>
        <v>1146653.9767199098</v>
      </c>
      <c r="BJ159">
        <f t="shared" si="110"/>
        <v>-999</v>
      </c>
      <c r="BK159">
        <f t="shared" si="110"/>
        <v>1146653.9767199098</v>
      </c>
      <c r="BL159">
        <f t="shared" si="110"/>
        <v>4304032.8706379374</v>
      </c>
      <c r="BM159" s="22">
        <f>-17.17-(0.1023*E159)+F159*(100-8.576-13.681)</f>
        <v>41.429208164220825</v>
      </c>
      <c r="BN159">
        <f>IF(AT159&lt;&gt;-999,AT159*$BM159, -999)</f>
        <v>30288237.104573235</v>
      </c>
      <c r="BO159">
        <f>IF(AU159&lt;&gt;-999,AU159*$BM159, -999)</f>
        <v>-999</v>
      </c>
      <c r="BP159" s="25">
        <f>IF(AV159&lt;&gt;-999,AV159*$BM159, -999)</f>
        <v>30288237.104573235</v>
      </c>
      <c r="BQ159">
        <f>-19.943-(0.1023*E159)+F159*(100-8.576-13.681)</f>
        <v>38.656208164220821</v>
      </c>
      <c r="BR159">
        <f>IF(AW159&lt;&gt;-999,AW159*$BQ159, -999)</f>
        <v>10609558.127917374</v>
      </c>
      <c r="BS159">
        <f>IF(AX159&lt;&gt;-999,AX159*$BQ159, -999)</f>
        <v>-999</v>
      </c>
      <c r="BT159" s="25">
        <f>IF(AY159&lt;&gt;-999,AY159*$BQ159, -999)</f>
        <v>10609558.127917374</v>
      </c>
      <c r="BU159">
        <f>-25.871-(0.1023*E159)+F159*(100-8.576-13.681)</f>
        <v>32.728208164220824</v>
      </c>
      <c r="BV159">
        <f>IF(AZ159&lt;&gt;-999,AZ159*$BU159, -999)</f>
        <v>37429845.845732838</v>
      </c>
      <c r="BW159">
        <f>IF(BA159&lt;&gt;-999,BA159*$BU159, -999)</f>
        <v>-999</v>
      </c>
      <c r="BX159" s="25">
        <f>IF(BB159&lt;&gt;-999,BB159*$BU159, -999)</f>
        <v>37429845.845732838</v>
      </c>
      <c r="BY159">
        <f>-25.245-(0.1023*E159)+F159*(100-8.576-13.681)</f>
        <v>33.354208164220822</v>
      </c>
      <c r="BZ159">
        <f>IF(BC159&lt;&gt;-999,BC159*$BY159, -999)</f>
        <v>24448629.944673758</v>
      </c>
      <c r="CA159">
        <f>IF(BD159&lt;&gt;-999,BD159*$BY159, -999)</f>
        <v>-999</v>
      </c>
      <c r="CB159" s="25">
        <f>IF(BE159&lt;&gt;-999,BE159*$BY159, -999)</f>
        <v>24448629.944673758</v>
      </c>
      <c r="CC159">
        <f>-29.317-(0.1023*E159)+F159*(100-8.576-13.681)</f>
        <v>29.282208164220826</v>
      </c>
      <c r="CD159">
        <f>IF(BF159&lt;&gt;-999,BF159*$CC159, -999)</f>
        <v>8057834.2086304594</v>
      </c>
      <c r="CE159">
        <f>IF(BG159&lt;&gt;-999,BG159*$CC159, -999)</f>
        <v>-999</v>
      </c>
      <c r="CF159" s="25">
        <f>IF(BH159&lt;&gt;-999,BH159*$CC159, -999)</f>
        <v>8057834.2086304594</v>
      </c>
      <c r="CG159">
        <f>-38.03-(0.1023*E159)+F159*(100-8.576-13.681)</f>
        <v>20.569208164220825</v>
      </c>
      <c r="CH159">
        <f>IF(BI159&lt;&gt;-999,BI159*$CG159, -999)</f>
        <v>23585764.339483444</v>
      </c>
      <c r="CI159">
        <f>IF(BJ159&lt;&gt;-999,BJ159*$CG159, -999)</f>
        <v>-999</v>
      </c>
      <c r="CJ159" s="25">
        <f>IF(BK159&lt;&gt;-999,BK159*$CG159, -999)</f>
        <v>23585764.339483444</v>
      </c>
      <c r="CK159" s="26">
        <f t="shared" si="84"/>
        <v>134419869.5710111</v>
      </c>
      <c r="CL159">
        <f t="shared" si="85"/>
        <v>-43.534051044361497</v>
      </c>
      <c r="CM159">
        <f t="shared" si="86"/>
        <v>13.472285764623729</v>
      </c>
      <c r="CN159">
        <f t="shared" si="87"/>
        <v>-99.555681628348268</v>
      </c>
      <c r="CO159" s="22">
        <f t="shared" si="88"/>
        <v>-40.08</v>
      </c>
      <c r="CP159">
        <f>IF(AT159&lt;&gt;-999,AT159*$CO159, -999)</f>
        <v>-29301852.411451381</v>
      </c>
      <c r="CQ159">
        <f>IF(AU159&lt;&gt;-999,AU159*$CO159, -999)</f>
        <v>-999</v>
      </c>
      <c r="CR159" s="27">
        <f>IF(AV159&lt;&gt;-999,AV159*$CO159, -999)</f>
        <v>-29301852.411451381</v>
      </c>
      <c r="CS159">
        <f t="shared" si="89"/>
        <v>-42.853000000000002</v>
      </c>
      <c r="CT159">
        <f>IF(AW159&lt;&gt;-999,AW159*$CS159, -999)</f>
        <v>-11761406.926519416</v>
      </c>
      <c r="CU159">
        <f>IF(AX159&lt;&gt;-999,AX159*$CS159, -999)</f>
        <v>-999</v>
      </c>
      <c r="CV159" s="27">
        <f>IF(AY159&lt;&gt;-999,AY159*$CS159, -999)</f>
        <v>-11761406.926519416</v>
      </c>
      <c r="CW159">
        <f t="shared" si="90"/>
        <v>-48.780999999999999</v>
      </c>
      <c r="CX159">
        <f>IF(AZ159&lt;&gt;-999,AZ159*$CO159, -999)</f>
        <v>-45837774.374003462</v>
      </c>
      <c r="CY159">
        <f>IF(BA159&lt;&gt;-999,BA159*$CO159, -999)</f>
        <v>-999</v>
      </c>
      <c r="CZ159" s="27">
        <f>IF(BB159&lt;&gt;-999,BB159*$CO159, -999)</f>
        <v>-45837774.374003462</v>
      </c>
      <c r="DA159">
        <f t="shared" si="91"/>
        <v>-48.155000000000001</v>
      </c>
      <c r="DB159">
        <f>IF(BC159&lt;&gt;-999,BC159*$DA159, -999)</f>
        <v>-35297608.301452175</v>
      </c>
      <c r="DC159">
        <f>IF(BD159&lt;&gt;-999,BD159*$DA159, -999)</f>
        <v>-999</v>
      </c>
      <c r="DD159" s="27">
        <f>IF(BE159&lt;&gt;-999,BE159*$DA159, -999)</f>
        <v>-35297608.301452175</v>
      </c>
      <c r="DE159">
        <f t="shared" si="92"/>
        <v>-52.227000000000004</v>
      </c>
      <c r="DF159">
        <f>IF(BF159&lt;&gt;-999,BF159*$DE159, -999)</f>
        <v>-14371747.678795354</v>
      </c>
      <c r="DG159">
        <f>IF(BG159&lt;&gt;-999,BG159*$DE159, -999)</f>
        <v>-999</v>
      </c>
      <c r="DH159" s="27">
        <f>IF(BH159&lt;&gt;-999,BH159*$DE159, -999)</f>
        <v>-14371747.678795354</v>
      </c>
      <c r="DI159">
        <f t="shared" si="93"/>
        <v>-60.94</v>
      </c>
      <c r="DJ159">
        <f>IF(BI159&lt;&gt;-999,BI159*$DI159, -999)</f>
        <v>-69877093.341311306</v>
      </c>
      <c r="DK159">
        <f>IF(BJ159&lt;&gt;-999,BJ159*$DI159, -999)</f>
        <v>-999</v>
      </c>
      <c r="DL159" s="27">
        <f>IF(BK159&lt;&gt;-999,BK159*$DI159, -999)</f>
        <v>-69877093.341311306</v>
      </c>
      <c r="DM159" s="28">
        <f t="shared" si="94"/>
        <v>-206447483.0335331</v>
      </c>
      <c r="DN159" s="22">
        <f t="shared" si="95"/>
        <v>-17.170000000000002</v>
      </c>
      <c r="DO159">
        <f>IF(AT159&lt;&gt;-999,AT159*$DN159, -999)</f>
        <v>-12552714.718179148</v>
      </c>
      <c r="DP159">
        <f>IF(AU159&lt;&gt;-999,AU159*$DN159, -999)</f>
        <v>-999</v>
      </c>
      <c r="DQ159" s="24">
        <f>IF(AV159&lt;&gt;-999,AV159*$DN159, -999)</f>
        <v>-12552714.718179148</v>
      </c>
      <c r="DR159">
        <f t="shared" si="96"/>
        <v>-19.943000000000001</v>
      </c>
      <c r="DS159">
        <f>IF(AW159&lt;&gt;-999,AW159*$DR159, -999)</f>
        <v>-5473543.0036538104</v>
      </c>
      <c r="DT159">
        <f>IF(AX159&lt;&gt;-999,AX159*$DR159, -999)</f>
        <v>-999</v>
      </c>
      <c r="DU159" s="24">
        <f>IF(AY159&lt;&gt;-999,AY159*$DR159, -999)</f>
        <v>-5473543.0036538104</v>
      </c>
      <c r="DV159">
        <f t="shared" si="97"/>
        <v>-25.870999999999999</v>
      </c>
      <c r="DW159">
        <f>IF(AZ159&lt;&gt;-999,AZ159*$DV159, -999)</f>
        <v>-29587551.417910267</v>
      </c>
      <c r="DX159">
        <f>IF(BA159&lt;&gt;-999,BA159*$DV159, -999)</f>
        <v>-999</v>
      </c>
      <c r="DY159" s="24">
        <f>IF(BB159&lt;&gt;-999,BB159*$DV159, -999)</f>
        <v>-29587551.417910267</v>
      </c>
      <c r="DZ159">
        <f t="shared" si="98"/>
        <v>-25.245000000000001</v>
      </c>
      <c r="EA159">
        <f>IF(BC159&lt;&gt;-999, BC159*$DZ159, -999)</f>
        <v>-18504581.488322295</v>
      </c>
      <c r="EB159">
        <f>IF(BD159&lt;&gt;-999, BD159*$DZ159, -999)</f>
        <v>-999</v>
      </c>
      <c r="EC159" s="24">
        <f>IF(BE159&lt;&gt;-999, BE159*$DZ159, -999)</f>
        <v>-18504581.488322295</v>
      </c>
      <c r="ED159">
        <f t="shared" si="99"/>
        <v>-29.317</v>
      </c>
      <c r="EE159">
        <f>IF(BF159&lt;&gt;-999,BF159*$ED159, -999)</f>
        <v>-8067408.1739185359</v>
      </c>
      <c r="EF159">
        <f>IF(BG159&lt;&gt;-999,BG159*$ED159, -999)</f>
        <v>-999</v>
      </c>
      <c r="EG159" s="24">
        <f>IF(BH159&lt;&gt;-999,BH159*$ED159, -999)</f>
        <v>-8067408.1739185359</v>
      </c>
      <c r="EH159">
        <f t="shared" si="100"/>
        <v>-38.03</v>
      </c>
      <c r="EI159">
        <f>IF(BI159&lt;&gt;-999,BI159*$EH159, -999)</f>
        <v>-43607250.734658174</v>
      </c>
      <c r="EJ159">
        <f>IF(BJ159&lt;&gt;-999,BJ159*$EH159, -999)</f>
        <v>-999</v>
      </c>
      <c r="EK159" s="24">
        <f>IF(BK159&lt;&gt;-999,BK159*$EH159, -999)</f>
        <v>-43607250.734658174</v>
      </c>
      <c r="EL159" s="28">
        <f t="shared" si="101"/>
        <v>-117793049.53664222</v>
      </c>
      <c r="EM159" s="22">
        <f>-17.17-(0.1023*G159)+H159*(100+102.093-66.644-64.243)</f>
        <v>30.206150325177838</v>
      </c>
      <c r="EN159">
        <f>IF(AT159&lt;&gt;-999,AT159*$EM159, -999)</f>
        <v>22083237.493674532</v>
      </c>
      <c r="EO159">
        <f>IF(AU159&lt;&gt;-999,AU159*$EM159, -999)</f>
        <v>-999</v>
      </c>
      <c r="EP159" s="23">
        <f>IF(AV159&lt;&gt;-999,AV159*$EM159, -999)</f>
        <v>22083237.493674532</v>
      </c>
      <c r="EQ159">
        <f>-19.943-(0.1023*G159)+H159*(100+102.093-66.644-64.243)</f>
        <v>27.433150325177834</v>
      </c>
      <c r="ER159">
        <f>IF(AW159&lt;&gt;-999,AW159*$EQ159, -999)</f>
        <v>7529284.8633886771</v>
      </c>
      <c r="ES159">
        <f>IF(AX159&lt;&gt;-999,AX159*$EQ159, -999)</f>
        <v>-999</v>
      </c>
      <c r="ET159" s="23">
        <f>IF(AY159&lt;&gt;-999,AY159*$EQ159, -999)</f>
        <v>7529284.8633886771</v>
      </c>
      <c r="EU159">
        <f>-25.871-(0.1023*G159)+H159*(100+102.093-66.644-64.243)</f>
        <v>21.505150325177837</v>
      </c>
      <c r="EV159">
        <f>IF(AZ159&lt;&gt;-999,AZ159*$EU159, -999)</f>
        <v>24594516.678755712</v>
      </c>
      <c r="EW159">
        <f>IF(BA159&lt;&gt;-999,BA159*$EU159, -999)</f>
        <v>-999</v>
      </c>
      <c r="EX159" s="23">
        <f>IF(BB159&lt;&gt;-999,BB159*$EU159, -999)</f>
        <v>24594516.678755712</v>
      </c>
      <c r="EY159">
        <f>-25.245-(0.1023*G159)+H159*(100+102.093-66.644-64.243)</f>
        <v>22.131150325177835</v>
      </c>
      <c r="EZ159">
        <f>IF(BC159&lt;&gt;-999, BC159*$EY159, -999)</f>
        <v>16222130.109826252</v>
      </c>
      <c r="FA159">
        <f>IF(BD159&lt;&gt;-999, BD159*$EY159, -999)</f>
        <v>-999</v>
      </c>
      <c r="FB159" s="23">
        <f>IF(BE159&lt;&gt;-999, BE159*$EY159, -999)</f>
        <v>16222130.109826252</v>
      </c>
      <c r="FC159">
        <f>-29.317-(0.1023*G159)+H159*(100+102.093-66.644-64.243)</f>
        <v>18.059150325177839</v>
      </c>
      <c r="FD159">
        <f>IF(BF159&lt;&gt;-999,BF159*$FC159, -999)</f>
        <v>4969489.9528383967</v>
      </c>
      <c r="FE159">
        <f>IF(BG159&lt;&gt;-999,BG159*$FC159, -999)</f>
        <v>-999</v>
      </c>
      <c r="FF159" s="23">
        <f>IF(BH159&lt;&gt;-999,BH159*$FC159, -999)</f>
        <v>4969489.9528383967</v>
      </c>
      <c r="FG159">
        <f>-38.03-(0.1023*G159)+H159*(100+102.093-66.644-64.243)</f>
        <v>9.3461503251778382</v>
      </c>
      <c r="FH159">
        <f>IF(BI159&lt;&gt;-999,BI159*$FG159, -999)</f>
        <v>10716800.437387247</v>
      </c>
      <c r="FI159">
        <f>IF(BJ159&lt;&gt;-999,BJ159*$FG159, -999)</f>
        <v>-999</v>
      </c>
      <c r="FJ159" s="23">
        <f>IF(BK159&lt;&gt;-999,BK159*$FG159, -999)</f>
        <v>10716800.437387247</v>
      </c>
      <c r="FK159" s="28">
        <f t="shared" si="102"/>
        <v>86115459.535870805</v>
      </c>
      <c r="FL159" s="22">
        <f t="shared" si="104"/>
        <v>10.012280000000011</v>
      </c>
      <c r="FM159">
        <f>IF(AT159&lt;&gt;-999,AT159*$FL159, -999)</f>
        <v>7319819.1332865963</v>
      </c>
      <c r="FN159">
        <f>IF(AU159&lt;&gt;-999,AU159*$FL159, -999)</f>
        <v>-999</v>
      </c>
      <c r="FO159" s="29">
        <f>IF(AV159&lt;&gt;-999,AV159*$FL159, -999)</f>
        <v>7319819.1332865963</v>
      </c>
      <c r="FP159">
        <f t="shared" si="105"/>
        <v>7.2392800000000115</v>
      </c>
      <c r="FQ159">
        <f>IF(AW159&lt;&gt;-999,AW159*$FP159, -999)</f>
        <v>1986888.1510049149</v>
      </c>
      <c r="FR159">
        <f>IF(AX159&lt;&gt;-999,AX159*$FP159, -999)</f>
        <v>-999</v>
      </c>
      <c r="FS159" s="29">
        <f>IF(AY159&lt;&gt;-999,AY159*$FP159, -999)</f>
        <v>1986888.1510049149</v>
      </c>
      <c r="FT159">
        <f t="shared" si="106"/>
        <v>1.3112800000000142</v>
      </c>
      <c r="FU159">
        <f>IF(AZ159&lt;&gt;-999,AZ159*$FT159, -999)</f>
        <v>1499654.610307982</v>
      </c>
      <c r="FV159">
        <f>IF(BA159&lt;&gt;-999,BA159*$FT159, -999)</f>
        <v>-999</v>
      </c>
      <c r="FW159" s="29">
        <f>IF(BB159&lt;&gt;-999,BB159*$FT159, -999)</f>
        <v>1499654.610307982</v>
      </c>
      <c r="FX159">
        <f t="shared" si="107"/>
        <v>1.9372800000000119</v>
      </c>
      <c r="FY159">
        <f>IF(BC159&lt;&gt;-999, BC159*$FX159, -999)</f>
        <v>1420025.9705168246</v>
      </c>
      <c r="FZ159">
        <f>IF(BD159&lt;&gt;-999, BD159*$FX159, -999)</f>
        <v>-999</v>
      </c>
      <c r="GA159" s="29">
        <f>IF(BE159&lt;&gt;-999, BE159*$FX159, -999)</f>
        <v>1420025.9705168246</v>
      </c>
      <c r="GB159">
        <f t="shared" si="108"/>
        <v>-2.1347199999999873</v>
      </c>
      <c r="GC159">
        <f>IF(BF159&lt;&gt;-999,BF159*$GB159, -999)</f>
        <v>-587429.05403101526</v>
      </c>
      <c r="GD159">
        <f>IF(BG159&lt;&gt;-999,BG159*$GB159, -999)</f>
        <v>-999</v>
      </c>
      <c r="GE159" s="29">
        <f>IF(BH159&lt;&gt;-999,BH159*$GB159, -999)</f>
        <v>-587429.05403101526</v>
      </c>
      <c r="GF159">
        <f t="shared" si="109"/>
        <v>-10.847719999999988</v>
      </c>
      <c r="GG159">
        <f>IF(BI159&lt;&gt;-999,BI159*$GF159, -999)</f>
        <v>-12438581.276344087</v>
      </c>
      <c r="GH159">
        <f>IF(BJ159&lt;&gt;-999,BJ159*$GF159, -999)</f>
        <v>-999</v>
      </c>
      <c r="GI159" s="29">
        <f>IF(BK159&lt;&gt;-999,BK159*$GF159, -999)</f>
        <v>-12438581.276344087</v>
      </c>
      <c r="GJ159" s="30">
        <f t="shared" si="103"/>
        <v>-799622.46525878273</v>
      </c>
    </row>
    <row r="160" spans="1:192">
      <c r="A160" s="48" t="s">
        <v>161</v>
      </c>
      <c r="B160" s="48" t="s">
        <v>289</v>
      </c>
      <c r="C160" s="49">
        <v>60</v>
      </c>
      <c r="D160" s="50">
        <v>0.44500000000000001</v>
      </c>
      <c r="E160" s="49">
        <v>73.918069521155104</v>
      </c>
      <c r="F160" s="49">
        <v>0.79329459812055503</v>
      </c>
      <c r="G160" s="49">
        <v>295.772953809679</v>
      </c>
      <c r="H160" s="49">
        <v>0.80192225219573898</v>
      </c>
      <c r="I160" s="42">
        <v>48848.3</v>
      </c>
      <c r="J160" s="43">
        <v>-999</v>
      </c>
      <c r="K160" s="43">
        <f t="shared" si="78"/>
        <v>48848.3</v>
      </c>
      <c r="L160" s="43">
        <v>16139</v>
      </c>
      <c r="M160" s="43">
        <v>-999</v>
      </c>
      <c r="N160" s="43">
        <f t="shared" si="79"/>
        <v>16139</v>
      </c>
      <c r="O160" s="43">
        <v>54727.4</v>
      </c>
      <c r="P160" s="43">
        <v>-999</v>
      </c>
      <c r="Q160" s="43">
        <f t="shared" si="80"/>
        <v>54727.4</v>
      </c>
      <c r="R160" s="43">
        <v>66460</v>
      </c>
      <c r="S160" s="43">
        <v>-999</v>
      </c>
      <c r="T160" s="43">
        <f t="shared" si="81"/>
        <v>66460</v>
      </c>
      <c r="U160" s="43">
        <v>21957.8</v>
      </c>
      <c r="V160" s="43">
        <v>-999</v>
      </c>
      <c r="W160" s="43">
        <f t="shared" si="82"/>
        <v>21957.8</v>
      </c>
      <c r="X160" s="43">
        <v>74458.7</v>
      </c>
      <c r="Y160" s="43">
        <v>-999</v>
      </c>
      <c r="Z160" s="43">
        <f t="shared" si="83"/>
        <v>74458.7</v>
      </c>
      <c r="AA160" s="22">
        <v>616998.69999999995</v>
      </c>
      <c r="AB160">
        <v>-999</v>
      </c>
      <c r="AC160">
        <v>616998.69999999995</v>
      </c>
      <c r="AD160">
        <v>203850.7</v>
      </c>
      <c r="AE160">
        <v>-999</v>
      </c>
      <c r="AF160">
        <v>203850.7</v>
      </c>
      <c r="AG160">
        <v>691256.8</v>
      </c>
      <c r="AH160">
        <v>-999</v>
      </c>
      <c r="AI160">
        <v>691256.8</v>
      </c>
      <c r="AJ160">
        <v>839450</v>
      </c>
      <c r="AK160">
        <v>-999</v>
      </c>
      <c r="AL160">
        <v>839450</v>
      </c>
      <c r="AM160">
        <v>277346.59999999998</v>
      </c>
      <c r="AN160">
        <v>-999</v>
      </c>
      <c r="AO160">
        <v>277346.59999999998</v>
      </c>
      <c r="AP160">
        <v>940481</v>
      </c>
      <c r="AQ160">
        <v>-999</v>
      </c>
      <c r="AR160">
        <v>940481</v>
      </c>
      <c r="AS160">
        <v>3569383.82</v>
      </c>
      <c r="AT160" s="22">
        <f t="shared" si="111"/>
        <v>1027108.1569851824</v>
      </c>
      <c r="AU160">
        <f t="shared" si="111"/>
        <v>-999</v>
      </c>
      <c r="AV160">
        <f t="shared" si="111"/>
        <v>1027108.1569851824</v>
      </c>
      <c r="AW160">
        <f t="shared" si="111"/>
        <v>339347.09550788254</v>
      </c>
      <c r="AX160">
        <f t="shared" si="111"/>
        <v>-999</v>
      </c>
      <c r="AY160">
        <f t="shared" si="111"/>
        <v>339347.09550788254</v>
      </c>
      <c r="AZ160">
        <f t="shared" si="111"/>
        <v>1150724.4631981801</v>
      </c>
      <c r="BA160">
        <f t="shared" si="111"/>
        <v>-999</v>
      </c>
      <c r="BB160">
        <f t="shared" si="111"/>
        <v>1150724.4631981801</v>
      </c>
      <c r="BC160">
        <f t="shared" si="111"/>
        <v>1397419.3825387501</v>
      </c>
      <c r="BD160">
        <f t="shared" si="110"/>
        <v>-999</v>
      </c>
      <c r="BE160">
        <f t="shared" si="110"/>
        <v>1397419.3825387501</v>
      </c>
      <c r="BF160">
        <f t="shared" si="110"/>
        <v>461694.57921403495</v>
      </c>
      <c r="BG160">
        <f t="shared" si="110"/>
        <v>-999</v>
      </c>
      <c r="BH160">
        <f t="shared" si="110"/>
        <v>461694.57921403495</v>
      </c>
      <c r="BI160">
        <f t="shared" si="110"/>
        <v>1565604.1197324751</v>
      </c>
      <c r="BJ160">
        <f t="shared" si="110"/>
        <v>-999</v>
      </c>
      <c r="BK160">
        <f t="shared" si="110"/>
        <v>1565604.1197324751</v>
      </c>
      <c r="BL160">
        <f t="shared" si="110"/>
        <v>5941897.8304701941</v>
      </c>
      <c r="BM160" s="22">
        <f>-17.17-(0.1023*E160)+F160*(100-8.576-13.681)</f>
        <v>36.941283429672154</v>
      </c>
      <c r="BN160">
        <f>IF(AT160&lt;&gt;-999,AT160*$BM160, -999)</f>
        <v>37942693.540117823</v>
      </c>
      <c r="BO160">
        <f>IF(AU160&lt;&gt;-999,AU160*$BM160, -999)</f>
        <v>-999</v>
      </c>
      <c r="BP160" s="25">
        <f>IF(AV160&lt;&gt;-999,AV160*$BM160, -999)</f>
        <v>37942693.540117823</v>
      </c>
      <c r="BQ160">
        <f>-19.943-(0.1023*E160)+F160*(100-8.576-13.681)</f>
        <v>34.168283429672151</v>
      </c>
      <c r="BR160">
        <f>IF(AW160&lt;&gt;-999,AW160*$BQ160, -999)</f>
        <v>11594907.740349356</v>
      </c>
      <c r="BS160">
        <f>IF(AX160&lt;&gt;-999,AX160*$BQ160, -999)</f>
        <v>-999</v>
      </c>
      <c r="BT160" s="25">
        <f>IF(AY160&lt;&gt;-999,AY160*$BQ160, -999)</f>
        <v>11594907.740349356</v>
      </c>
      <c r="BU160">
        <f>-25.871-(0.1023*E160)+F160*(100-8.576-13.681)</f>
        <v>28.240283429672154</v>
      </c>
      <c r="BV160">
        <f>IF(AZ160&lt;&gt;-999,AZ160*$BU160, -999)</f>
        <v>32496784.990173947</v>
      </c>
      <c r="BW160">
        <f>IF(BA160&lt;&gt;-999,BA160*$BU160, -999)</f>
        <v>-999</v>
      </c>
      <c r="BX160" s="25">
        <f>IF(BB160&lt;&gt;-999,BB160*$BU160, -999)</f>
        <v>32496784.990173947</v>
      </c>
      <c r="BY160">
        <f>-25.245-(0.1023*E160)+F160*(100-8.576-13.681)</f>
        <v>28.866283429672151</v>
      </c>
      <c r="BZ160">
        <f>IF(BC160&lt;&gt;-999,BC160*$BY160, -999)</f>
        <v>40338303.966481008</v>
      </c>
      <c r="CA160">
        <f>IF(BD160&lt;&gt;-999,BD160*$BY160, -999)</f>
        <v>-999</v>
      </c>
      <c r="CB160" s="25">
        <f>IF(BE160&lt;&gt;-999,BE160*$BY160, -999)</f>
        <v>40338303.966481008</v>
      </c>
      <c r="CC160">
        <f>-29.317-(0.1023*E160)+F160*(100-8.576-13.681)</f>
        <v>24.794283429672149</v>
      </c>
      <c r="CD160">
        <f>IF(BF160&lt;&gt;-999,BF160*$CC160, -999)</f>
        <v>11447386.254976002</v>
      </c>
      <c r="CE160">
        <f>IF(BG160&lt;&gt;-999,BG160*$CC160, -999)</f>
        <v>-999</v>
      </c>
      <c r="CF160" s="25">
        <f>IF(BH160&lt;&gt;-999,BH160*$CC160, -999)</f>
        <v>11447386.254976002</v>
      </c>
      <c r="CG160">
        <f>-38.03-(0.1023*E160)+F160*(100-8.576-13.681)</f>
        <v>16.081283429672148</v>
      </c>
      <c r="CH160">
        <f>IF(BI160&lt;&gt;-999,BI160*$CG160, -999)</f>
        <v>25176923.588080302</v>
      </c>
      <c r="CI160">
        <f>IF(BJ160&lt;&gt;-999,BJ160*$CG160, -999)</f>
        <v>-999</v>
      </c>
      <c r="CJ160" s="25">
        <f>IF(BK160&lt;&gt;-999,BK160*$CG160, -999)</f>
        <v>25176923.588080302</v>
      </c>
      <c r="CK160" s="26">
        <f t="shared" si="84"/>
        <v>158997000.08017844</v>
      </c>
      <c r="CL160">
        <f t="shared" si="85"/>
        <v>-38.581913566699214</v>
      </c>
      <c r="CM160">
        <f t="shared" si="86"/>
        <v>18.704496939141439</v>
      </c>
      <c r="CN160">
        <f t="shared" si="87"/>
        <v>-94.878779958840099</v>
      </c>
      <c r="CO160" s="22">
        <f t="shared" si="88"/>
        <v>-40.08</v>
      </c>
      <c r="CP160">
        <f>IF(AT160&lt;&gt;-999,AT160*$CO160, -999)</f>
        <v>-41166494.931966111</v>
      </c>
      <c r="CQ160">
        <f>IF(AU160&lt;&gt;-999,AU160*$CO160, -999)</f>
        <v>-999</v>
      </c>
      <c r="CR160" s="27">
        <f>IF(AV160&lt;&gt;-999,AV160*$CO160, -999)</f>
        <v>-41166494.931966111</v>
      </c>
      <c r="CS160">
        <f t="shared" si="89"/>
        <v>-42.853000000000002</v>
      </c>
      <c r="CT160">
        <f>IF(AW160&lt;&gt;-999,AW160*$CS160, -999)</f>
        <v>-14542041.083799291</v>
      </c>
      <c r="CU160">
        <f>IF(AX160&lt;&gt;-999,AX160*$CS160, -999)</f>
        <v>-999</v>
      </c>
      <c r="CV160" s="27">
        <f>IF(AY160&lt;&gt;-999,AY160*$CS160, -999)</f>
        <v>-14542041.083799291</v>
      </c>
      <c r="CW160">
        <f t="shared" si="90"/>
        <v>-48.780999999999999</v>
      </c>
      <c r="CX160">
        <f>IF(AZ160&lt;&gt;-999,AZ160*$CO160, -999)</f>
        <v>-46121036.484983057</v>
      </c>
      <c r="CY160">
        <f>IF(BA160&lt;&gt;-999,BA160*$CO160, -999)</f>
        <v>-999</v>
      </c>
      <c r="CZ160" s="27">
        <f>IF(BB160&lt;&gt;-999,BB160*$CO160, -999)</f>
        <v>-46121036.484983057</v>
      </c>
      <c r="DA160">
        <f t="shared" si="91"/>
        <v>-48.155000000000001</v>
      </c>
      <c r="DB160">
        <f>IF(BC160&lt;&gt;-999,BC160*$DA160, -999)</f>
        <v>-67292730.366153508</v>
      </c>
      <c r="DC160">
        <f>IF(BD160&lt;&gt;-999,BD160*$DA160, -999)</f>
        <v>-999</v>
      </c>
      <c r="DD160" s="27">
        <f>IF(BE160&lt;&gt;-999,BE160*$DA160, -999)</f>
        <v>-67292730.366153508</v>
      </c>
      <c r="DE160">
        <f t="shared" si="92"/>
        <v>-52.227000000000004</v>
      </c>
      <c r="DF160">
        <f>IF(BF160&lt;&gt;-999,BF160*$DE160, -999)</f>
        <v>-24112922.788611405</v>
      </c>
      <c r="DG160">
        <f>IF(BG160&lt;&gt;-999,BG160*$DE160, -999)</f>
        <v>-999</v>
      </c>
      <c r="DH160" s="27">
        <f>IF(BH160&lt;&gt;-999,BH160*$DE160, -999)</f>
        <v>-24112922.788611405</v>
      </c>
      <c r="DI160">
        <f t="shared" si="93"/>
        <v>-60.94</v>
      </c>
      <c r="DJ160">
        <f>IF(BI160&lt;&gt;-999,BI160*$DI160, -999)</f>
        <v>-95407915.056497037</v>
      </c>
      <c r="DK160">
        <f>IF(BJ160&lt;&gt;-999,BJ160*$DI160, -999)</f>
        <v>-999</v>
      </c>
      <c r="DL160" s="27">
        <f>IF(BK160&lt;&gt;-999,BK160*$DI160, -999)</f>
        <v>-95407915.056497037</v>
      </c>
      <c r="DM160" s="28">
        <f t="shared" si="94"/>
        <v>-288643140.71201038</v>
      </c>
      <c r="DN160" s="22">
        <f t="shared" si="95"/>
        <v>-17.170000000000002</v>
      </c>
      <c r="DO160">
        <f>IF(AT160&lt;&gt;-999,AT160*$DN160, -999)</f>
        <v>-17635447.055435583</v>
      </c>
      <c r="DP160">
        <f>IF(AU160&lt;&gt;-999,AU160*$DN160, -999)</f>
        <v>-999</v>
      </c>
      <c r="DQ160" s="24">
        <f>IF(AV160&lt;&gt;-999,AV160*$DN160, -999)</f>
        <v>-17635447.055435583</v>
      </c>
      <c r="DR160">
        <f t="shared" si="96"/>
        <v>-19.943000000000001</v>
      </c>
      <c r="DS160">
        <f>IF(AW160&lt;&gt;-999,AW160*$DR160, -999)</f>
        <v>-6767599.1257137023</v>
      </c>
      <c r="DT160">
        <f>IF(AX160&lt;&gt;-999,AX160*$DR160, -999)</f>
        <v>-999</v>
      </c>
      <c r="DU160" s="24">
        <f>IF(AY160&lt;&gt;-999,AY160*$DR160, -999)</f>
        <v>-6767599.1257137023</v>
      </c>
      <c r="DV160">
        <f t="shared" si="97"/>
        <v>-25.870999999999999</v>
      </c>
      <c r="DW160">
        <f>IF(AZ160&lt;&gt;-999,AZ160*$DV160, -999)</f>
        <v>-29770392.587400116</v>
      </c>
      <c r="DX160">
        <f>IF(BA160&lt;&gt;-999,BA160*$DV160, -999)</f>
        <v>-999</v>
      </c>
      <c r="DY160" s="24">
        <f>IF(BB160&lt;&gt;-999,BB160*$DV160, -999)</f>
        <v>-29770392.587400116</v>
      </c>
      <c r="DZ160">
        <f t="shared" si="98"/>
        <v>-25.245000000000001</v>
      </c>
      <c r="EA160">
        <f>IF(BC160&lt;&gt;-999, BC160*$DZ160, -999)</f>
        <v>-35277852.312190749</v>
      </c>
      <c r="EB160">
        <f>IF(BD160&lt;&gt;-999, BD160*$DZ160, -999)</f>
        <v>-999</v>
      </c>
      <c r="EC160" s="24">
        <f>IF(BE160&lt;&gt;-999, BE160*$DZ160, -999)</f>
        <v>-35277852.312190749</v>
      </c>
      <c r="ED160">
        <f t="shared" si="99"/>
        <v>-29.317</v>
      </c>
      <c r="EE160">
        <f>IF(BF160&lt;&gt;-999,BF160*$ED160, -999)</f>
        <v>-13535499.978817863</v>
      </c>
      <c r="EF160">
        <f>IF(BG160&lt;&gt;-999,BG160*$ED160, -999)</f>
        <v>-999</v>
      </c>
      <c r="EG160" s="24">
        <f>IF(BH160&lt;&gt;-999,BH160*$ED160, -999)</f>
        <v>-13535499.978817863</v>
      </c>
      <c r="EH160">
        <f t="shared" si="100"/>
        <v>-38.03</v>
      </c>
      <c r="EI160">
        <f>IF(BI160&lt;&gt;-999,BI160*$EH160, -999)</f>
        <v>-59539924.673426032</v>
      </c>
      <c r="EJ160">
        <f>IF(BJ160&lt;&gt;-999,BJ160*$EH160, -999)</f>
        <v>-999</v>
      </c>
      <c r="EK160" s="24">
        <f>IF(BK160&lt;&gt;-999,BK160*$EH160, -999)</f>
        <v>-59539924.673426032</v>
      </c>
      <c r="EL160" s="28">
        <f t="shared" si="101"/>
        <v>-162526715.73298407</v>
      </c>
      <c r="EM160" s="22">
        <f>-17.17-(0.1023*G160)+H160*(100+102.093-66.644-64.243)</f>
        <v>9.6741027151196377</v>
      </c>
      <c r="EN160">
        <f>IF(AT160&lt;&gt;-999,AT160*$EM160, -999)</f>
        <v>9936349.8102118801</v>
      </c>
      <c r="EO160">
        <f>IF(AU160&lt;&gt;-999,AU160*$EM160, -999)</f>
        <v>-999</v>
      </c>
      <c r="EP160" s="23">
        <f>IF(AV160&lt;&gt;-999,AV160*$EM160, -999)</f>
        <v>9936349.8102118801</v>
      </c>
      <c r="EQ160">
        <f>-19.943-(0.1023*G160)+H160*(100+102.093-66.644-64.243)</f>
        <v>6.9011027151196345</v>
      </c>
      <c r="ER160">
        <f>IF(AW160&lt;&gt;-999,AW160*$EQ160, -999)</f>
        <v>2341869.16217741</v>
      </c>
      <c r="ES160">
        <f>IF(AX160&lt;&gt;-999,AX160*$EQ160, -999)</f>
        <v>-999</v>
      </c>
      <c r="ET160" s="23">
        <f>IF(AY160&lt;&gt;-999,AY160*$EQ160, -999)</f>
        <v>2341869.16217741</v>
      </c>
      <c r="EU160">
        <f>-25.871-(0.1023*G160)+H160*(100+102.093-66.644-64.243)</f>
        <v>0.9731027151196372</v>
      </c>
      <c r="EV160">
        <f>IF(AZ160&lt;&gt;-999,AZ160*$EU160, -999)</f>
        <v>1119773.0994927362</v>
      </c>
      <c r="EW160">
        <f>IF(BA160&lt;&gt;-999,BA160*$EU160, -999)</f>
        <v>-999</v>
      </c>
      <c r="EX160" s="23">
        <f>IF(BB160&lt;&gt;-999,BB160*$EU160, -999)</f>
        <v>1119773.0994927362</v>
      </c>
      <c r="EY160">
        <f>-25.245-(0.1023*G160)+H160*(100+102.093-66.644-64.243)</f>
        <v>1.599102715119642</v>
      </c>
      <c r="EZ160">
        <f>IF(BC160&lt;&gt;-999, BC160*$EY160, -999)</f>
        <v>2234617.1287785289</v>
      </c>
      <c r="FA160">
        <f>IF(BD160&lt;&gt;-999, BD160*$EY160, -999)</f>
        <v>-999</v>
      </c>
      <c r="FB160" s="23">
        <f>IF(BE160&lt;&gt;-999, BE160*$EY160, -999)</f>
        <v>2234617.1287785289</v>
      </c>
      <c r="FC160">
        <f>-29.317-(0.1023*G160)+H160*(100+102.093-66.644-64.243)</f>
        <v>-2.4728972848803608</v>
      </c>
      <c r="FD160">
        <f>IF(BF160&lt;&gt;-999,BF160*$FC160, -999)</f>
        <v>-1141723.2713823677</v>
      </c>
      <c r="FE160">
        <f>IF(BG160&lt;&gt;-999,BG160*$FC160, -999)</f>
        <v>-999</v>
      </c>
      <c r="FF160" s="23">
        <f>IF(BH160&lt;&gt;-999,BH160*$FC160, -999)</f>
        <v>-1141723.2713823677</v>
      </c>
      <c r="FG160">
        <f>-38.03-(0.1023*G160)+H160*(100+102.093-66.644-64.243)</f>
        <v>-11.185897284880369</v>
      </c>
      <c r="FH160">
        <f>IF(BI160&lt;&gt;-999,BI160*$FG160, -999)</f>
        <v>-17512686.872113012</v>
      </c>
      <c r="FI160">
        <f>IF(BJ160&lt;&gt;-999,BJ160*$FG160, -999)</f>
        <v>-999</v>
      </c>
      <c r="FJ160" s="23">
        <f>IF(BK160&lt;&gt;-999,BK160*$FG160, -999)</f>
        <v>-17512686.872113012</v>
      </c>
      <c r="FK160" s="28">
        <f t="shared" si="102"/>
        <v>-3021800.9428348243</v>
      </c>
      <c r="FL160" s="22">
        <f t="shared" si="104"/>
        <v>10.012280000000011</v>
      </c>
      <c r="FM160">
        <f>IF(AT160&lt;&gt;-999,AT160*$FL160, -999)</f>
        <v>10283694.458019614</v>
      </c>
      <c r="FN160">
        <f>IF(AU160&lt;&gt;-999,AU160*$FL160, -999)</f>
        <v>-999</v>
      </c>
      <c r="FO160" s="29">
        <f>IF(AV160&lt;&gt;-999,AV160*$FL160, -999)</f>
        <v>10283694.458019614</v>
      </c>
      <c r="FP160">
        <f t="shared" si="105"/>
        <v>7.2392800000000115</v>
      </c>
      <c r="FQ160">
        <f>IF(AW160&lt;&gt;-999,AW160*$FP160, -999)</f>
        <v>2456628.6415683078</v>
      </c>
      <c r="FR160">
        <f>IF(AX160&lt;&gt;-999,AX160*$FP160, -999)</f>
        <v>-999</v>
      </c>
      <c r="FS160" s="29">
        <f>IF(AY160&lt;&gt;-999,AY160*$FP160, -999)</f>
        <v>2456628.6415683078</v>
      </c>
      <c r="FT160">
        <f t="shared" si="106"/>
        <v>1.3112800000000142</v>
      </c>
      <c r="FU160">
        <f>IF(AZ160&lt;&gt;-999,AZ160*$FT160, -999)</f>
        <v>1508921.974102526</v>
      </c>
      <c r="FV160">
        <f>IF(BA160&lt;&gt;-999,BA160*$FT160, -999)</f>
        <v>-999</v>
      </c>
      <c r="FW160" s="29">
        <f>IF(BB160&lt;&gt;-999,BB160*$FT160, -999)</f>
        <v>1508921.974102526</v>
      </c>
      <c r="FX160">
        <f t="shared" si="107"/>
        <v>1.9372800000000119</v>
      </c>
      <c r="FY160">
        <f>IF(BC160&lt;&gt;-999, BC160*$FX160, -999)</f>
        <v>2707192.6214046865</v>
      </c>
      <c r="FZ160">
        <f>IF(BD160&lt;&gt;-999, BD160*$FX160, -999)</f>
        <v>-999</v>
      </c>
      <c r="GA160" s="29">
        <f>IF(BE160&lt;&gt;-999, BE160*$FX160, -999)</f>
        <v>2707192.6214046865</v>
      </c>
      <c r="GB160">
        <f t="shared" si="108"/>
        <v>-2.1347199999999873</v>
      </c>
      <c r="GC160">
        <f>IF(BF160&lt;&gt;-999,BF160*$GB160, -999)</f>
        <v>-985588.65213977883</v>
      </c>
      <c r="GD160">
        <f>IF(BG160&lt;&gt;-999,BG160*$GB160, -999)</f>
        <v>-999</v>
      </c>
      <c r="GE160" s="29">
        <f>IF(BH160&lt;&gt;-999,BH160*$GB160, -999)</f>
        <v>-985588.65213977883</v>
      </c>
      <c r="GF160">
        <f t="shared" si="109"/>
        <v>-10.847719999999988</v>
      </c>
      <c r="GG160">
        <f>IF(BI160&lt;&gt;-999,BI160*$GF160, -999)</f>
        <v>-16983235.121704347</v>
      </c>
      <c r="GH160">
        <f>IF(BJ160&lt;&gt;-999,BJ160*$GF160, -999)</f>
        <v>-999</v>
      </c>
      <c r="GI160" s="29">
        <f>IF(BK160&lt;&gt;-999,BK160*$GF160, -999)</f>
        <v>-16983235.121704347</v>
      </c>
      <c r="GJ160" s="30">
        <f t="shared" si="103"/>
        <v>-1012386.0787489936</v>
      </c>
    </row>
    <row r="161" spans="1:192">
      <c r="A161" s="48" t="s">
        <v>194</v>
      </c>
      <c r="B161" s="48" t="s">
        <v>290</v>
      </c>
      <c r="C161" s="49">
        <v>83</v>
      </c>
      <c r="D161" s="50">
        <v>0.437</v>
      </c>
      <c r="E161" s="49">
        <v>109.75218973154099</v>
      </c>
      <c r="F161" s="49">
        <v>0.78817784127579404</v>
      </c>
      <c r="G161" s="49">
        <v>387.913775276759</v>
      </c>
      <c r="H161" s="49">
        <v>0.79424145287438197</v>
      </c>
      <c r="I161" s="42">
        <v>57825.4</v>
      </c>
      <c r="J161" s="43">
        <v>33557.800000000003</v>
      </c>
      <c r="K161" s="43">
        <f t="shared" si="78"/>
        <v>91383.200000000012</v>
      </c>
      <c r="L161" s="43">
        <v>41537.9</v>
      </c>
      <c r="M161" s="43">
        <v>24105.7</v>
      </c>
      <c r="N161" s="43">
        <f t="shared" si="79"/>
        <v>65643.600000000006</v>
      </c>
      <c r="O161" s="43">
        <v>78916.899999999994</v>
      </c>
      <c r="P161" s="43">
        <v>45797.8</v>
      </c>
      <c r="Q161" s="43">
        <f t="shared" si="80"/>
        <v>124714.7</v>
      </c>
      <c r="R161" s="43">
        <v>44584.9</v>
      </c>
      <c r="S161" s="43">
        <v>25873.9</v>
      </c>
      <c r="T161" s="43">
        <f t="shared" si="81"/>
        <v>70458.8</v>
      </c>
      <c r="U161" s="43">
        <v>32026.799999999999</v>
      </c>
      <c r="V161" s="43">
        <v>18586.099999999999</v>
      </c>
      <c r="W161" s="43">
        <f t="shared" si="82"/>
        <v>50612.899999999994</v>
      </c>
      <c r="X161" s="43">
        <v>60847</v>
      </c>
      <c r="Y161" s="43">
        <v>35311.300000000003</v>
      </c>
      <c r="Z161" s="43">
        <f t="shared" si="83"/>
        <v>96158.3</v>
      </c>
      <c r="AA161" s="22">
        <v>1054800.6000000001</v>
      </c>
      <c r="AB161">
        <v>284040.7</v>
      </c>
      <c r="AC161">
        <v>1338841.3</v>
      </c>
      <c r="AD161">
        <v>757698.1</v>
      </c>
      <c r="AE161">
        <v>204035.8</v>
      </c>
      <c r="AF161">
        <v>961733.9</v>
      </c>
      <c r="AG161">
        <v>1439533.3</v>
      </c>
      <c r="AH161">
        <v>387642.9</v>
      </c>
      <c r="AI161">
        <v>1827176.2</v>
      </c>
      <c r="AJ161">
        <v>813278.6</v>
      </c>
      <c r="AK161">
        <v>219002.7</v>
      </c>
      <c r="AL161">
        <v>1032281.3</v>
      </c>
      <c r="AM161">
        <v>584204.9</v>
      </c>
      <c r="AN161">
        <v>157316.9</v>
      </c>
      <c r="AO161">
        <v>741521.8</v>
      </c>
      <c r="AP161">
        <v>1109917.5</v>
      </c>
      <c r="AQ161">
        <v>298882.8</v>
      </c>
      <c r="AR161">
        <v>1408800.2</v>
      </c>
      <c r="AS161">
        <v>7310354.8200000003</v>
      </c>
      <c r="AT161" s="22">
        <f t="shared" si="111"/>
        <v>1755910.183040685</v>
      </c>
      <c r="AU161">
        <f t="shared" si="111"/>
        <v>472838.14355813252</v>
      </c>
      <c r="AV161">
        <f t="shared" si="111"/>
        <v>2228748.3265988179</v>
      </c>
      <c r="AW161">
        <f t="shared" si="111"/>
        <v>1261328.2638069973</v>
      </c>
      <c r="AX161">
        <f t="shared" si="111"/>
        <v>339655.22860420495</v>
      </c>
      <c r="AY161">
        <f t="shared" si="111"/>
        <v>1600983.4924112025</v>
      </c>
      <c r="AZ161">
        <f t="shared" si="111"/>
        <v>2396368.7357555176</v>
      </c>
      <c r="BA161">
        <f t="shared" si="111"/>
        <v>645303.1174739775</v>
      </c>
      <c r="BB161">
        <f t="shared" si="111"/>
        <v>3041671.8532294952</v>
      </c>
      <c r="BC161">
        <f t="shared" si="111"/>
        <v>1353852.2592697348</v>
      </c>
      <c r="BD161">
        <f t="shared" si="110"/>
        <v>364570.39467308251</v>
      </c>
      <c r="BE161">
        <f t="shared" si="110"/>
        <v>1718422.6539428176</v>
      </c>
      <c r="BF161">
        <f t="shared" si="110"/>
        <v>972516.82724892756</v>
      </c>
      <c r="BG161">
        <f t="shared" si="110"/>
        <v>261883.00108512747</v>
      </c>
      <c r="BH161">
        <f t="shared" si="110"/>
        <v>1234399.8283340551</v>
      </c>
      <c r="BI161">
        <f t="shared" si="110"/>
        <v>1847662.4307808126</v>
      </c>
      <c r="BJ161">
        <f t="shared" si="110"/>
        <v>497545.55700452998</v>
      </c>
      <c r="BK161">
        <f t="shared" si="110"/>
        <v>2345207.8213168951</v>
      </c>
      <c r="BL161">
        <f t="shared" si="110"/>
        <v>12169434.175595421</v>
      </c>
      <c r="BM161" s="22">
        <f>-17.17-(0.1023*E161)+F161*(100-8.576-13.681)</f>
        <v>32.877660904767424</v>
      </c>
      <c r="BN161">
        <f>IF(AT161&lt;&gt;-999,AT161*$BM161, -999)</f>
        <v>57730219.577239744</v>
      </c>
      <c r="BO161">
        <f>IF(AU161&lt;&gt;-999,AU161*$BM161, -999)</f>
        <v>15545812.14674402</v>
      </c>
      <c r="BP161" s="25">
        <f>IF(AV161&lt;&gt;-999,AV161*$BM161, -999)</f>
        <v>73276031.72398378</v>
      </c>
      <c r="BQ161">
        <f>-19.943-(0.1023*E161)+F161*(100-8.576-13.681)</f>
        <v>30.104660904767421</v>
      </c>
      <c r="BR161">
        <f>IF(AW161&lt;&gt;-999,AW161*$BQ161, -999)</f>
        <v>37971859.671508677</v>
      </c>
      <c r="BS161">
        <f>IF(AX161&lt;&gt;-999,AX161*$BQ161, -999)</f>
        <v>10225205.48166085</v>
      </c>
      <c r="BT161" s="25">
        <f>IF(AY161&lt;&gt;-999,AY161*$BQ161, -999)</f>
        <v>48197065.153169535</v>
      </c>
      <c r="BU161">
        <f>-25.871-(0.1023*E161)+F161*(100-8.576-13.681)</f>
        <v>24.176660904767424</v>
      </c>
      <c r="BV161">
        <f>IF(AZ161&lt;&gt;-999,AZ161*$BU161, -999)</f>
        <v>57936194.327147357</v>
      </c>
      <c r="BW161">
        <f>IF(BA161&lt;&gt;-999,BA161*$BU161, -999)</f>
        <v>15601274.651957652</v>
      </c>
      <c r="BX161" s="25">
        <f>IF(BB161&lt;&gt;-999,BB161*$BU161, -999)</f>
        <v>73537468.979105011</v>
      </c>
      <c r="BY161">
        <f>-25.245-(0.1023*E161)+F161*(100-8.576-13.681)</f>
        <v>24.802660904767421</v>
      </c>
      <c r="BZ161">
        <f>IF(BC161&lt;&gt;-999,BC161*$BY161, -999)</f>
        <v>33579138.501820497</v>
      </c>
      <c r="CA161">
        <f>IF(BD161&lt;&gt;-999,BD161*$BY161, -999)</f>
        <v>9042315.8749936931</v>
      </c>
      <c r="CB161" s="25">
        <f>IF(BE161&lt;&gt;-999,BE161*$BY161, -999)</f>
        <v>42621454.376814194</v>
      </c>
      <c r="CC161">
        <f>-29.317-(0.1023*E161)+F161*(100-8.576-13.681)</f>
        <v>20.730660904767426</v>
      </c>
      <c r="CD161">
        <f>IF(BF161&lt;&gt;-999,BF161*$CC161, -999)</f>
        <v>20160916.5698778</v>
      </c>
      <c r="CE161">
        <f>IF(BG161&lt;&gt;-999,BG161*$CC161, -999)</f>
        <v>5429007.6922186175</v>
      </c>
      <c r="CF161" s="25">
        <f>IF(BH161&lt;&gt;-999,BH161*$CC161, -999)</f>
        <v>25589924.26209642</v>
      </c>
      <c r="CG161">
        <f>-38.03-(0.1023*E161)+F161*(100-8.576-13.681)</f>
        <v>12.017660904767418</v>
      </c>
      <c r="CH161">
        <f>IF(BI161&lt;&gt;-999,BI161*$CG161, -999)</f>
        <v>22204580.559602108</v>
      </c>
      <c r="CI161">
        <f>IF(BJ161&lt;&gt;-999,BJ161*$CG161, -999)</f>
        <v>5979333.7887540683</v>
      </c>
      <c r="CJ161" s="25">
        <f>IF(BK161&lt;&gt;-999,BK161*$CG161, -999)</f>
        <v>28183912.347794823</v>
      </c>
      <c r="CK161" s="26">
        <f t="shared" si="84"/>
        <v>291405856.84296376</v>
      </c>
      <c r="CL161">
        <f t="shared" si="85"/>
        <v>-34.325853075741499</v>
      </c>
      <c r="CM161">
        <f t="shared" si="86"/>
        <v>23.332453996733257</v>
      </c>
      <c r="CN161">
        <f t="shared" si="87"/>
        <v>-90.98819203177014</v>
      </c>
      <c r="CO161" s="22">
        <f t="shared" si="88"/>
        <v>-40.08</v>
      </c>
      <c r="CP161">
        <f>IF(AT161&lt;&gt;-999,AT161*$CO161, -999)</f>
        <v>-70376880.136270657</v>
      </c>
      <c r="CQ161">
        <f>IF(AU161&lt;&gt;-999,AU161*$CO161, -999)</f>
        <v>-18951352.79380995</v>
      </c>
      <c r="CR161" s="27">
        <f>IF(AV161&lt;&gt;-999,AV161*$CO161, -999)</f>
        <v>-89328232.930080622</v>
      </c>
      <c r="CS161">
        <f t="shared" si="89"/>
        <v>-42.853000000000002</v>
      </c>
      <c r="CT161">
        <f>IF(AW161&lt;&gt;-999,AW161*$CS161, -999)</f>
        <v>-54051700.088921256</v>
      </c>
      <c r="CU161">
        <f>IF(AX161&lt;&gt;-999,AX161*$CS161, -999)</f>
        <v>-14555245.511375995</v>
      </c>
      <c r="CV161" s="27">
        <f>IF(AY161&lt;&gt;-999,AY161*$CS161, -999)</f>
        <v>-68606945.600297257</v>
      </c>
      <c r="CW161">
        <f t="shared" si="90"/>
        <v>-48.780999999999999</v>
      </c>
      <c r="CX161">
        <f>IF(AZ161&lt;&gt;-999,AZ161*$CO161, -999)</f>
        <v>-96046458.929081142</v>
      </c>
      <c r="CY161">
        <f>IF(BA161&lt;&gt;-999,BA161*$CO161, -999)</f>
        <v>-25863748.948357016</v>
      </c>
      <c r="CZ161" s="27">
        <f>IF(BB161&lt;&gt;-999,BB161*$CO161, -999)</f>
        <v>-121910207.87743816</v>
      </c>
      <c r="DA161">
        <f t="shared" si="91"/>
        <v>-48.155000000000001</v>
      </c>
      <c r="DB161">
        <f>IF(BC161&lt;&gt;-999,BC161*$DA161, -999)</f>
        <v>-65194755.545134082</v>
      </c>
      <c r="DC161">
        <f>IF(BD161&lt;&gt;-999,BD161*$DA161, -999)</f>
        <v>-17555887.355482288</v>
      </c>
      <c r="DD161" s="27">
        <f>IF(BE161&lt;&gt;-999,BE161*$DA161, -999)</f>
        <v>-82750642.900616378</v>
      </c>
      <c r="DE161">
        <f t="shared" si="92"/>
        <v>-52.227000000000004</v>
      </c>
      <c r="DF161">
        <f>IF(BF161&lt;&gt;-999,BF161*$DE161, -999)</f>
        <v>-50791636.336729743</v>
      </c>
      <c r="DG161">
        <f>IF(BG161&lt;&gt;-999,BG161*$DE161, -999)</f>
        <v>-13677363.497672953</v>
      </c>
      <c r="DH161" s="27">
        <f>IF(BH161&lt;&gt;-999,BH161*$DE161, -999)</f>
        <v>-64468999.834402703</v>
      </c>
      <c r="DI161">
        <f t="shared" si="93"/>
        <v>-60.94</v>
      </c>
      <c r="DJ161">
        <f>IF(BI161&lt;&gt;-999,BI161*$DI161, -999)</f>
        <v>-112596548.53178272</v>
      </c>
      <c r="DK161">
        <f>IF(BJ161&lt;&gt;-999,BJ161*$DI161, -999)</f>
        <v>-30320426.243856058</v>
      </c>
      <c r="DL161" s="27">
        <f>IF(BK161&lt;&gt;-999,BK161*$DI161, -999)</f>
        <v>-142916964.63105157</v>
      </c>
      <c r="DM161" s="28">
        <f t="shared" si="94"/>
        <v>-569981993.77388668</v>
      </c>
      <c r="DN161" s="22">
        <f t="shared" si="95"/>
        <v>-17.170000000000002</v>
      </c>
      <c r="DO161">
        <f>IF(AT161&lt;&gt;-999,AT161*$DN161, -999)</f>
        <v>-30148977.842808563</v>
      </c>
      <c r="DP161">
        <f>IF(AU161&lt;&gt;-999,AU161*$DN161, -999)</f>
        <v>-8118630.9248931361</v>
      </c>
      <c r="DQ161" s="24">
        <f>IF(AV161&lt;&gt;-999,AV161*$DN161, -999)</f>
        <v>-38267608.767701708</v>
      </c>
      <c r="DR161">
        <f t="shared" si="96"/>
        <v>-19.943000000000001</v>
      </c>
      <c r="DS161">
        <f>IF(AW161&lt;&gt;-999,AW161*$DR161, -999)</f>
        <v>-25154669.56510295</v>
      </c>
      <c r="DT161">
        <f>IF(AX161&lt;&gt;-999,AX161*$DR161, -999)</f>
        <v>-6773744.2240536595</v>
      </c>
      <c r="DU161" s="24">
        <f>IF(AY161&lt;&gt;-999,AY161*$DR161, -999)</f>
        <v>-31928413.789156616</v>
      </c>
      <c r="DV161">
        <f t="shared" si="97"/>
        <v>-25.870999999999999</v>
      </c>
      <c r="DW161">
        <f>IF(AZ161&lt;&gt;-999,AZ161*$DV161, -999)</f>
        <v>-61996455.56273099</v>
      </c>
      <c r="DX161">
        <f>IF(BA161&lt;&gt;-999,BA161*$DV161, -999)</f>
        <v>-16694636.952169271</v>
      </c>
      <c r="DY161" s="24">
        <f>IF(BB161&lt;&gt;-999,BB161*$DV161, -999)</f>
        <v>-78691092.514900267</v>
      </c>
      <c r="DZ161">
        <f t="shared" si="98"/>
        <v>-25.245000000000001</v>
      </c>
      <c r="EA161">
        <f>IF(BC161&lt;&gt;-999, BC161*$DZ161, -999)</f>
        <v>-34178000.285264455</v>
      </c>
      <c r="EB161">
        <f>IF(BD161&lt;&gt;-999, BD161*$DZ161, -999)</f>
        <v>-9203579.6135219689</v>
      </c>
      <c r="EC161" s="24">
        <f>IF(BE161&lt;&gt;-999, BE161*$DZ161, -999)</f>
        <v>-43381579.898786433</v>
      </c>
      <c r="ED161">
        <f t="shared" si="99"/>
        <v>-29.317</v>
      </c>
      <c r="EE161">
        <f>IF(BF161&lt;&gt;-999,BF161*$ED161, -999)</f>
        <v>-28511275.824456811</v>
      </c>
      <c r="EF161">
        <f>IF(BG161&lt;&gt;-999,BG161*$ED161, -999)</f>
        <v>-7677623.9428126821</v>
      </c>
      <c r="EG161" s="24">
        <f>IF(BH161&lt;&gt;-999,BH161*$ED161, -999)</f>
        <v>-36188899.767269492</v>
      </c>
      <c r="EH161">
        <f t="shared" si="100"/>
        <v>-38.03</v>
      </c>
      <c r="EI161">
        <f>IF(BI161&lt;&gt;-999,BI161*$EH161, -999)</f>
        <v>-70266602.242594302</v>
      </c>
      <c r="EJ161">
        <f>IF(BJ161&lt;&gt;-999,BJ161*$EH161, -999)</f>
        <v>-18921657.532882277</v>
      </c>
      <c r="EK161" s="24">
        <f>IF(BK161&lt;&gt;-999,BK161*$EH161, -999)</f>
        <v>-89188253.444681525</v>
      </c>
      <c r="EL161" s="28">
        <f t="shared" si="101"/>
        <v>-317645848.18249607</v>
      </c>
      <c r="EM161" s="22">
        <f>-17.17-(0.1023*G161)+H161*(100+102.093-66.644-64.243)</f>
        <v>-0.29882231743918908</v>
      </c>
      <c r="EN161">
        <f>IF(AT161&lt;&gt;-999,AT161*$EM161, -999)</f>
        <v>-524705.15011128818</v>
      </c>
      <c r="EO161">
        <f>IF(AU161&lt;&gt;-999,AU161*$EM161, -999)</f>
        <v>-141294.58983168512</v>
      </c>
      <c r="EP161" s="23">
        <f>IF(AV161&lt;&gt;-999,AV161*$EM161, -999)</f>
        <v>-665999.73994297348</v>
      </c>
      <c r="EQ161">
        <f>-19.943-(0.1023*G161)+H161*(100+102.093-66.644-64.243)</f>
        <v>-3.0718223174391923</v>
      </c>
      <c r="ER161">
        <f>IF(AW161&lt;&gt;-999,AW161*$EQ161, -999)</f>
        <v>-3874576.3103791634</v>
      </c>
      <c r="ES161">
        <f>IF(AX161&lt;&gt;-999,AX161*$EQ161, -999)</f>
        <v>-1043360.5114613075</v>
      </c>
      <c r="ET161" s="23">
        <f>IF(AY161&lt;&gt;-999,AY161*$EQ161, -999)</f>
        <v>-4917936.8218404716</v>
      </c>
      <c r="EU161">
        <f>-25.871-(0.1023*G161)+H161*(100+102.093-66.644-64.243)</f>
        <v>-8.9998223174391896</v>
      </c>
      <c r="EV161">
        <f>IF(AZ161&lt;&gt;-999,AZ161*$EU161, -999)</f>
        <v>-21566892.828866042</v>
      </c>
      <c r="EW161">
        <f>IF(BA161&lt;&gt;-999,BA161*$EU161, -999)</f>
        <v>-5807613.3981553856</v>
      </c>
      <c r="EX161" s="23">
        <f>IF(BB161&lt;&gt;-999,BB161*$EU161, -999)</f>
        <v>-27374506.22702143</v>
      </c>
      <c r="EY161">
        <f>-25.245-(0.1023*G161)+H161*(100+102.093-66.644-64.243)</f>
        <v>-8.3738223174391848</v>
      </c>
      <c r="EZ161">
        <f>IF(BC161&lt;&gt;-999, BC161*$EY161, -999)</f>
        <v>-11336918.263188368</v>
      </c>
      <c r="FA161">
        <f>IF(BD161&lt;&gt;-999, BD161*$EY161, -999)</f>
        <v>-3052847.7071910701</v>
      </c>
      <c r="FB161" s="23">
        <f>IF(BE161&lt;&gt;-999, BE161*$EY161, -999)</f>
        <v>-14389765.970379438</v>
      </c>
      <c r="FC161">
        <f>-29.317-(0.1023*G161)+H161*(100+102.093-66.644-64.243)</f>
        <v>-12.445822317439188</v>
      </c>
      <c r="FD161">
        <f>IF(BF161&lt;&gt;-999,BF161*$FC161, -999)</f>
        <v>-12103771.632659854</v>
      </c>
      <c r="FE161">
        <f>IF(BG161&lt;&gt;-999,BG161*$FC161, -999)</f>
        <v>-3259349.2994632307</v>
      </c>
      <c r="FF161" s="23">
        <f>IF(BH161&lt;&gt;-999,BH161*$FC161, -999)</f>
        <v>-15363120.932123085</v>
      </c>
      <c r="FG161">
        <f>-38.03-(0.1023*G161)+H161*(100+102.093-66.644-64.243)</f>
        <v>-21.158822317439181</v>
      </c>
      <c r="FH161">
        <f>IF(BI161&lt;&gt;-999,BI161*$FG161, -999)</f>
        <v>-39094361.075498983</v>
      </c>
      <c r="FI161">
        <f>IF(BJ161&lt;&gt;-999,BJ161*$FG161, -999)</f>
        <v>-10527478.035490157</v>
      </c>
      <c r="FJ161" s="23">
        <f>IF(BK161&lt;&gt;-999,BK161*$FG161, -999)</f>
        <v>-49621835.588712841</v>
      </c>
      <c r="FK161" s="28">
        <f t="shared" si="102"/>
        <v>-112333165.28002024</v>
      </c>
      <c r="FL161" s="22">
        <f t="shared" si="104"/>
        <v>10.012280000000011</v>
      </c>
      <c r="FM161">
        <f>IF(AT161&lt;&gt;-999,AT161*$FL161, -999)</f>
        <v>17580664.40745461</v>
      </c>
      <c r="FN161">
        <f>IF(AU161&lt;&gt;-999,AU161*$FL161, -999)</f>
        <v>4734187.8879842246</v>
      </c>
      <c r="FO161" s="29">
        <f>IF(AV161&lt;&gt;-999,AV161*$FL161, -999)</f>
        <v>22314852.295438837</v>
      </c>
      <c r="FP161">
        <f t="shared" si="105"/>
        <v>7.2392800000000115</v>
      </c>
      <c r="FQ161">
        <f>IF(AW161&lt;&gt;-999,AW161*$FP161, -999)</f>
        <v>9131108.473612735</v>
      </c>
      <c r="FR161">
        <f>IF(AX161&lt;&gt;-999,AX161*$FP161, -999)</f>
        <v>2458859.3033298529</v>
      </c>
      <c r="FS161" s="29">
        <f>IF(AY161&lt;&gt;-999,AY161*$FP161, -999)</f>
        <v>11589967.776942588</v>
      </c>
      <c r="FT161">
        <f t="shared" si="106"/>
        <v>1.3112800000000142</v>
      </c>
      <c r="FU161">
        <f>IF(AZ161&lt;&gt;-999,AZ161*$FT161, -999)</f>
        <v>3142310.395821529</v>
      </c>
      <c r="FV161">
        <f>IF(BA161&lt;&gt;-999,BA161*$FT161, -999)</f>
        <v>846173.07188128633</v>
      </c>
      <c r="FW161" s="29">
        <f>IF(BB161&lt;&gt;-999,BB161*$FT161, -999)</f>
        <v>3988483.4677028158</v>
      </c>
      <c r="FX161">
        <f t="shared" si="107"/>
        <v>1.9372800000000119</v>
      </c>
      <c r="FY161">
        <f>IF(BC161&lt;&gt;-999, BC161*$FX161, -999)</f>
        <v>2622790.904838088</v>
      </c>
      <c r="FZ161">
        <f>IF(BD161&lt;&gt;-999, BD161*$FX161, -999)</f>
        <v>706274.93419227365</v>
      </c>
      <c r="GA161" s="29">
        <f>IF(BE161&lt;&gt;-999, BE161*$FX161, -999)</f>
        <v>3329065.8390303622</v>
      </c>
      <c r="GB161">
        <f t="shared" si="108"/>
        <v>-2.1347199999999873</v>
      </c>
      <c r="GC161">
        <f>IF(BF161&lt;&gt;-999,BF161*$GB161, -999)</f>
        <v>-2076051.1214648183</v>
      </c>
      <c r="GD161">
        <f>IF(BG161&lt;&gt;-999,BG161*$GB161, -999)</f>
        <v>-559046.88007643993</v>
      </c>
      <c r="GE161" s="29">
        <f>IF(BH161&lt;&gt;-999,BH161*$GB161, -999)</f>
        <v>-2635098.0015412583</v>
      </c>
      <c r="GF161">
        <f t="shared" si="109"/>
        <v>-10.847719999999988</v>
      </c>
      <c r="GG161">
        <f>IF(BI161&lt;&gt;-999,BI161*$GF161, -999)</f>
        <v>-20042924.703629617</v>
      </c>
      <c r="GH161">
        <f>IF(BJ161&lt;&gt;-999,BJ161*$GF161, -999)</f>
        <v>-5397234.889629174</v>
      </c>
      <c r="GI161" s="29">
        <f>IF(BK161&lt;&gt;-999,BK161*$GF161, -999)</f>
        <v>-25440157.787455682</v>
      </c>
      <c r="GJ161" s="30">
        <f t="shared" si="103"/>
        <v>13147113.590117659</v>
      </c>
    </row>
    <row r="162" spans="1:192">
      <c r="A162" s="48" t="s">
        <v>178</v>
      </c>
      <c r="B162" s="48" t="s">
        <v>291</v>
      </c>
      <c r="C162" s="49">
        <v>95</v>
      </c>
      <c r="D162" s="50">
        <v>0.437</v>
      </c>
      <c r="E162" s="49">
        <v>44.726146029970799</v>
      </c>
      <c r="F162" s="49">
        <v>0.79087343743632499</v>
      </c>
      <c r="G162" s="49">
        <v>123.52134731443201</v>
      </c>
      <c r="H162" s="49">
        <v>0.81468697690515501</v>
      </c>
      <c r="I162" s="42">
        <v>34605.5</v>
      </c>
      <c r="J162" s="43">
        <v>7548.3</v>
      </c>
      <c r="K162" s="43">
        <f t="shared" si="78"/>
        <v>42153.8</v>
      </c>
      <c r="L162" s="43">
        <v>25141.8</v>
      </c>
      <c r="M162" s="43">
        <v>5484.1</v>
      </c>
      <c r="N162" s="43">
        <f t="shared" si="79"/>
        <v>30625.9</v>
      </c>
      <c r="O162" s="43">
        <v>36899.9</v>
      </c>
      <c r="P162" s="43">
        <v>8048.8</v>
      </c>
      <c r="Q162" s="43">
        <f t="shared" si="80"/>
        <v>44948.700000000004</v>
      </c>
      <c r="R162" s="43">
        <v>89959</v>
      </c>
      <c r="S162" s="43">
        <v>19622.3</v>
      </c>
      <c r="T162" s="43">
        <f t="shared" si="81"/>
        <v>109581.3</v>
      </c>
      <c r="U162" s="43">
        <v>65357.5</v>
      </c>
      <c r="V162" s="43">
        <v>14256.1</v>
      </c>
      <c r="W162" s="43">
        <f t="shared" si="82"/>
        <v>79613.600000000006</v>
      </c>
      <c r="X162" s="43">
        <v>95923.3</v>
      </c>
      <c r="Y162" s="43">
        <v>20923.3</v>
      </c>
      <c r="Z162" s="43">
        <f t="shared" si="83"/>
        <v>116846.6</v>
      </c>
      <c r="AA162" s="22">
        <v>396710.1</v>
      </c>
      <c r="AB162">
        <v>102469.5</v>
      </c>
      <c r="AC162">
        <v>499179.7</v>
      </c>
      <c r="AD162">
        <v>288220</v>
      </c>
      <c r="AE162">
        <v>74446.7</v>
      </c>
      <c r="AF162">
        <v>362666.7</v>
      </c>
      <c r="AG162">
        <v>423012.4</v>
      </c>
      <c r="AH162">
        <v>109263.4</v>
      </c>
      <c r="AI162">
        <v>532275.69999999995</v>
      </c>
      <c r="AJ162">
        <v>1031269.6</v>
      </c>
      <c r="AK162">
        <v>266375.2</v>
      </c>
      <c r="AL162">
        <v>1297644.8</v>
      </c>
      <c r="AM162">
        <v>749243.6</v>
      </c>
      <c r="AN162">
        <v>193528.3</v>
      </c>
      <c r="AO162">
        <v>942772</v>
      </c>
      <c r="AP162">
        <v>1099643.7</v>
      </c>
      <c r="AQ162">
        <v>284036.09999999998</v>
      </c>
      <c r="AR162">
        <v>1383679.8</v>
      </c>
      <c r="AS162">
        <v>5018218.6500000004</v>
      </c>
      <c r="AT162" s="22">
        <f t="shared" si="111"/>
        <v>660397.14454569737</v>
      </c>
      <c r="AU162">
        <f t="shared" si="111"/>
        <v>170579.3858110125</v>
      </c>
      <c r="AV162">
        <f t="shared" si="111"/>
        <v>830976.6968251575</v>
      </c>
      <c r="AW162">
        <f t="shared" si="111"/>
        <v>479795.35938449996</v>
      </c>
      <c r="AX162">
        <f t="shared" si="111"/>
        <v>123930.26570498249</v>
      </c>
      <c r="AY162">
        <f t="shared" si="111"/>
        <v>603725.62508948252</v>
      </c>
      <c r="AZ162">
        <f t="shared" si="111"/>
        <v>704182.17501249013</v>
      </c>
      <c r="BA162">
        <f t="shared" si="111"/>
        <v>181889.08566571499</v>
      </c>
      <c r="BB162">
        <f t="shared" si="111"/>
        <v>886071.09420975752</v>
      </c>
      <c r="BC162">
        <f t="shared" si="111"/>
        <v>1716738.4926594601</v>
      </c>
      <c r="BD162">
        <f t="shared" si="110"/>
        <v>443430.65996502002</v>
      </c>
      <c r="BE162">
        <f t="shared" si="110"/>
        <v>2160169.15262448</v>
      </c>
      <c r="BF162">
        <f t="shared" si="110"/>
        <v>1247254.1889131099</v>
      </c>
      <c r="BG162">
        <f t="shared" si="110"/>
        <v>322163.55648314249</v>
      </c>
      <c r="BH162">
        <f t="shared" si="110"/>
        <v>1569417.9118647</v>
      </c>
      <c r="BI162">
        <f t="shared" si="110"/>
        <v>1830559.7954215575</v>
      </c>
      <c r="BJ162">
        <f t="shared" si="110"/>
        <v>472830.48600954743</v>
      </c>
      <c r="BK162">
        <f t="shared" si="110"/>
        <v>2303390.2814311055</v>
      </c>
      <c r="BL162">
        <f t="shared" si="110"/>
        <v>8353750.6788104596</v>
      </c>
      <c r="BM162" s="22">
        <f>-17.17-(0.1023*E162)+F162*(100-8.576-13.681)</f>
        <v>39.739388907746203</v>
      </c>
      <c r="BN162">
        <f>IF(AT162&lt;&gt;-999,AT162*$BM162, -999)</f>
        <v>26243778.960666552</v>
      </c>
      <c r="BO162">
        <f>IF(AU162&lt;&gt;-999,AU162*$BM162, -999)</f>
        <v>6778720.5523883104</v>
      </c>
      <c r="BP162" s="25">
        <f>IF(AV162&lt;&gt;-999,AV162*$BM162, -999)</f>
        <v>33022506.128409244</v>
      </c>
      <c r="BQ162">
        <f>-19.943-(0.1023*E162)+F162*(100-8.576-13.681)</f>
        <v>36.966388907746207</v>
      </c>
      <c r="BR162">
        <f>IF(AW162&lt;&gt;-999,AW162*$BQ162, -999)</f>
        <v>17736301.851139285</v>
      </c>
      <c r="BS162">
        <f>IF(AX162&lt;&gt;-999,AX162*$BQ162, -999)</f>
        <v>4581254.3994907048</v>
      </c>
      <c r="BT162" s="25">
        <f>IF(AY162&lt;&gt;-999,AY162*$BQ162, -999)</f>
        <v>22317556.250629991</v>
      </c>
      <c r="BU162">
        <f>-25.871-(0.1023*E162)+F162*(100-8.576-13.681)</f>
        <v>31.03838890774621</v>
      </c>
      <c r="BV162">
        <f>IF(AZ162&lt;&gt;-999,AZ162*$BU162, -999)</f>
        <v>21856680.209940273</v>
      </c>
      <c r="BW162">
        <f>IF(BA162&lt;&gt;-999,BA162*$BU162, -999)</f>
        <v>5645544.1789668286</v>
      </c>
      <c r="BX162" s="25">
        <f>IF(BB162&lt;&gt;-999,BB162*$BU162, -999)</f>
        <v>27502219.221994683</v>
      </c>
      <c r="BY162">
        <f>-25.245-(0.1023*E162)+F162*(100-8.576-13.681)</f>
        <v>31.664388907746208</v>
      </c>
      <c r="BZ162">
        <f>IF(BC162&lt;&gt;-999,BC162*$BY162, -999)</f>
        <v>54359475.284467153</v>
      </c>
      <c r="CA162">
        <f>IF(BD162&lt;&gt;-999,BD162*$BY162, -999)</f>
        <v>14040960.87075096</v>
      </c>
      <c r="CB162" s="25">
        <f>IF(BE162&lt;&gt;-999,BE162*$BY162, -999)</f>
        <v>68400436.155218109</v>
      </c>
      <c r="CC162">
        <f>-29.317-(0.1023*E162)+F162*(100-8.576-13.681)</f>
        <v>27.592388907746205</v>
      </c>
      <c r="CD162">
        <f>IF(BF162&lt;&gt;-999,BF162*$CC162, -999)</f>
        <v>34414722.647306085</v>
      </c>
      <c r="CE162">
        <f>IF(BG162&lt;&gt;-999,BG162*$CC162, -999)</f>
        <v>8889262.1423855294</v>
      </c>
      <c r="CF162" s="25">
        <f>IF(BH162&lt;&gt;-999,BH162*$CC162, -999)</f>
        <v>43303989.382953763</v>
      </c>
      <c r="CG162">
        <f>-38.03-(0.1023*E162)+F162*(100-8.576-13.681)</f>
        <v>18.879388907746211</v>
      </c>
      <c r="CH162">
        <f>IF(BI162&lt;&gt;-999,BI162*$CG162, -999)</f>
        <v>34559850.296647929</v>
      </c>
      <c r="CI162">
        <f>IF(BJ162&lt;&gt;-999,BJ162*$CG162, -999)</f>
        <v>8926750.6328129005</v>
      </c>
      <c r="CJ162" s="25">
        <f>IF(BK162&lt;&gt;-999,BK162*$CG162, -999)</f>
        <v>43486600.929460838</v>
      </c>
      <c r="CK162" s="26">
        <f t="shared" si="84"/>
        <v>238033308.06866664</v>
      </c>
      <c r="CL162">
        <f t="shared" si="85"/>
        <v>-42.544158864638455</v>
      </c>
      <c r="CM162">
        <f t="shared" si="86"/>
        <v>14.917626863446376</v>
      </c>
      <c r="CN162">
        <f t="shared" si="87"/>
        <v>-99.013371112768439</v>
      </c>
      <c r="CO162" s="22">
        <f t="shared" si="88"/>
        <v>-40.08</v>
      </c>
      <c r="CP162">
        <f>IF(AT162&lt;&gt;-999,AT162*$CO162, -999)</f>
        <v>-26468717.55339155</v>
      </c>
      <c r="CQ162">
        <f>IF(AU162&lt;&gt;-999,AU162*$CO162, -999)</f>
        <v>-6836821.7833053805</v>
      </c>
      <c r="CR162" s="27">
        <f>IF(AV162&lt;&gt;-999,AV162*$CO162, -999)</f>
        <v>-33305546.008752313</v>
      </c>
      <c r="CS162">
        <f t="shared" si="89"/>
        <v>-42.853000000000002</v>
      </c>
      <c r="CT162">
        <f>IF(AW162&lt;&gt;-999,AW162*$CS162, -999)</f>
        <v>-20560670.535703976</v>
      </c>
      <c r="CU162">
        <f>IF(AX162&lt;&gt;-999,AX162*$CS162, -999)</f>
        <v>-5310783.6762556145</v>
      </c>
      <c r="CV162" s="27">
        <f>IF(AY162&lt;&gt;-999,AY162*$CS162, -999)</f>
        <v>-25871454.211959597</v>
      </c>
      <c r="CW162">
        <f t="shared" si="90"/>
        <v>-48.780999999999999</v>
      </c>
      <c r="CX162">
        <f>IF(AZ162&lt;&gt;-999,AZ162*$CO162, -999)</f>
        <v>-28223621.574500602</v>
      </c>
      <c r="CY162">
        <f>IF(BA162&lt;&gt;-999,BA162*$CO162, -999)</f>
        <v>-7290114.5534818564</v>
      </c>
      <c r="CZ162" s="27">
        <f>IF(BB162&lt;&gt;-999,BB162*$CO162, -999)</f>
        <v>-35513729.455927081</v>
      </c>
      <c r="DA162">
        <f t="shared" si="91"/>
        <v>-48.155000000000001</v>
      </c>
      <c r="DB162">
        <f>IF(BC162&lt;&gt;-999,BC162*$DA162, -999)</f>
        <v>-82669542.114016294</v>
      </c>
      <c r="DC162">
        <f>IF(BD162&lt;&gt;-999,BD162*$DA162, -999)</f>
        <v>-21353403.430615541</v>
      </c>
      <c r="DD162" s="27">
        <f>IF(BE162&lt;&gt;-999,BE162*$DA162, -999)</f>
        <v>-104022945.54463184</v>
      </c>
      <c r="DE162">
        <f t="shared" si="92"/>
        <v>-52.227000000000004</v>
      </c>
      <c r="DF162">
        <f>IF(BF162&lt;&gt;-999,BF162*$DE162, -999)</f>
        <v>-65140344.524365</v>
      </c>
      <c r="DG162">
        <f>IF(BG162&lt;&gt;-999,BG162*$DE162, -999)</f>
        <v>-16825636.064445082</v>
      </c>
      <c r="DH162" s="27">
        <f>IF(BH162&lt;&gt;-999,BH162*$DE162, -999)</f>
        <v>-81965989.282957688</v>
      </c>
      <c r="DI162">
        <f t="shared" si="93"/>
        <v>-60.94</v>
      </c>
      <c r="DJ162">
        <f>IF(BI162&lt;&gt;-999,BI162*$DI162, -999)</f>
        <v>-111554313.93298972</v>
      </c>
      <c r="DK162">
        <f>IF(BJ162&lt;&gt;-999,BJ162*$DI162, -999)</f>
        <v>-28814289.81742182</v>
      </c>
      <c r="DL162" s="27">
        <f>IF(BK162&lt;&gt;-999,BK162*$DI162, -999)</f>
        <v>-140368603.75041157</v>
      </c>
      <c r="DM162" s="28">
        <f t="shared" si="94"/>
        <v>-421048268.2546401</v>
      </c>
      <c r="DN162" s="22">
        <f t="shared" si="95"/>
        <v>-17.170000000000002</v>
      </c>
      <c r="DO162">
        <f>IF(AT162&lt;&gt;-999,AT162*$DN162, -999)</f>
        <v>-11339018.971849626</v>
      </c>
      <c r="DP162">
        <f>IF(AU162&lt;&gt;-999,AU162*$DN162, -999)</f>
        <v>-2928848.054375085</v>
      </c>
      <c r="DQ162" s="24">
        <f>IF(AV162&lt;&gt;-999,AV162*$DN162, -999)</f>
        <v>-14267869.884487955</v>
      </c>
      <c r="DR162">
        <f t="shared" si="96"/>
        <v>-19.943000000000001</v>
      </c>
      <c r="DS162">
        <f>IF(AW162&lt;&gt;-999,AW162*$DR162, -999)</f>
        <v>-9568558.8522050828</v>
      </c>
      <c r="DT162">
        <f>IF(AX162&lt;&gt;-999,AX162*$DR162, -999)</f>
        <v>-2471541.2889544661</v>
      </c>
      <c r="DU162" s="24">
        <f>IF(AY162&lt;&gt;-999,AY162*$DR162, -999)</f>
        <v>-12040100.141159551</v>
      </c>
      <c r="DV162">
        <f t="shared" si="97"/>
        <v>-25.870999999999999</v>
      </c>
      <c r="DW162">
        <f>IF(AZ162&lt;&gt;-999,AZ162*$DV162, -999)</f>
        <v>-18217897.04974813</v>
      </c>
      <c r="DX162">
        <f>IF(BA162&lt;&gt;-999,BA162*$DV162, -999)</f>
        <v>-4705652.535257712</v>
      </c>
      <c r="DY162" s="24">
        <f>IF(BB162&lt;&gt;-999,BB162*$DV162, -999)</f>
        <v>-22923545.278300636</v>
      </c>
      <c r="DZ162">
        <f t="shared" si="98"/>
        <v>-25.245000000000001</v>
      </c>
      <c r="EA162">
        <f>IF(BC162&lt;&gt;-999, BC162*$DZ162, -999)</f>
        <v>-43339063.247188069</v>
      </c>
      <c r="EB162">
        <f>IF(BD162&lt;&gt;-999, BD162*$DZ162, -999)</f>
        <v>-11194407.010816932</v>
      </c>
      <c r="EC162" s="24">
        <f>IF(BE162&lt;&gt;-999, BE162*$DZ162, -999)</f>
        <v>-54533470.258005001</v>
      </c>
      <c r="ED162">
        <f t="shared" si="99"/>
        <v>-29.317</v>
      </c>
      <c r="EE162">
        <f>IF(BF162&lt;&gt;-999,BF162*$ED162, -999)</f>
        <v>-36565751.056365646</v>
      </c>
      <c r="EF162">
        <f>IF(BG162&lt;&gt;-999,BG162*$ED162, -999)</f>
        <v>-9444868.9854162876</v>
      </c>
      <c r="EG162" s="24">
        <f>IF(BH162&lt;&gt;-999,BH162*$ED162, -999)</f>
        <v>-46010624.922137409</v>
      </c>
      <c r="EH162">
        <f t="shared" si="100"/>
        <v>-38.03</v>
      </c>
      <c r="EI162">
        <f>IF(BI162&lt;&gt;-999,BI162*$EH162, -999)</f>
        <v>-69616189.01988183</v>
      </c>
      <c r="EJ162">
        <f>IF(BJ162&lt;&gt;-999,BJ162*$EH162, -999)</f>
        <v>-17981743.38294309</v>
      </c>
      <c r="EK162" s="24">
        <f>IF(BK162&lt;&gt;-999,BK162*$EH162, -999)</f>
        <v>-87597932.402824938</v>
      </c>
      <c r="EL162" s="28">
        <f t="shared" si="101"/>
        <v>-237373542.8869155</v>
      </c>
      <c r="EM162" s="22">
        <f>-17.17-(0.1023*G162)+H162*(100+102.093-66.644-64.243)</f>
        <v>28.204367047242084</v>
      </c>
      <c r="EN162">
        <f>IF(AT162&lt;&gt;-999,AT162*$EM162, -999)</f>
        <v>18626083.461717434</v>
      </c>
      <c r="EO162">
        <f>IF(AU162&lt;&gt;-999,AU162*$EM162, -999)</f>
        <v>4811083.6081069149</v>
      </c>
      <c r="EP162" s="23">
        <f>IF(AV162&lt;&gt;-999,AV162*$EM162, -999)</f>
        <v>23437171.764961548</v>
      </c>
      <c r="EQ162">
        <f>-19.943-(0.1023*G162)+H162*(100+102.093-66.644-64.243)</f>
        <v>25.431367047242084</v>
      </c>
      <c r="ER162">
        <f>IF(AW162&lt;&gt;-999,AW162*$EQ162, -999)</f>
        <v>12201851.892070645</v>
      </c>
      <c r="ES162">
        <f>IF(AX162&lt;&gt;-999,AX162*$EQ162, -999)</f>
        <v>3151716.0754056475</v>
      </c>
      <c r="ET162" s="23">
        <f>IF(AY162&lt;&gt;-999,AY162*$EQ162, -999)</f>
        <v>15353567.967476295</v>
      </c>
      <c r="EU162">
        <f>-25.871-(0.1023*G162)+H162*(100+102.093-66.644-64.243)</f>
        <v>19.503367047242087</v>
      </c>
      <c r="EV162">
        <f>IF(AZ162&lt;&gt;-999,AZ162*$EU162, -999)</f>
        <v>13733923.427393859</v>
      </c>
      <c r="EW162">
        <f>IF(BA162&lt;&gt;-999,BA162*$EU162, -999)</f>
        <v>3547449.5996256988</v>
      </c>
      <c r="EX162" s="23">
        <f>IF(BB162&lt;&gt;-999,BB162*$EU162, -999)</f>
        <v>17281369.780324325</v>
      </c>
      <c r="EY162">
        <f>-25.245-(0.1023*G162)+H162*(100+102.093-66.644-64.243)</f>
        <v>20.129367047242084</v>
      </c>
      <c r="EZ162">
        <f>IF(BC162&lt;&gt;-999, BC162*$EY162, -999)</f>
        <v>34556859.242871381</v>
      </c>
      <c r="FA162">
        <f>IF(BD162&lt;&gt;-999, BD162*$EY162, -999)</f>
        <v>8925978.5144366845</v>
      </c>
      <c r="FB162" s="23">
        <f>IF(BE162&lt;&gt;-999, BE162*$EY162, -999)</f>
        <v>43482837.757308066</v>
      </c>
      <c r="FC162">
        <f>-29.317-(0.1023*G162)+H162*(100+102.093-66.644-64.243)</f>
        <v>16.057367047242082</v>
      </c>
      <c r="FD162">
        <f>IF(BF162&lt;&gt;-999,BF162*$FC162, -999)</f>
        <v>20027618.312588021</v>
      </c>
      <c r="FE162">
        <f>IF(BG162&lt;&gt;-999,BG162*$FC162, -999)</f>
        <v>5173098.4756947253</v>
      </c>
      <c r="FF162" s="23">
        <f>IF(BH162&lt;&gt;-999,BH162*$FC162, -999)</f>
        <v>25200719.461327713</v>
      </c>
      <c r="FG162">
        <f>-38.03-(0.1023*G162)+H162*(100+102.093-66.644-64.243)</f>
        <v>7.3443670472420877</v>
      </c>
      <c r="FH162">
        <f>IF(BI162&lt;&gt;-999,BI162*$FG162, -999)</f>
        <v>13444303.039500304</v>
      </c>
      <c r="FI162">
        <f>IF(BJ162&lt;&gt;-999,BJ162*$FG162, -999)</f>
        <v>3472640.6403799811</v>
      </c>
      <c r="FJ162" s="23">
        <f>IF(BK162&lt;&gt;-999,BK162*$FG162, -999)</f>
        <v>16916943.679880287</v>
      </c>
      <c r="FK162" s="28">
        <f t="shared" si="102"/>
        <v>141672610.41127822</v>
      </c>
      <c r="FL162" s="22">
        <f t="shared" si="104"/>
        <v>10.012280000000011</v>
      </c>
      <c r="FM162">
        <f>IF(AT162&lt;&gt;-999,AT162*$FL162, -999)</f>
        <v>6612081.1223920025</v>
      </c>
      <c r="FN162">
        <f>IF(AU162&lt;&gt;-999,AU162*$FL162, -999)</f>
        <v>1707888.5729678862</v>
      </c>
      <c r="FO162" s="29">
        <f>IF(AV162&lt;&gt;-999,AV162*$FL162, -999)</f>
        <v>8319971.3620885974</v>
      </c>
      <c r="FP162">
        <f t="shared" si="105"/>
        <v>7.2392800000000115</v>
      </c>
      <c r="FQ162">
        <f>IF(AW162&lt;&gt;-999,AW162*$FP162, -999)</f>
        <v>3473372.9492850285</v>
      </c>
      <c r="FR162">
        <f>IF(AX162&lt;&gt;-999,AX162*$FP162, -999)</f>
        <v>897165.89391276706</v>
      </c>
      <c r="FS162" s="29">
        <f>IF(AY162&lt;&gt;-999,AY162*$FP162, -999)</f>
        <v>4370538.8431977956</v>
      </c>
      <c r="FT162">
        <f t="shared" si="106"/>
        <v>1.3112800000000142</v>
      </c>
      <c r="FU162">
        <f>IF(AZ162&lt;&gt;-999,AZ162*$FT162, -999)</f>
        <v>923380.00245038804</v>
      </c>
      <c r="FV162">
        <f>IF(BA162&lt;&gt;-999,BA162*$FT162, -999)</f>
        <v>238507.52025174134</v>
      </c>
      <c r="FW162" s="29">
        <f>IF(BB162&lt;&gt;-999,BB162*$FT162, -999)</f>
        <v>1161887.3044153834</v>
      </c>
      <c r="FX162">
        <f t="shared" si="107"/>
        <v>1.9372800000000119</v>
      </c>
      <c r="FY162">
        <f>IF(BC162&lt;&gt;-999, BC162*$FX162, -999)</f>
        <v>3325803.1470593391</v>
      </c>
      <c r="FZ162">
        <f>IF(BD162&lt;&gt;-999, BD162*$FX162, -999)</f>
        <v>859049.34893703926</v>
      </c>
      <c r="GA162" s="29">
        <f>IF(BE162&lt;&gt;-999, BE162*$FX162, -999)</f>
        <v>4184852.4959963784</v>
      </c>
      <c r="GB162">
        <f t="shared" si="108"/>
        <v>-2.1347199999999873</v>
      </c>
      <c r="GC162">
        <f>IF(BF162&lt;&gt;-999,BF162*$GB162, -999)</f>
        <v>-2662538.4621565784</v>
      </c>
      <c r="GD162">
        <f>IF(BG162&lt;&gt;-999,BG162*$GB162, -999)</f>
        <v>-687728.98729568988</v>
      </c>
      <c r="GE162" s="29">
        <f>IF(BH162&lt;&gt;-999,BH162*$GB162, -999)</f>
        <v>-3350267.8048157925</v>
      </c>
      <c r="GF162">
        <f t="shared" si="109"/>
        <v>-10.847719999999988</v>
      </c>
      <c r="GG162">
        <f>IF(BI162&lt;&gt;-999,BI162*$GF162, -999)</f>
        <v>-19857400.103990316</v>
      </c>
      <c r="GH162">
        <f>IF(BJ162&lt;&gt;-999,BJ162*$GF162, -999)</f>
        <v>-5129132.7196954824</v>
      </c>
      <c r="GI162" s="29">
        <f>IF(BK162&lt;&gt;-999,BK162*$GF162, -999)</f>
        <v>-24986532.823685803</v>
      </c>
      <c r="GJ162" s="30">
        <f t="shared" si="103"/>
        <v>-10299550.622803438</v>
      </c>
    </row>
    <row r="163" spans="1:192">
      <c r="A163" s="48" t="s">
        <v>161</v>
      </c>
      <c r="B163" s="48" t="s">
        <v>292</v>
      </c>
      <c r="C163" s="49">
        <v>70</v>
      </c>
      <c r="D163" s="50">
        <v>0.435</v>
      </c>
      <c r="E163" s="49">
        <v>206.17720597878099</v>
      </c>
      <c r="F163" s="49">
        <v>0.77930815967787403</v>
      </c>
      <c r="G163" s="49">
        <v>183.444774719533</v>
      </c>
      <c r="H163" s="49">
        <v>0.80984384643029295</v>
      </c>
      <c r="I163" s="42">
        <v>18123</v>
      </c>
      <c r="J163" s="43">
        <v>-999</v>
      </c>
      <c r="K163" s="43">
        <f t="shared" si="78"/>
        <v>18123</v>
      </c>
      <c r="L163" s="43">
        <v>33938.199999999997</v>
      </c>
      <c r="M163" s="43">
        <v>-999</v>
      </c>
      <c r="N163" s="43">
        <f t="shared" si="79"/>
        <v>33938.199999999997</v>
      </c>
      <c r="O163" s="43">
        <v>51484.9</v>
      </c>
      <c r="P163" s="43">
        <v>-999</v>
      </c>
      <c r="Q163" s="43">
        <f t="shared" si="80"/>
        <v>51484.9</v>
      </c>
      <c r="R163" s="43">
        <v>77027.199999999997</v>
      </c>
      <c r="S163" s="43">
        <v>-999</v>
      </c>
      <c r="T163" s="43">
        <f t="shared" si="81"/>
        <v>77027.199999999997</v>
      </c>
      <c r="U163" s="43">
        <v>144245.79999999999</v>
      </c>
      <c r="V163" s="43">
        <v>-999</v>
      </c>
      <c r="W163" s="43">
        <f t="shared" si="82"/>
        <v>144245.79999999999</v>
      </c>
      <c r="X163" s="43">
        <v>218823.6</v>
      </c>
      <c r="Y163" s="43">
        <v>-999</v>
      </c>
      <c r="Z163" s="43">
        <f t="shared" si="83"/>
        <v>218823.6</v>
      </c>
      <c r="AA163" s="22">
        <v>477590.3</v>
      </c>
      <c r="AB163">
        <v>-999</v>
      </c>
      <c r="AC163">
        <v>477590.3</v>
      </c>
      <c r="AD163">
        <v>894364.6</v>
      </c>
      <c r="AE163">
        <v>-999</v>
      </c>
      <c r="AF163">
        <v>894364.6</v>
      </c>
      <c r="AG163">
        <v>1356767.4</v>
      </c>
      <c r="AH163">
        <v>-999</v>
      </c>
      <c r="AI163">
        <v>1356767.4</v>
      </c>
      <c r="AJ163">
        <v>2029877.9</v>
      </c>
      <c r="AK163">
        <v>-999</v>
      </c>
      <c r="AL163">
        <v>2029877.9</v>
      </c>
      <c r="AM163">
        <v>3801272.4</v>
      </c>
      <c r="AN163">
        <v>-999</v>
      </c>
      <c r="AO163">
        <v>3801272.4</v>
      </c>
      <c r="AP163">
        <v>5766599.5999999996</v>
      </c>
      <c r="AQ163">
        <v>-999</v>
      </c>
      <c r="AR163">
        <v>5766599.5999999996</v>
      </c>
      <c r="AS163">
        <v>14326472.09</v>
      </c>
      <c r="AT163" s="22">
        <f t="shared" si="111"/>
        <v>795037.1578205924</v>
      </c>
      <c r="AU163">
        <f t="shared" si="111"/>
        <v>-999</v>
      </c>
      <c r="AV163">
        <f t="shared" si="111"/>
        <v>795037.1578205924</v>
      </c>
      <c r="AW163">
        <f t="shared" si="111"/>
        <v>1488834.8646095849</v>
      </c>
      <c r="AX163">
        <f t="shared" si="111"/>
        <v>-999</v>
      </c>
      <c r="AY163">
        <f t="shared" si="111"/>
        <v>1488834.8646095849</v>
      </c>
      <c r="AZ163">
        <f t="shared" si="111"/>
        <v>2258589.6269661151</v>
      </c>
      <c r="BA163">
        <f t="shared" si="111"/>
        <v>-999</v>
      </c>
      <c r="BB163">
        <f t="shared" si="111"/>
        <v>2258589.6269661151</v>
      </c>
      <c r="BC163">
        <f t="shared" si="111"/>
        <v>3379106.2262756024</v>
      </c>
      <c r="BD163">
        <f t="shared" si="110"/>
        <v>-999</v>
      </c>
      <c r="BE163">
        <f t="shared" si="110"/>
        <v>3379106.2262756024</v>
      </c>
      <c r="BF163">
        <f t="shared" si="110"/>
        <v>6327919.1495259898</v>
      </c>
      <c r="BG163">
        <f t="shared" si="110"/>
        <v>-999</v>
      </c>
      <c r="BH163">
        <f t="shared" si="110"/>
        <v>6327919.1495259898</v>
      </c>
      <c r="BI163">
        <f t="shared" si="110"/>
        <v>9599568.8276612088</v>
      </c>
      <c r="BJ163">
        <f t="shared" si="110"/>
        <v>-999</v>
      </c>
      <c r="BK163">
        <f t="shared" si="110"/>
        <v>9599568.8276612088</v>
      </c>
      <c r="BL163">
        <f t="shared" si="110"/>
        <v>23849055.669743802</v>
      </c>
      <c r="BM163" s="22">
        <f>-17.17-(0.1023*E163)+F163*(100-8.576-13.681)</f>
        <v>22.323826086207674</v>
      </c>
      <c r="BN163">
        <f>IF(AT163&lt;&gt;-999,AT163*$BM163, -999)</f>
        <v>17748271.243259747</v>
      </c>
      <c r="BO163">
        <f>IF(AU163&lt;&gt;-999,AU163*$BM163, -999)</f>
        <v>-999</v>
      </c>
      <c r="BP163" s="25">
        <f>IF(AV163&lt;&gt;-999,AV163*$BM163, -999)</f>
        <v>17748271.243259747</v>
      </c>
      <c r="BQ163">
        <f>-19.943-(0.1023*E163)+F163*(100-8.576-13.681)</f>
        <v>19.550826086207671</v>
      </c>
      <c r="BR163">
        <f>IF(AW163&lt;&gt;-999,AW163*$BQ163, -999)</f>
        <v>29107951.50906454</v>
      </c>
      <c r="BS163">
        <f>IF(AX163&lt;&gt;-999,AX163*$BQ163, -999)</f>
        <v>-999</v>
      </c>
      <c r="BT163" s="25">
        <f>IF(AY163&lt;&gt;-999,AY163*$BQ163, -999)</f>
        <v>29107951.50906454</v>
      </c>
      <c r="BU163">
        <f>-25.871-(0.1023*E163)+F163*(100-8.576-13.681)</f>
        <v>13.622826086207674</v>
      </c>
      <c r="BV163">
        <f>IF(AZ163&lt;&gt;-999,AZ163*$BU163, -999)</f>
        <v>30768373.688272052</v>
      </c>
      <c r="BW163">
        <f>IF(BA163&lt;&gt;-999,BA163*$BU163, -999)</f>
        <v>-999</v>
      </c>
      <c r="BX163" s="25">
        <f>IF(BB163&lt;&gt;-999,BB163*$BU163, -999)</f>
        <v>30768373.688272052</v>
      </c>
      <c r="BY163">
        <f>-25.245-(0.1023*E163)+F163*(100-8.576-13.681)</f>
        <v>14.248826086207671</v>
      </c>
      <c r="BZ163">
        <f>IF(BC163&lt;&gt;-999,BC163*$BY163, -999)</f>
        <v>48148296.945022568</v>
      </c>
      <c r="CA163">
        <f>IF(BD163&lt;&gt;-999,BD163*$BY163, -999)</f>
        <v>-999</v>
      </c>
      <c r="CB163" s="25">
        <f>IF(BE163&lt;&gt;-999,BE163*$BY163, -999)</f>
        <v>48148296.945022568</v>
      </c>
      <c r="CC163">
        <f>-29.317-(0.1023*E163)+F163*(100-8.576-13.681)</f>
        <v>10.176826086207669</v>
      </c>
      <c r="CD163">
        <f>IF(BF163&lt;&gt;-999,BF163*$CC163, -999)</f>
        <v>64398132.672309138</v>
      </c>
      <c r="CE163">
        <f>IF(BG163&lt;&gt;-999,BG163*$CC163, -999)</f>
        <v>-999</v>
      </c>
      <c r="CF163" s="25">
        <f>IF(BH163&lt;&gt;-999,BH163*$CC163, -999)</f>
        <v>64398132.672309138</v>
      </c>
      <c r="CG163">
        <f>-38.03-(0.1023*E163)+F163*(100-8.576-13.681)</f>
        <v>1.4638260862076748</v>
      </c>
      <c r="CH163">
        <f>IF(BI163&lt;&gt;-999,BI163*$CG163, -999)</f>
        <v>14052099.266276505</v>
      </c>
      <c r="CI163">
        <f>IF(BJ163&lt;&gt;-999,BJ163*$CG163, -999)</f>
        <v>-999</v>
      </c>
      <c r="CJ163" s="25">
        <f>IF(BK163&lt;&gt;-999,BK163*$CG163, -999)</f>
        <v>14052099.266276505</v>
      </c>
      <c r="CK163" s="26">
        <f t="shared" si="84"/>
        <v>204223125.32420456</v>
      </c>
      <c r="CL163">
        <f t="shared" si="85"/>
        <v>-22.312110944157929</v>
      </c>
      <c r="CM163">
        <f t="shared" si="86"/>
        <v>36.002433098066177</v>
      </c>
      <c r="CN163">
        <f t="shared" si="87"/>
        <v>-79.619351276993839</v>
      </c>
      <c r="CO163" s="22">
        <f t="shared" si="88"/>
        <v>-40.08</v>
      </c>
      <c r="CP163">
        <f>IF(AT163&lt;&gt;-999,AT163*$CO163, -999)</f>
        <v>-31865089.285449341</v>
      </c>
      <c r="CQ163">
        <f>IF(AU163&lt;&gt;-999,AU163*$CO163, -999)</f>
        <v>-999</v>
      </c>
      <c r="CR163" s="27">
        <f>IF(AV163&lt;&gt;-999,AV163*$CO163, -999)</f>
        <v>-31865089.285449341</v>
      </c>
      <c r="CS163">
        <f t="shared" si="89"/>
        <v>-42.853000000000002</v>
      </c>
      <c r="CT163">
        <f>IF(AW163&lt;&gt;-999,AW163*$CS163, -999)</f>
        <v>-63801040.453114547</v>
      </c>
      <c r="CU163">
        <f>IF(AX163&lt;&gt;-999,AX163*$CS163, -999)</f>
        <v>-999</v>
      </c>
      <c r="CV163" s="27">
        <f>IF(AY163&lt;&gt;-999,AY163*$CS163, -999)</f>
        <v>-63801040.453114547</v>
      </c>
      <c r="CW163">
        <f t="shared" si="90"/>
        <v>-48.780999999999999</v>
      </c>
      <c r="CX163">
        <f>IF(AZ163&lt;&gt;-999,AZ163*$CO163, -999)</f>
        <v>-90524272.248801887</v>
      </c>
      <c r="CY163">
        <f>IF(BA163&lt;&gt;-999,BA163*$CO163, -999)</f>
        <v>-999</v>
      </c>
      <c r="CZ163" s="27">
        <f>IF(BB163&lt;&gt;-999,BB163*$CO163, -999)</f>
        <v>-90524272.248801887</v>
      </c>
      <c r="DA163">
        <f t="shared" si="91"/>
        <v>-48.155000000000001</v>
      </c>
      <c r="DB163">
        <f>IF(BC163&lt;&gt;-999,BC163*$DA163, -999)</f>
        <v>-162720860.32630163</v>
      </c>
      <c r="DC163">
        <f>IF(BD163&lt;&gt;-999,BD163*$DA163, -999)</f>
        <v>-999</v>
      </c>
      <c r="DD163" s="27">
        <f>IF(BE163&lt;&gt;-999,BE163*$DA163, -999)</f>
        <v>-162720860.32630163</v>
      </c>
      <c r="DE163">
        <f t="shared" si="92"/>
        <v>-52.227000000000004</v>
      </c>
      <c r="DF163">
        <f>IF(BF163&lt;&gt;-999,BF163*$DE163, -999)</f>
        <v>-330488233.4222939</v>
      </c>
      <c r="DG163">
        <f>IF(BG163&lt;&gt;-999,BG163*$DE163, -999)</f>
        <v>-999</v>
      </c>
      <c r="DH163" s="27">
        <f>IF(BH163&lt;&gt;-999,BH163*$DE163, -999)</f>
        <v>-330488233.4222939</v>
      </c>
      <c r="DI163">
        <f t="shared" si="93"/>
        <v>-60.94</v>
      </c>
      <c r="DJ163">
        <f>IF(BI163&lt;&gt;-999,BI163*$DI163, -999)</f>
        <v>-584997724.357674</v>
      </c>
      <c r="DK163">
        <f>IF(BJ163&lt;&gt;-999,BJ163*$DI163, -999)</f>
        <v>-999</v>
      </c>
      <c r="DL163" s="27">
        <f>IF(BK163&lt;&gt;-999,BK163*$DI163, -999)</f>
        <v>-584997724.357674</v>
      </c>
      <c r="DM163" s="28">
        <f t="shared" si="94"/>
        <v>-1264397220.0936353</v>
      </c>
      <c r="DN163" s="22">
        <f t="shared" si="95"/>
        <v>-17.170000000000002</v>
      </c>
      <c r="DO163">
        <f>IF(AT163&lt;&gt;-999,AT163*$DN163, -999)</f>
        <v>-13650787.999779573</v>
      </c>
      <c r="DP163">
        <f>IF(AU163&lt;&gt;-999,AU163*$DN163, -999)</f>
        <v>-999</v>
      </c>
      <c r="DQ163" s="24">
        <f>IF(AV163&lt;&gt;-999,AV163*$DN163, -999)</f>
        <v>-13650787.999779573</v>
      </c>
      <c r="DR163">
        <f t="shared" si="96"/>
        <v>-19.943000000000001</v>
      </c>
      <c r="DS163">
        <f>IF(AW163&lt;&gt;-999,AW163*$DR163, -999)</f>
        <v>-29691833.704908952</v>
      </c>
      <c r="DT163">
        <f>IF(AX163&lt;&gt;-999,AX163*$DR163, -999)</f>
        <v>-999</v>
      </c>
      <c r="DU163" s="24">
        <f>IF(AY163&lt;&gt;-999,AY163*$DR163, -999)</f>
        <v>-29691833.704908952</v>
      </c>
      <c r="DV163">
        <f t="shared" si="97"/>
        <v>-25.870999999999999</v>
      </c>
      <c r="DW163">
        <f>IF(AZ163&lt;&gt;-999,AZ163*$DV163, -999)</f>
        <v>-58431972.239240363</v>
      </c>
      <c r="DX163">
        <f>IF(BA163&lt;&gt;-999,BA163*$DV163, -999)</f>
        <v>-999</v>
      </c>
      <c r="DY163" s="24">
        <f>IF(BB163&lt;&gt;-999,BB163*$DV163, -999)</f>
        <v>-58431972.239240363</v>
      </c>
      <c r="DZ163">
        <f t="shared" si="98"/>
        <v>-25.245000000000001</v>
      </c>
      <c r="EA163">
        <f>IF(BC163&lt;&gt;-999, BC163*$DZ163, -999)</f>
        <v>-85305536.682327583</v>
      </c>
      <c r="EB163">
        <f>IF(BD163&lt;&gt;-999, BD163*$DZ163, -999)</f>
        <v>-999</v>
      </c>
      <c r="EC163" s="24">
        <f>IF(BE163&lt;&gt;-999, BE163*$DZ163, -999)</f>
        <v>-85305536.682327583</v>
      </c>
      <c r="ED163">
        <f t="shared" si="99"/>
        <v>-29.317</v>
      </c>
      <c r="EE163">
        <f>IF(BF163&lt;&gt;-999,BF163*$ED163, -999)</f>
        <v>-185515605.70665345</v>
      </c>
      <c r="EF163">
        <f>IF(BG163&lt;&gt;-999,BG163*$ED163, -999)</f>
        <v>-999</v>
      </c>
      <c r="EG163" s="24">
        <f>IF(BH163&lt;&gt;-999,BH163*$ED163, -999)</f>
        <v>-185515605.70665345</v>
      </c>
      <c r="EH163">
        <f t="shared" si="100"/>
        <v>-38.03</v>
      </c>
      <c r="EI163">
        <f>IF(BI163&lt;&gt;-999,BI163*$EH163, -999)</f>
        <v>-365071602.51595581</v>
      </c>
      <c r="EJ163">
        <f>IF(BJ163&lt;&gt;-999,BJ163*$EH163, -999)</f>
        <v>-999</v>
      </c>
      <c r="EK163" s="24">
        <f>IF(BK163&lt;&gt;-999,BK163*$EH163, -999)</f>
        <v>-365071602.51595581</v>
      </c>
      <c r="EL163" s="28">
        <f t="shared" si="101"/>
        <v>-737667338.84886575</v>
      </c>
      <c r="EM163" s="22">
        <f>-17.17-(0.1023*G163)+H163*(100+102.093-66.644-64.243)</f>
        <v>21.729340475107222</v>
      </c>
      <c r="EN163">
        <f>IF(AT163&lt;&gt;-999,AT163*$EM163, -999)</f>
        <v>17275633.092645206</v>
      </c>
      <c r="EO163">
        <f>IF(AU163&lt;&gt;-999,AU163*$EM163, -999)</f>
        <v>-999</v>
      </c>
      <c r="EP163" s="23">
        <f>IF(AV163&lt;&gt;-999,AV163*$EM163, -999)</f>
        <v>17275633.092645206</v>
      </c>
      <c r="EQ163">
        <f>-19.943-(0.1023*G163)+H163*(100+102.093-66.644-64.243)</f>
        <v>18.956340475107226</v>
      </c>
      <c r="ER163">
        <f>IF(AW163&lt;&gt;-999,AW163*$EQ163, -999)</f>
        <v>28222860.60474946</v>
      </c>
      <c r="ES163">
        <f>IF(AX163&lt;&gt;-999,AX163*$EQ163, -999)</f>
        <v>-999</v>
      </c>
      <c r="ET163" s="23">
        <f>IF(AY163&lt;&gt;-999,AY163*$EQ163, -999)</f>
        <v>28222860.60474946</v>
      </c>
      <c r="EU163">
        <f>-25.871-(0.1023*G163)+H163*(100+102.093-66.644-64.243)</f>
        <v>13.028340475107228</v>
      </c>
      <c r="EV163">
        <f>IF(AZ163&lt;&gt;-999,AZ163*$EU163, -999)</f>
        <v>29425674.653659973</v>
      </c>
      <c r="EW163">
        <f>IF(BA163&lt;&gt;-999,BA163*$EU163, -999)</f>
        <v>-999</v>
      </c>
      <c r="EX163" s="23">
        <f>IF(BB163&lt;&gt;-999,BB163*$EU163, -999)</f>
        <v>29425674.653659973</v>
      </c>
      <c r="EY163">
        <f>-25.245-(0.1023*G163)+H163*(100+102.093-66.644-64.243)</f>
        <v>13.654340475107226</v>
      </c>
      <c r="EZ163">
        <f>IF(BC163&lt;&gt;-999, BC163*$EY163, -999)</f>
        <v>46139466.915121794</v>
      </c>
      <c r="FA163">
        <f>IF(BD163&lt;&gt;-999, BD163*$EY163, -999)</f>
        <v>-999</v>
      </c>
      <c r="FB163" s="23">
        <f>IF(BE163&lt;&gt;-999, BE163*$EY163, -999)</f>
        <v>46139466.915121794</v>
      </c>
      <c r="FC163">
        <f>-29.317-(0.1023*G163)+H163*(100+102.093-66.644-64.243)</f>
        <v>9.5823404751072303</v>
      </c>
      <c r="FD163">
        <f>IF(BF163&lt;&gt;-999,BF163*$FC163, -999)</f>
        <v>60636275.789709017</v>
      </c>
      <c r="FE163">
        <f>IF(BG163&lt;&gt;-999,BG163*$FC163, -999)</f>
        <v>-999</v>
      </c>
      <c r="FF163" s="23">
        <f>IF(BH163&lt;&gt;-999,BH163*$FC163, -999)</f>
        <v>60636275.789709017</v>
      </c>
      <c r="FG163">
        <f>-38.03-(0.1023*G163)+H163*(100+102.093-66.644-64.243)</f>
        <v>0.86934047510722223</v>
      </c>
      <c r="FH163">
        <f>IF(BI163&lt;&gt;-999,BI163*$FG163, -999)</f>
        <v>8345293.725463476</v>
      </c>
      <c r="FI163">
        <f>IF(BJ163&lt;&gt;-999,BJ163*$FG163, -999)</f>
        <v>-999</v>
      </c>
      <c r="FJ163" s="23">
        <f>IF(BK163&lt;&gt;-999,BK163*$FG163, -999)</f>
        <v>8345293.725463476</v>
      </c>
      <c r="FK163" s="28">
        <f t="shared" si="102"/>
        <v>190045204.78134891</v>
      </c>
      <c r="FL163" s="22">
        <f t="shared" si="104"/>
        <v>10.012280000000011</v>
      </c>
      <c r="FM163">
        <f>IF(AT163&lt;&gt;-999,AT163*$FL163, -999)</f>
        <v>7960134.6345039699</v>
      </c>
      <c r="FN163">
        <f>IF(AU163&lt;&gt;-999,AU163*$FL163, -999)</f>
        <v>-999</v>
      </c>
      <c r="FO163" s="29">
        <f>IF(AV163&lt;&gt;-999,AV163*$FL163, -999)</f>
        <v>7960134.6345039699</v>
      </c>
      <c r="FP163">
        <f t="shared" si="105"/>
        <v>7.2392800000000115</v>
      </c>
      <c r="FQ163">
        <f>IF(AW163&lt;&gt;-999,AW163*$FP163, -999)</f>
        <v>10778092.458670894</v>
      </c>
      <c r="FR163">
        <f>IF(AX163&lt;&gt;-999,AX163*$FP163, -999)</f>
        <v>-999</v>
      </c>
      <c r="FS163" s="29">
        <f>IF(AY163&lt;&gt;-999,AY163*$FP163, -999)</f>
        <v>10778092.458670894</v>
      </c>
      <c r="FT163">
        <f t="shared" si="106"/>
        <v>1.3112800000000142</v>
      </c>
      <c r="FU163">
        <f>IF(AZ163&lt;&gt;-999,AZ163*$FT163, -999)</f>
        <v>2961643.4060481596</v>
      </c>
      <c r="FV163">
        <f>IF(BA163&lt;&gt;-999,BA163*$FT163, -999)</f>
        <v>-999</v>
      </c>
      <c r="FW163" s="29">
        <f>IF(BB163&lt;&gt;-999,BB163*$FT163, -999)</f>
        <v>2961643.4060481596</v>
      </c>
      <c r="FX163">
        <f t="shared" si="107"/>
        <v>1.9372800000000119</v>
      </c>
      <c r="FY163">
        <f>IF(BC163&lt;&gt;-999, BC163*$FX163, -999)</f>
        <v>6546274.9100392386</v>
      </c>
      <c r="FZ163">
        <f>IF(BD163&lt;&gt;-999, BD163*$FX163, -999)</f>
        <v>-999</v>
      </c>
      <c r="GA163" s="29">
        <f>IF(BE163&lt;&gt;-999, BE163*$FX163, -999)</f>
        <v>6546274.9100392386</v>
      </c>
      <c r="GB163">
        <f t="shared" si="108"/>
        <v>-2.1347199999999873</v>
      </c>
      <c r="GC163">
        <f>IF(BF163&lt;&gt;-999,BF163*$GB163, -999)</f>
        <v>-13508335.566876041</v>
      </c>
      <c r="GD163">
        <f>IF(BG163&lt;&gt;-999,BG163*$GB163, -999)</f>
        <v>-999</v>
      </c>
      <c r="GE163" s="29">
        <f>IF(BH163&lt;&gt;-999,BH163*$GB163, -999)</f>
        <v>-13508335.566876041</v>
      </c>
      <c r="GF163">
        <f t="shared" si="109"/>
        <v>-10.847719999999988</v>
      </c>
      <c r="GG163">
        <f>IF(BI163&lt;&gt;-999,BI163*$GF163, -999)</f>
        <v>-104133434.76319693</v>
      </c>
      <c r="GH163">
        <f>IF(BJ163&lt;&gt;-999,BJ163*$GF163, -999)</f>
        <v>-999</v>
      </c>
      <c r="GI163" s="29">
        <f>IF(BK163&lt;&gt;-999,BK163*$GF163, -999)</f>
        <v>-104133434.76319693</v>
      </c>
      <c r="GJ163" s="30">
        <f t="shared" si="103"/>
        <v>-89395624.920810714</v>
      </c>
    </row>
    <row r="164" spans="1:192">
      <c r="A164" s="48" t="s">
        <v>178</v>
      </c>
      <c r="B164" s="48" t="s">
        <v>293</v>
      </c>
      <c r="C164" s="49">
        <v>156</v>
      </c>
      <c r="D164" s="50">
        <v>0.434</v>
      </c>
      <c r="E164" s="49">
        <v>192.749769316553</v>
      </c>
      <c r="F164" s="49">
        <v>0.73408016677565602</v>
      </c>
      <c r="G164" s="49">
        <v>183.7826561848</v>
      </c>
      <c r="H164" s="49">
        <v>0.81043324496773805</v>
      </c>
      <c r="I164" s="42">
        <v>28574.2</v>
      </c>
      <c r="J164" s="43">
        <v>127814.8</v>
      </c>
      <c r="K164" s="43">
        <f t="shared" si="78"/>
        <v>156389</v>
      </c>
      <c r="L164" s="43">
        <v>13796.5</v>
      </c>
      <c r="M164" s="43">
        <v>61712.7</v>
      </c>
      <c r="N164" s="43">
        <f t="shared" si="79"/>
        <v>75509.2</v>
      </c>
      <c r="O164" s="43">
        <v>35030.699999999997</v>
      </c>
      <c r="P164" s="43">
        <v>156695</v>
      </c>
      <c r="Q164" s="43">
        <f t="shared" si="80"/>
        <v>191725.7</v>
      </c>
      <c r="R164" s="43">
        <v>51167.199999999997</v>
      </c>
      <c r="S164" s="43">
        <v>228875.1</v>
      </c>
      <c r="T164" s="43">
        <f t="shared" si="81"/>
        <v>280042.3</v>
      </c>
      <c r="U164" s="43">
        <v>24705</v>
      </c>
      <c r="V164" s="43">
        <v>110507.6</v>
      </c>
      <c r="W164" s="43">
        <f t="shared" si="82"/>
        <v>135212.6</v>
      </c>
      <c r="X164" s="43">
        <v>62728.6</v>
      </c>
      <c r="Y164" s="43">
        <v>280590.2</v>
      </c>
      <c r="Z164" s="43">
        <f t="shared" si="83"/>
        <v>343318.8</v>
      </c>
      <c r="AA164" s="22">
        <v>1471175.4</v>
      </c>
      <c r="AB164">
        <v>7165952</v>
      </c>
      <c r="AC164">
        <v>8637127.4000000004</v>
      </c>
      <c r="AD164">
        <v>710326.6</v>
      </c>
      <c r="AE164">
        <v>3459931.5</v>
      </c>
      <c r="AF164">
        <v>4170258</v>
      </c>
      <c r="AG164">
        <v>1803592.9</v>
      </c>
      <c r="AH164">
        <v>8785125.3000000007</v>
      </c>
      <c r="AI164">
        <v>10588718.199999999</v>
      </c>
      <c r="AJ164">
        <v>2634400.7000000002</v>
      </c>
      <c r="AK164">
        <v>12831908.699999999</v>
      </c>
      <c r="AL164">
        <v>15466309.300000001</v>
      </c>
      <c r="AM164">
        <v>1271965.8</v>
      </c>
      <c r="AN164">
        <v>6195621.2999999998</v>
      </c>
      <c r="AO164">
        <v>7467587.0999999996</v>
      </c>
      <c r="AP164">
        <v>3229653.2</v>
      </c>
      <c r="AQ164">
        <v>15731325.800000001</v>
      </c>
      <c r="AR164">
        <v>18960979</v>
      </c>
      <c r="AS164">
        <v>65290979.060000002</v>
      </c>
      <c r="AT164" s="22">
        <f t="shared" si="111"/>
        <v>2449042.8483819147</v>
      </c>
      <c r="AU164">
        <f t="shared" si="111"/>
        <v>11929049.0429952</v>
      </c>
      <c r="AV164">
        <f t="shared" si="111"/>
        <v>14378091.891377116</v>
      </c>
      <c r="AW164">
        <f t="shared" si="111"/>
        <v>1182469.6631995351</v>
      </c>
      <c r="AX164">
        <f t="shared" si="111"/>
        <v>5759694.2526134625</v>
      </c>
      <c r="AY164">
        <f t="shared" si="111"/>
        <v>6942163.7493445501</v>
      </c>
      <c r="AZ164">
        <f t="shared" si="111"/>
        <v>3002413.0998502276</v>
      </c>
      <c r="BA164">
        <f t="shared" si="111"/>
        <v>14624461.69783972</v>
      </c>
      <c r="BB164">
        <f t="shared" si="111"/>
        <v>17626874.797689945</v>
      </c>
      <c r="BC164">
        <f t="shared" si="111"/>
        <v>4385445.9462191323</v>
      </c>
      <c r="BD164">
        <f t="shared" si="110"/>
        <v>21361079.197507434</v>
      </c>
      <c r="BE164">
        <f t="shared" si="110"/>
        <v>25746524.97725812</v>
      </c>
      <c r="BF164">
        <f t="shared" si="110"/>
        <v>2117421.7199909552</v>
      </c>
      <c r="BG164">
        <f t="shared" si="110"/>
        <v>10313754.591089318</v>
      </c>
      <c r="BH164">
        <f t="shared" si="110"/>
        <v>12431176.311080271</v>
      </c>
      <c r="BI164">
        <f t="shared" si="110"/>
        <v>5376353.5416740701</v>
      </c>
      <c r="BJ164">
        <f t="shared" si="110"/>
        <v>26187693.830426957</v>
      </c>
      <c r="BK164">
        <f t="shared" si="110"/>
        <v>31564047.372101024</v>
      </c>
      <c r="BL164">
        <f t="shared" si="110"/>
        <v>108688879.19873209</v>
      </c>
      <c r="BM164" s="22">
        <f>-17.17-(0.1023*E164)+F164*(100-8.576-13.681)</f>
        <v>20.181293004556458</v>
      </c>
      <c r="BN164">
        <f>IF(AT164&lt;&gt;-999,AT164*$BM164, -999)</f>
        <v>49424851.303908959</v>
      </c>
      <c r="BO164">
        <f>IF(AU164&lt;&gt;-999,AU164*$BM164, -999)</f>
        <v>240743634.00240993</v>
      </c>
      <c r="BP164" s="25">
        <f>IF(AV164&lt;&gt;-999,AV164*$BM164, -999)</f>
        <v>290168485.30631894</v>
      </c>
      <c r="BQ164">
        <f>-19.943-(0.1023*E164)+F164*(100-8.576-13.681)</f>
        <v>17.408293004556455</v>
      </c>
      <c r="BR164">
        <f>IF(AW164&lt;&gt;-999,AW164*$BQ164, -999)</f>
        <v>20584778.365976695</v>
      </c>
      <c r="BS164">
        <f>IF(AX164&lt;&gt;-999,AX164*$BQ164, -999)</f>
        <v>100266445.16615497</v>
      </c>
      <c r="BT164" s="25">
        <f>IF(AY164&lt;&gt;-999,AY164*$BQ164, -999)</f>
        <v>120851220.63420014</v>
      </c>
      <c r="BU164">
        <f>-25.871-(0.1023*E164)+F164*(100-8.576-13.681)</f>
        <v>11.480293004556458</v>
      </c>
      <c r="BV164">
        <f>IF(AZ164&lt;&gt;-999,AZ164*$BU164, -999)</f>
        <v>34468582.106999241</v>
      </c>
      <c r="BW164">
        <f>IF(BA164&lt;&gt;-999,BA164*$BU164, -999)</f>
        <v>167893105.32511321</v>
      </c>
      <c r="BX164" s="25">
        <f>IF(BB164&lt;&gt;-999,BB164*$BU164, -999)</f>
        <v>202361687.4321124</v>
      </c>
      <c r="BY164">
        <f>-25.245-(0.1023*E164)+F164*(100-8.576-13.681)</f>
        <v>12.106293004556463</v>
      </c>
      <c r="BZ164">
        <f>IF(BC164&lt;&gt;-999,BC164*$BY164, -999)</f>
        <v>53091493.580573179</v>
      </c>
      <c r="CA164">
        <f>IF(BD164&lt;&gt;-999,BD164*$BY164, -999)</f>
        <v>258603483.65856081</v>
      </c>
      <c r="CB164" s="25">
        <f>IF(BE164&lt;&gt;-999,BE164*$BY164, -999)</f>
        <v>311694975.22381824</v>
      </c>
      <c r="CC164">
        <f>-29.317-(0.1023*E164)+F164*(100-8.576-13.681)</f>
        <v>8.03429300455646</v>
      </c>
      <c r="CD164">
        <f>IF(BF164&lt;&gt;-999,BF164*$CC164, -999)</f>
        <v>17011986.512619238</v>
      </c>
      <c r="CE164">
        <f>IF(BG164&lt;&gt;-999,BG164*$CC164, -999)</f>
        <v>82863726.36190097</v>
      </c>
      <c r="CF164" s="25">
        <f>IF(BH164&lt;&gt;-999,BH164*$CC164, -999)</f>
        <v>99875712.874520198</v>
      </c>
      <c r="CG164">
        <f>-38.03-(0.1023*E164)+F164*(100-8.576-13.681)</f>
        <v>-0.67870699544354096</v>
      </c>
      <c r="CH164">
        <f>IF(BI164&lt;&gt;-999,BI164*$CG164, -999)</f>
        <v>-3648968.7587118484</v>
      </c>
      <c r="CI164">
        <f>IF(BJ164&lt;&gt;-999,BJ164*$CG164, -999)</f>
        <v>-17773770.997244436</v>
      </c>
      <c r="CJ164" s="25">
        <f>IF(BK164&lt;&gt;-999,BK164*$CG164, -999)</f>
        <v>-21422739.755956281</v>
      </c>
      <c r="CK164" s="26">
        <f t="shared" si="84"/>
        <v>1003529341.7150137</v>
      </c>
      <c r="CL164">
        <f t="shared" si="85"/>
        <v>-26.929315382297048</v>
      </c>
      <c r="CM164">
        <f t="shared" si="86"/>
        <v>34.978092087394963</v>
      </c>
      <c r="CN164">
        <f t="shared" si="87"/>
        <v>-87.767357358233781</v>
      </c>
      <c r="CO164" s="22">
        <f t="shared" si="88"/>
        <v>-40.08</v>
      </c>
      <c r="CP164">
        <f>IF(AT164&lt;&gt;-999,AT164*$CO164, -999)</f>
        <v>-98157637.36314714</v>
      </c>
      <c r="CQ164">
        <f>IF(AU164&lt;&gt;-999,AU164*$CO164, -999)</f>
        <v>-478116285.6432476</v>
      </c>
      <c r="CR164" s="27">
        <f>IF(AV164&lt;&gt;-999,AV164*$CO164, -999)</f>
        <v>-576273923.00639474</v>
      </c>
      <c r="CS164">
        <f t="shared" si="89"/>
        <v>-42.853000000000002</v>
      </c>
      <c r="CT164">
        <f>IF(AW164&lt;&gt;-999,AW164*$CS164, -999)</f>
        <v>-50672372.477089681</v>
      </c>
      <c r="CU164">
        <f>IF(AX164&lt;&gt;-999,AX164*$CS164, -999)</f>
        <v>-246820177.80724472</v>
      </c>
      <c r="CV164" s="27">
        <f>IF(AY164&lt;&gt;-999,AY164*$CS164, -999)</f>
        <v>-297492543.150662</v>
      </c>
      <c r="CW164">
        <f t="shared" si="90"/>
        <v>-48.780999999999999</v>
      </c>
      <c r="CX164">
        <f>IF(AZ164&lt;&gt;-999,AZ164*$CO164, -999)</f>
        <v>-120336717.04199712</v>
      </c>
      <c r="CY164">
        <f>IF(BA164&lt;&gt;-999,BA164*$CO164, -999)</f>
        <v>-586148424.84941602</v>
      </c>
      <c r="CZ164" s="27">
        <f>IF(BB164&lt;&gt;-999,BB164*$CO164, -999)</f>
        <v>-706485141.89141297</v>
      </c>
      <c r="DA164">
        <f t="shared" si="91"/>
        <v>-48.155000000000001</v>
      </c>
      <c r="DB164">
        <f>IF(BC164&lt;&gt;-999,BC164*$DA164, -999)</f>
        <v>-211181149.54018232</v>
      </c>
      <c r="DC164">
        <f>IF(BD164&lt;&gt;-999,BD164*$DA164, -999)</f>
        <v>-1028642768.7559705</v>
      </c>
      <c r="DD164" s="27">
        <f>IF(BE164&lt;&gt;-999,BE164*$DA164, -999)</f>
        <v>-1239823910.2798648</v>
      </c>
      <c r="DE164">
        <f t="shared" si="92"/>
        <v>-52.227000000000004</v>
      </c>
      <c r="DF164">
        <f>IF(BF164&lt;&gt;-999,BF164*$DE164, -999)</f>
        <v>-110586584.16996762</v>
      </c>
      <c r="DG164">
        <f>IF(BG164&lt;&gt;-999,BG164*$DE164, -999)</f>
        <v>-538656461.02882183</v>
      </c>
      <c r="DH164" s="27">
        <f>IF(BH164&lt;&gt;-999,BH164*$DE164, -999)</f>
        <v>-649243045.19878936</v>
      </c>
      <c r="DI164">
        <f t="shared" si="93"/>
        <v>-60.94</v>
      </c>
      <c r="DJ164">
        <f>IF(BI164&lt;&gt;-999,BI164*$DI164, -999)</f>
        <v>-327634984.8296178</v>
      </c>
      <c r="DK164">
        <f>IF(BJ164&lt;&gt;-999,BJ164*$DI164, -999)</f>
        <v>-1595878062.0262187</v>
      </c>
      <c r="DL164" s="27">
        <f>IF(BK164&lt;&gt;-999,BK164*$DI164, -999)</f>
        <v>-1923513046.8558364</v>
      </c>
      <c r="DM164" s="28">
        <f t="shared" si="94"/>
        <v>-5392831610.3829613</v>
      </c>
      <c r="DN164" s="22">
        <f t="shared" si="95"/>
        <v>-17.170000000000002</v>
      </c>
      <c r="DO164">
        <f>IF(AT164&lt;&gt;-999,AT164*$DN164, -999)</f>
        <v>-42050065.706717476</v>
      </c>
      <c r="DP164">
        <f>IF(AU164&lt;&gt;-999,AU164*$DN164, -999)</f>
        <v>-204821772.06822759</v>
      </c>
      <c r="DQ164" s="24">
        <f>IF(AV164&lt;&gt;-999,AV164*$DN164, -999)</f>
        <v>-246871837.77494511</v>
      </c>
      <c r="DR164">
        <f t="shared" si="96"/>
        <v>-19.943000000000001</v>
      </c>
      <c r="DS164">
        <f>IF(AW164&lt;&gt;-999,AW164*$DR164, -999)</f>
        <v>-23581992.493188329</v>
      </c>
      <c r="DT164">
        <f>IF(AX164&lt;&gt;-999,AX164*$DR164, -999)</f>
        <v>-114865582.47987029</v>
      </c>
      <c r="DU164" s="24">
        <f>IF(AY164&lt;&gt;-999,AY164*$DR164, -999)</f>
        <v>-138447571.65317836</v>
      </c>
      <c r="DV164">
        <f t="shared" si="97"/>
        <v>-25.870999999999999</v>
      </c>
      <c r="DW164">
        <f>IF(AZ164&lt;&gt;-999,AZ164*$DV164, -999)</f>
        <v>-77675429.30622524</v>
      </c>
      <c r="DX164">
        <f>IF(BA164&lt;&gt;-999,BA164*$DV164, -999)</f>
        <v>-378349448.58481139</v>
      </c>
      <c r="DY164" s="24">
        <f>IF(BB164&lt;&gt;-999,BB164*$DV164, -999)</f>
        <v>-456024877.89103651</v>
      </c>
      <c r="DZ164">
        <f t="shared" si="98"/>
        <v>-25.245000000000001</v>
      </c>
      <c r="EA164">
        <f>IF(BC164&lt;&gt;-999, BC164*$DZ164, -999)</f>
        <v>-110710582.912302</v>
      </c>
      <c r="EB164">
        <f>IF(BD164&lt;&gt;-999, BD164*$DZ164, -999)</f>
        <v>-539260444.34107518</v>
      </c>
      <c r="EC164" s="24">
        <f>IF(BE164&lt;&gt;-999, BE164*$DZ164, -999)</f>
        <v>-649971023.05088127</v>
      </c>
      <c r="ED164">
        <f t="shared" si="99"/>
        <v>-29.317</v>
      </c>
      <c r="EE164">
        <f>IF(BF164&lt;&gt;-999,BF164*$ED164, -999)</f>
        <v>-62076452.564974837</v>
      </c>
      <c r="EF164">
        <f>IF(BG164&lt;&gt;-999,BG164*$ED164, -999)</f>
        <v>-302368343.34696555</v>
      </c>
      <c r="EG164" s="24">
        <f>IF(BH164&lt;&gt;-999,BH164*$ED164, -999)</f>
        <v>-364444795.91194034</v>
      </c>
      <c r="EH164">
        <f t="shared" si="100"/>
        <v>-38.03</v>
      </c>
      <c r="EI164">
        <f>IF(BI164&lt;&gt;-999,BI164*$EH164, -999)</f>
        <v>-204462725.1898649</v>
      </c>
      <c r="EJ164">
        <f>IF(BJ164&lt;&gt;-999,BJ164*$EH164, -999)</f>
        <v>-995917996.37113726</v>
      </c>
      <c r="EK164" s="24">
        <f>IF(BK164&lt;&gt;-999,BK164*$EH164, -999)</f>
        <v>-1200380721.561002</v>
      </c>
      <c r="EL164" s="28">
        <f t="shared" si="101"/>
        <v>-3056140827.8429837</v>
      </c>
      <c r="EM164" s="22">
        <f>-17.17-(0.1023*G164)+H164*(100+102.093-66.644-64.243)</f>
        <v>21.736743913467727</v>
      </c>
      <c r="EN164">
        <f>IF(AT164&lt;&gt;-999,AT164*$EM164, -999)</f>
        <v>53234217.228387251</v>
      </c>
      <c r="EO164">
        <f>IF(AU164&lt;&gt;-999,AU164*$EM164, -999)</f>
        <v>259298684.17878392</v>
      </c>
      <c r="EP164" s="23">
        <f>IF(AV164&lt;&gt;-999,AV164*$EM164, -999)</f>
        <v>312532901.40717119</v>
      </c>
      <c r="EQ164">
        <f>-19.943-(0.1023*G164)+H164*(100+102.093-66.644-64.243)</f>
        <v>18.963743913467724</v>
      </c>
      <c r="ER164">
        <f>IF(AW164&lt;&gt;-999,AW164*$EQ164, -999)</f>
        <v>22424051.878360413</v>
      </c>
      <c r="ES164">
        <f>IF(AX164&lt;&gt;-999,AX164*$EQ164, -999)</f>
        <v>109225366.82643358</v>
      </c>
      <c r="ET164" s="23">
        <f>IF(AY164&lt;&gt;-999,AY164*$EQ164, -999)</f>
        <v>131649415.54792899</v>
      </c>
      <c r="EU164">
        <f>-25.871-(0.1023*G164)+H164*(100+102.093-66.644-64.243)</f>
        <v>13.035743913467726</v>
      </c>
      <c r="EV164">
        <f>IF(AZ164&lt;&gt;-999,AZ164*$EU164, -999)</f>
        <v>39138688.292088374</v>
      </c>
      <c r="EW164">
        <f>IF(BA164&lt;&gt;-999,BA164*$EU164, -999)</f>
        <v>190640737.56535602</v>
      </c>
      <c r="EX164" s="23">
        <f>IF(BB164&lt;&gt;-999,BB164*$EU164, -999)</f>
        <v>229779425.85744435</v>
      </c>
      <c r="EY164">
        <f>-25.245-(0.1023*G164)+H164*(100+102.093-66.644-64.243)</f>
        <v>13.661743913467731</v>
      </c>
      <c r="EZ164">
        <f>IF(BC164&lt;&gt;-999, BC164*$EY164, -999)</f>
        <v>59912839.463600963</v>
      </c>
      <c r="FA164">
        <f>IF(BD164&lt;&gt;-999, BD164*$EY164, -999)</f>
        <v>291829593.71164936</v>
      </c>
      <c r="FB164" s="23">
        <f>IF(BE164&lt;&gt;-999, BE164*$EY164, -999)</f>
        <v>351742430.90100104</v>
      </c>
      <c r="FC164">
        <f>-29.317-(0.1023*G164)+H164*(100+102.093-66.644-64.243)</f>
        <v>9.5897439134677285</v>
      </c>
      <c r="FD164">
        <f>IF(BF164&lt;&gt;-999,BF164*$FC164, -999)</f>
        <v>20305532.051527631</v>
      </c>
      <c r="FE164">
        <f>IF(BG164&lt;&gt;-999,BG164*$FC164, -999)</f>
        <v>98906265.314898625</v>
      </c>
      <c r="FF164" s="23">
        <f>IF(BH164&lt;&gt;-999,BH164*$FC164, -999)</f>
        <v>119211797.36642624</v>
      </c>
      <c r="FG164">
        <f>-38.03-(0.1023*G164)+H164*(100+102.093-66.644-64.243)</f>
        <v>0.87674391346772751</v>
      </c>
      <c r="FH164">
        <f>IF(BI164&lt;&gt;-999,BI164*$FG164, -999)</f>
        <v>4713685.2443134012</v>
      </c>
      <c r="FI164">
        <f>IF(BJ164&lt;&gt;-999,BJ164*$FG164, -999)</f>
        <v>22959901.173583195</v>
      </c>
      <c r="FJ164" s="23">
        <f>IF(BK164&lt;&gt;-999,BK164*$FG164, -999)</f>
        <v>27673586.417896591</v>
      </c>
      <c r="FK164" s="28">
        <f t="shared" si="102"/>
        <v>1172589557.4978683</v>
      </c>
      <c r="FL164" s="22">
        <f t="shared" si="104"/>
        <v>10.012280000000011</v>
      </c>
      <c r="FM164">
        <f>IF(AT164&lt;&gt;-999,AT164*$FL164, -999)</f>
        <v>24520502.729997303</v>
      </c>
      <c r="FN164">
        <f>IF(AU164&lt;&gt;-999,AU164*$FL164, -999)</f>
        <v>119436979.1522001</v>
      </c>
      <c r="FO164" s="29">
        <f>IF(AV164&lt;&gt;-999,AV164*$FL164, -999)</f>
        <v>143957481.88219744</v>
      </c>
      <c r="FP164">
        <f t="shared" si="105"/>
        <v>7.2392800000000115</v>
      </c>
      <c r="FQ164">
        <f>IF(AW164&lt;&gt;-999,AW164*$FP164, -999)</f>
        <v>8560228.9834071435</v>
      </c>
      <c r="FR164">
        <f>IF(AX164&lt;&gt;-999,AX164*$FP164, -999)</f>
        <v>41696039.409059651</v>
      </c>
      <c r="FS164" s="29">
        <f>IF(AY164&lt;&gt;-999,AY164*$FP164, -999)</f>
        <v>50256267.187355094</v>
      </c>
      <c r="FT164">
        <f t="shared" si="106"/>
        <v>1.3112800000000142</v>
      </c>
      <c r="FU164">
        <f>IF(AZ164&lt;&gt;-999,AZ164*$FT164, -999)</f>
        <v>3937004.2495716489</v>
      </c>
      <c r="FV164">
        <f>IF(BA164&lt;&gt;-999,BA164*$FT164, -999)</f>
        <v>19176764.135143477</v>
      </c>
      <c r="FW164" s="29">
        <f>IF(BB164&lt;&gt;-999,BB164*$FT164, -999)</f>
        <v>23113768.384715121</v>
      </c>
      <c r="FX164">
        <f t="shared" si="107"/>
        <v>1.9372800000000119</v>
      </c>
      <c r="FY164">
        <f>IF(BC164&lt;&gt;-999, BC164*$FX164, -999)</f>
        <v>8495836.7226914521</v>
      </c>
      <c r="FZ164">
        <f>IF(BD164&lt;&gt;-999, BD164*$FX164, -999)</f>
        <v>41382391.507747456</v>
      </c>
      <c r="GA164" s="29">
        <f>IF(BE164&lt;&gt;-999, BE164*$FX164, -999)</f>
        <v>49878227.907942913</v>
      </c>
      <c r="GB164">
        <f t="shared" si="108"/>
        <v>-2.1347199999999873</v>
      </c>
      <c r="GC164">
        <f>IF(BF164&lt;&gt;-999,BF164*$GB164, -999)</f>
        <v>-4520102.4940990647</v>
      </c>
      <c r="GD164">
        <f>IF(BG164&lt;&gt;-999,BG164*$GB164, -999)</f>
        <v>-22016978.200690057</v>
      </c>
      <c r="GE164" s="29">
        <f>IF(BH164&lt;&gt;-999,BH164*$GB164, -999)</f>
        <v>-26537080.694789119</v>
      </c>
      <c r="GF164">
        <f t="shared" si="109"/>
        <v>-10.847719999999988</v>
      </c>
      <c r="GG164">
        <f>IF(BI164&lt;&gt;-999,BI164*$GF164, -999)</f>
        <v>-58321177.841088578</v>
      </c>
      <c r="GH164">
        <f>IF(BJ164&lt;&gt;-999,BJ164*$GF164, -999)</f>
        <v>-284076770.11819881</v>
      </c>
      <c r="GI164" s="29">
        <f>IF(BK164&lt;&gt;-999,BK164*$GF164, -999)</f>
        <v>-342397947.95928735</v>
      </c>
      <c r="GJ164" s="30">
        <f t="shared" si="103"/>
        <v>-101729283.29186589</v>
      </c>
    </row>
    <row r="165" spans="1:192">
      <c r="A165" s="48" t="s">
        <v>161</v>
      </c>
      <c r="B165" s="48" t="s">
        <v>148</v>
      </c>
      <c r="C165" s="49">
        <v>45</v>
      </c>
      <c r="D165" s="50">
        <v>0.432</v>
      </c>
      <c r="E165" s="49">
        <v>171.62387793379401</v>
      </c>
      <c r="F165" s="49">
        <v>0.78708956313686995</v>
      </c>
      <c r="G165" s="49">
        <v>73.306062406399803</v>
      </c>
      <c r="H165" s="49">
        <v>0.81823266736848799</v>
      </c>
      <c r="I165" s="42">
        <v>2577.5</v>
      </c>
      <c r="J165" s="43">
        <v>137649.70000000001</v>
      </c>
      <c r="K165" s="43">
        <f t="shared" si="78"/>
        <v>140227.20000000001</v>
      </c>
      <c r="L165" s="43">
        <v>1320.6</v>
      </c>
      <c r="M165" s="43">
        <v>70526.2</v>
      </c>
      <c r="N165" s="43">
        <f t="shared" si="79"/>
        <v>71846.8</v>
      </c>
      <c r="O165" s="43">
        <v>2455.8000000000002</v>
      </c>
      <c r="P165" s="43">
        <v>131149.9</v>
      </c>
      <c r="Q165" s="43">
        <f t="shared" si="80"/>
        <v>133605.69999999998</v>
      </c>
      <c r="R165" s="43">
        <v>982.1</v>
      </c>
      <c r="S165" s="43">
        <v>52448.7</v>
      </c>
      <c r="T165" s="43">
        <f t="shared" si="81"/>
        <v>53430.799999999996</v>
      </c>
      <c r="U165" s="43">
        <v>503.2</v>
      </c>
      <c r="V165" s="43">
        <v>26872.6</v>
      </c>
      <c r="W165" s="43">
        <f t="shared" si="82"/>
        <v>27375.8</v>
      </c>
      <c r="X165" s="43">
        <v>935.7</v>
      </c>
      <c r="Y165" s="43">
        <v>49972.1</v>
      </c>
      <c r="Z165" s="43">
        <f t="shared" si="83"/>
        <v>50907.799999999996</v>
      </c>
      <c r="AA165" s="22">
        <v>76244.5</v>
      </c>
      <c r="AB165">
        <v>2497280</v>
      </c>
      <c r="AC165">
        <v>2573524.5</v>
      </c>
      <c r="AD165">
        <v>39064.6</v>
      </c>
      <c r="AE165">
        <v>1279506.5</v>
      </c>
      <c r="AF165">
        <v>1318571.1000000001</v>
      </c>
      <c r="AG165">
        <v>72644.2</v>
      </c>
      <c r="AH165">
        <v>2379358.2999999998</v>
      </c>
      <c r="AI165">
        <v>2452002.5</v>
      </c>
      <c r="AJ165">
        <v>29051.5</v>
      </c>
      <c r="AK165">
        <v>951540.1</v>
      </c>
      <c r="AL165">
        <v>980591.6</v>
      </c>
      <c r="AM165">
        <v>14884.8</v>
      </c>
      <c r="AN165">
        <v>487531.1</v>
      </c>
      <c r="AO165">
        <v>502415.9</v>
      </c>
      <c r="AP165">
        <v>27679.7</v>
      </c>
      <c r="AQ165">
        <v>906608.3</v>
      </c>
      <c r="AR165">
        <v>934288</v>
      </c>
      <c r="AS165">
        <v>8761393.5999999996</v>
      </c>
      <c r="AT165" s="22">
        <f t="shared" si="111"/>
        <v>126923.0354541375</v>
      </c>
      <c r="AU165">
        <f t="shared" si="111"/>
        <v>4157183.2457280001</v>
      </c>
      <c r="AV165">
        <f t="shared" si="111"/>
        <v>4284106.2811821373</v>
      </c>
      <c r="AW165">
        <f t="shared" si="111"/>
        <v>65030.233142085002</v>
      </c>
      <c r="AX165">
        <f t="shared" si="111"/>
        <v>2129974.6062115873</v>
      </c>
      <c r="AY165">
        <f t="shared" si="111"/>
        <v>2195004.8393536727</v>
      </c>
      <c r="AZ165">
        <f t="shared" si="111"/>
        <v>120929.671938795</v>
      </c>
      <c r="BA165">
        <f t="shared" si="111"/>
        <v>3960880.8224723921</v>
      </c>
      <c r="BB165">
        <f t="shared" si="111"/>
        <v>4081810.4944111877</v>
      </c>
      <c r="BC165">
        <f t="shared" si="111"/>
        <v>48361.581025462503</v>
      </c>
      <c r="BD165">
        <f t="shared" si="110"/>
        <v>1584014.0318099475</v>
      </c>
      <c r="BE165">
        <f t="shared" si="110"/>
        <v>1632375.6128354101</v>
      </c>
      <c r="BF165">
        <f t="shared" si="110"/>
        <v>24778.495473479998</v>
      </c>
      <c r="BG165">
        <f t="shared" si="110"/>
        <v>811585.45324967243</v>
      </c>
      <c r="BH165">
        <f t="shared" si="110"/>
        <v>836363.94872315263</v>
      </c>
      <c r="BI165">
        <f t="shared" si="110"/>
        <v>46077.9668626575</v>
      </c>
      <c r="BJ165">
        <f t="shared" si="110"/>
        <v>1509216.7619161427</v>
      </c>
      <c r="BK165">
        <f t="shared" si="110"/>
        <v>1555294.7287788</v>
      </c>
      <c r="BL165">
        <f t="shared" si="110"/>
        <v>14584955.90528436</v>
      </c>
      <c r="BM165" s="22">
        <f>-17.17-(0.1023*E165)+F165*(100-8.576-13.681)</f>
        <v>26.463581194322558</v>
      </c>
      <c r="BN165">
        <f>IF(AT165&lt;&gt;-999,AT165*$BM165, -999)</f>
        <v>3358838.0541704483</v>
      </c>
      <c r="BO165">
        <f>IF(AU165&lt;&gt;-999,AU165*$BM165, -999)</f>
        <v>110013956.36300032</v>
      </c>
      <c r="BP165" s="25">
        <f>IF(AV165&lt;&gt;-999,AV165*$BM165, -999)</f>
        <v>113372794.41717076</v>
      </c>
      <c r="BQ165">
        <f>-19.943-(0.1023*E165)+F165*(100-8.576-13.681)</f>
        <v>23.690581194322554</v>
      </c>
      <c r="BR165">
        <f>IF(AW165&lt;&gt;-999,AW165*$BQ165, -999)</f>
        <v>1540604.0183382903</v>
      </c>
      <c r="BS165">
        <f>IF(AX165&lt;&gt;-999,AX165*$BQ165, -999)</f>
        <v>50460336.350300819</v>
      </c>
      <c r="BT165" s="25">
        <f>IF(AY165&lt;&gt;-999,AY165*$BQ165, -999)</f>
        <v>52000940.368639119</v>
      </c>
      <c r="BU165">
        <f>-25.871-(0.1023*E165)+F165*(100-8.576-13.681)</f>
        <v>17.762581194322557</v>
      </c>
      <c r="BV165">
        <f>IF(AZ165&lt;&gt;-999,AZ165*$BU165, -999)</f>
        <v>2148023.1166156363</v>
      </c>
      <c r="BW165">
        <f>IF(BA165&lt;&gt;-999,BA165*$BU165, -999)</f>
        <v>70355467.21020098</v>
      </c>
      <c r="BX165" s="25">
        <f>IF(BB165&lt;&gt;-999,BB165*$BU165, -999)</f>
        <v>72503490.326816618</v>
      </c>
      <c r="BY165">
        <f>-25.245-(0.1023*E165)+F165*(100-8.576-13.681)</f>
        <v>18.388581194322562</v>
      </c>
      <c r="BZ165">
        <f>IF(BC165&lt;&gt;-999,BC165*$BY165, -999)</f>
        <v>889300.85937252664</v>
      </c>
      <c r="CA165">
        <f>IF(BD165&lt;&gt;-999,BD165*$BY165, -999)</f>
        <v>29127770.63688346</v>
      </c>
      <c r="CB165" s="25">
        <f>IF(BE165&lt;&gt;-999,BE165*$BY165, -999)</f>
        <v>30017071.49625599</v>
      </c>
      <c r="CC165">
        <f>-29.317-(0.1023*E165)+F165*(100-8.576-13.681)</f>
        <v>14.316581194322559</v>
      </c>
      <c r="CD165">
        <f>IF(BF165&lt;&gt;-999,BF165*$CC165, -999)</f>
        <v>354743.34231923037</v>
      </c>
      <c r="CE165">
        <f>IF(BG165&lt;&gt;-999,BG165*$CC165, -999)</f>
        <v>11619129.037580011</v>
      </c>
      <c r="CF165" s="25">
        <f>IF(BH165&lt;&gt;-999,BH165*$CC165, -999)</f>
        <v>11973872.379899245</v>
      </c>
      <c r="CG165">
        <f>-38.03-(0.1023*E165)+F165*(100-8.576-13.681)</f>
        <v>5.6035811943225582</v>
      </c>
      <c r="CH165">
        <f>IF(BI165&lt;&gt;-999,BI165*$CG165, -999)</f>
        <v>258201.62858420558</v>
      </c>
      <c r="CI165">
        <f>IF(BJ165&lt;&gt;-999,BJ165*$CG165, -999)</f>
        <v>8457018.6652296819</v>
      </c>
      <c r="CJ165" s="25">
        <f>IF(BK165&lt;&gt;-999,BK165*$CG165, -999)</f>
        <v>8715220.293813888</v>
      </c>
      <c r="CK165" s="26">
        <f t="shared" si="84"/>
        <v>288583389.28259563</v>
      </c>
      <c r="CL165">
        <f t="shared" si="85"/>
        <v>-26.362469854053103</v>
      </c>
      <c r="CM165">
        <f t="shared" si="86"/>
        <v>31.375559118003537</v>
      </c>
      <c r="CN165">
        <f t="shared" si="87"/>
        <v>-83.103153623269705</v>
      </c>
      <c r="CO165" s="22">
        <f t="shared" si="88"/>
        <v>-40.08</v>
      </c>
      <c r="CP165">
        <f>IF(AT165&lt;&gt;-999,AT165*$CO165, -999)</f>
        <v>-5087075.2610018309</v>
      </c>
      <c r="CQ165">
        <f>IF(AU165&lt;&gt;-999,AU165*$CO165, -999)</f>
        <v>-166619904.48877823</v>
      </c>
      <c r="CR165" s="27">
        <f>IF(AV165&lt;&gt;-999,AV165*$CO165, -999)</f>
        <v>-171706979.74978006</v>
      </c>
      <c r="CS165">
        <f t="shared" si="89"/>
        <v>-42.853000000000002</v>
      </c>
      <c r="CT165">
        <f>IF(AW165&lt;&gt;-999,AW165*$CS165, -999)</f>
        <v>-2786740.5808377685</v>
      </c>
      <c r="CU165">
        <f>IF(AX165&lt;&gt;-999,AX165*$CS165, -999)</f>
        <v>-91275801.799985155</v>
      </c>
      <c r="CV165" s="27">
        <f>IF(AY165&lt;&gt;-999,AY165*$CS165, -999)</f>
        <v>-94062542.380822942</v>
      </c>
      <c r="CW165">
        <f t="shared" si="90"/>
        <v>-48.780999999999999</v>
      </c>
      <c r="CX165">
        <f>IF(AZ165&lt;&gt;-999,AZ165*$CO165, -999)</f>
        <v>-4846861.2513069035</v>
      </c>
      <c r="CY165">
        <f>IF(BA165&lt;&gt;-999,BA165*$CO165, -999)</f>
        <v>-158752103.36469346</v>
      </c>
      <c r="CZ165" s="27">
        <f>IF(BB165&lt;&gt;-999,BB165*$CO165, -999)</f>
        <v>-163598964.61600038</v>
      </c>
      <c r="DA165">
        <f t="shared" si="91"/>
        <v>-48.155000000000001</v>
      </c>
      <c r="DB165">
        <f>IF(BC165&lt;&gt;-999,BC165*$DA165, -999)</f>
        <v>-2328851.9342811471</v>
      </c>
      <c r="DC165">
        <f>IF(BD165&lt;&gt;-999,BD165*$DA165, -999)</f>
        <v>-76278195.70180802</v>
      </c>
      <c r="DD165" s="27">
        <f>IF(BE165&lt;&gt;-999,BE165*$DA165, -999)</f>
        <v>-78607047.636089176</v>
      </c>
      <c r="DE165">
        <f t="shared" si="92"/>
        <v>-52.227000000000004</v>
      </c>
      <c r="DF165">
        <f>IF(BF165&lt;&gt;-999,BF165*$DE165, -999)</f>
        <v>-1294106.4830934398</v>
      </c>
      <c r="DG165">
        <f>IF(BG165&lt;&gt;-999,BG165*$DE165, -999)</f>
        <v>-42386673.466870643</v>
      </c>
      <c r="DH165" s="27">
        <f>IF(BH165&lt;&gt;-999,BH165*$DE165, -999)</f>
        <v>-43680779.949964099</v>
      </c>
      <c r="DI165">
        <f t="shared" si="93"/>
        <v>-60.94</v>
      </c>
      <c r="DJ165">
        <f>IF(BI165&lt;&gt;-999,BI165*$DI165, -999)</f>
        <v>-2807991.3006103481</v>
      </c>
      <c r="DK165">
        <f>IF(BJ165&lt;&gt;-999,BJ165*$DI165, -999)</f>
        <v>-91971669.471169725</v>
      </c>
      <c r="DL165" s="27">
        <f>IF(BK165&lt;&gt;-999,BK165*$DI165, -999)</f>
        <v>-94779660.771780074</v>
      </c>
      <c r="DM165" s="28">
        <f t="shared" si="94"/>
        <v>-646435975.10443664</v>
      </c>
      <c r="DN165" s="22">
        <f t="shared" si="95"/>
        <v>-17.170000000000002</v>
      </c>
      <c r="DO165">
        <f>IF(AT165&lt;&gt;-999,AT165*$DN165, -999)</f>
        <v>-2179268.5187475411</v>
      </c>
      <c r="DP165">
        <f>IF(AU165&lt;&gt;-999,AU165*$DN165, -999)</f>
        <v>-71378836.329149768</v>
      </c>
      <c r="DQ165" s="24">
        <f>IF(AV165&lt;&gt;-999,AV165*$DN165, -999)</f>
        <v>-73558104.847897306</v>
      </c>
      <c r="DR165">
        <f t="shared" si="96"/>
        <v>-19.943000000000001</v>
      </c>
      <c r="DS165">
        <f>IF(AW165&lt;&gt;-999,AW165*$DR165, -999)</f>
        <v>-1296897.9395526012</v>
      </c>
      <c r="DT165">
        <f>IF(AX165&lt;&gt;-999,AX165*$DR165, -999)</f>
        <v>-42478083.571677692</v>
      </c>
      <c r="DU165" s="24">
        <f>IF(AY165&lt;&gt;-999,AY165*$DR165, -999)</f>
        <v>-43774981.511230297</v>
      </c>
      <c r="DV165">
        <f t="shared" si="97"/>
        <v>-25.870999999999999</v>
      </c>
      <c r="DW165">
        <f>IF(AZ165&lt;&gt;-999,AZ165*$DV165, -999)</f>
        <v>-3128571.5427285652</v>
      </c>
      <c r="DX165">
        <f>IF(BA165&lt;&gt;-999,BA165*$DV165, -999)</f>
        <v>-102471947.75818326</v>
      </c>
      <c r="DY165" s="24">
        <f>IF(BB165&lt;&gt;-999,BB165*$DV165, -999)</f>
        <v>-105600519.30091183</v>
      </c>
      <c r="DZ165">
        <f t="shared" si="98"/>
        <v>-25.245000000000001</v>
      </c>
      <c r="EA165">
        <f>IF(BC165&lt;&gt;-999, BC165*$DZ165, -999)</f>
        <v>-1220888.112987801</v>
      </c>
      <c r="EB165">
        <f>IF(BD165&lt;&gt;-999, BD165*$DZ165, -999)</f>
        <v>-39988434.233042128</v>
      </c>
      <c r="EC165" s="24">
        <f>IF(BE165&lt;&gt;-999, BE165*$DZ165, -999)</f>
        <v>-41209322.34602993</v>
      </c>
      <c r="ED165">
        <f t="shared" si="99"/>
        <v>-29.317</v>
      </c>
      <c r="EE165">
        <f>IF(BF165&lt;&gt;-999,BF165*$ED165, -999)</f>
        <v>-726431.15179601312</v>
      </c>
      <c r="EF165">
        <f>IF(BG165&lt;&gt;-999,BG165*$ED165, -999)</f>
        <v>-23793250.732920647</v>
      </c>
      <c r="EG165" s="24">
        <f>IF(BH165&lt;&gt;-999,BH165*$ED165, -999)</f>
        <v>-24519681.884716667</v>
      </c>
      <c r="EH165">
        <f t="shared" si="100"/>
        <v>-38.03</v>
      </c>
      <c r="EI165">
        <f>IF(BI165&lt;&gt;-999,BI165*$EH165, -999)</f>
        <v>-1752345.0797868648</v>
      </c>
      <c r="EJ165">
        <f>IF(BJ165&lt;&gt;-999,BJ165*$EH165, -999)</f>
        <v>-57395513.455670908</v>
      </c>
      <c r="EK165" s="24">
        <f>IF(BK165&lt;&gt;-999,BK165*$EH165, -999)</f>
        <v>-59147858.535457768</v>
      </c>
      <c r="EL165" s="28">
        <f t="shared" si="101"/>
        <v>-347810468.42624384</v>
      </c>
      <c r="EM165" s="22">
        <f>-17.17-(0.1023*G165)+H165*(100+102.093-66.644-64.243)</f>
        <v>33.593865128465865</v>
      </c>
      <c r="EN165">
        <f>IF(AT165&lt;&gt;-999,AT165*$EM165, -999)</f>
        <v>4263835.3347417861</v>
      </c>
      <c r="EO165">
        <f>IF(AU165&lt;&gt;-999,AU165*$EM165, -999)</f>
        <v>139655853.2713044</v>
      </c>
      <c r="EP165" s="23">
        <f>IF(AV165&lt;&gt;-999,AV165*$EM165, -999)</f>
        <v>143919688.60604617</v>
      </c>
      <c r="EQ165">
        <f>-19.943-(0.1023*G165)+H165*(100+102.093-66.644-64.243)</f>
        <v>30.820865128465865</v>
      </c>
      <c r="ER165">
        <f>IF(AW165&lt;&gt;-999,AW165*$EQ165, -999)</f>
        <v>2004288.0449448929</v>
      </c>
      <c r="ES165">
        <f>IF(AX165&lt;&gt;-999,AX165*$EQ165, -999)</f>
        <v>65647660.065104522</v>
      </c>
      <c r="ET165" s="23">
        <f>IF(AY165&lt;&gt;-999,AY165*$EQ165, -999)</f>
        <v>67651948.110049427</v>
      </c>
      <c r="EU165">
        <f>-25.871-(0.1023*G165)+H165*(100+102.093-66.644-64.243)</f>
        <v>24.892865128465871</v>
      </c>
      <c r="EV165">
        <f>IF(AZ165&lt;&gt;-999,AZ165*$EU165, -999)</f>
        <v>3010286.0136020477</v>
      </c>
      <c r="EW165">
        <f>IF(BA165&lt;&gt;-999,BA165*$EU165, -999)</f>
        <v>98597672.103732228</v>
      </c>
      <c r="EX165" s="23">
        <f>IF(BB165&lt;&gt;-999,BB165*$EU165, -999)</f>
        <v>101607958.11733429</v>
      </c>
      <c r="EY165">
        <f>-25.245-(0.1023*G165)+H165*(100+102.093-66.644-64.243)</f>
        <v>25.518865128465862</v>
      </c>
      <c r="EZ165">
        <f>IF(BC165&lt;&gt;-999, BC165*$EY165, -999)</f>
        <v>1234132.6635881513</v>
      </c>
      <c r="FA165">
        <f>IF(BD165&lt;&gt;-999, BD165*$EY165, -999)</f>
        <v>40422240.439355485</v>
      </c>
      <c r="FB165" s="23">
        <f>IF(BE165&lt;&gt;-999, BE165*$EY165, -999)</f>
        <v>41656373.102943636</v>
      </c>
      <c r="FC165">
        <f>-29.317-(0.1023*G165)+H165*(100+102.093-66.644-64.243)</f>
        <v>21.446865128465866</v>
      </c>
      <c r="FD165">
        <f>IF(BF165&lt;&gt;-999,BF165*$FC165, -999)</f>
        <v>531421.05050602753</v>
      </c>
      <c r="FE165">
        <f>IF(BG165&lt;&gt;-999,BG165*$FC165, -999)</f>
        <v>17405963.756070565</v>
      </c>
      <c r="FF165" s="23">
        <f>IF(BH165&lt;&gt;-999,BH165*$FC165, -999)</f>
        <v>17937384.806576595</v>
      </c>
      <c r="FG165">
        <f>-38.03-(0.1023*G165)+H165*(100+102.093-66.644-64.243)</f>
        <v>12.733865128465865</v>
      </c>
      <c r="FH165">
        <f>IF(BI165&lt;&gt;-999,BI165*$FG165, -999)</f>
        <v>586750.61542300007</v>
      </c>
      <c r="FI165">
        <f>IF(BJ165&lt;&gt;-999,BJ165*$FG165, -999)</f>
        <v>19218162.69586014</v>
      </c>
      <c r="FJ165" s="23">
        <f>IF(BK165&lt;&gt;-999,BK165*$FG165, -999)</f>
        <v>19804913.311283138</v>
      </c>
      <c r="FK165" s="28">
        <f t="shared" si="102"/>
        <v>392578266.05423325</v>
      </c>
      <c r="FL165" s="22">
        <f t="shared" si="104"/>
        <v>10.012280000000011</v>
      </c>
      <c r="FM165">
        <f>IF(AT165&lt;&gt;-999,AT165*$FL165, -999)</f>
        <v>1270788.9694167532</v>
      </c>
      <c r="FN165">
        <f>IF(AU165&lt;&gt;-999,AU165*$FL165, -999)</f>
        <v>41622882.667537585</v>
      </c>
      <c r="FO165" s="29">
        <f>IF(AV165&lt;&gt;-999,AV165*$FL165, -999)</f>
        <v>42893671.636954337</v>
      </c>
      <c r="FP165">
        <f t="shared" si="105"/>
        <v>7.2392800000000115</v>
      </c>
      <c r="FQ165">
        <f>IF(AW165&lt;&gt;-999,AW165*$FP165, -999)</f>
        <v>470772.06618083385</v>
      </c>
      <c r="FR165">
        <f>IF(AX165&lt;&gt;-999,AX165*$FP165, -999)</f>
        <v>15419482.567255445</v>
      </c>
      <c r="FS165" s="29">
        <f>IF(AY165&lt;&gt;-999,AY165*$FP165, -999)</f>
        <v>15890254.633436281</v>
      </c>
      <c r="FT165">
        <f t="shared" si="106"/>
        <v>1.3112800000000142</v>
      </c>
      <c r="FU165">
        <f>IF(AZ165&lt;&gt;-999,AZ165*$FT165, -999)</f>
        <v>158572.66021990482</v>
      </c>
      <c r="FV165">
        <f>IF(BA165&lt;&gt;-999,BA165*$FT165, -999)</f>
        <v>5193823.8048916543</v>
      </c>
      <c r="FW165" s="29">
        <f>IF(BB165&lt;&gt;-999,BB165*$FT165, -999)</f>
        <v>5352396.4651115602</v>
      </c>
      <c r="FX165">
        <f t="shared" si="107"/>
        <v>1.9372800000000119</v>
      </c>
      <c r="FY165">
        <f>IF(BC165&lt;&gt;-999, BC165*$FX165, -999)</f>
        <v>93689.923689008574</v>
      </c>
      <c r="FZ165">
        <f>IF(BD165&lt;&gt;-999, BD165*$FX165, -999)</f>
        <v>3068678.7035447937</v>
      </c>
      <c r="GA165" s="29">
        <f>IF(BE165&lt;&gt;-999, BE165*$FX165, -999)</f>
        <v>3162368.6272338028</v>
      </c>
      <c r="GB165">
        <f t="shared" si="108"/>
        <v>-2.1347199999999873</v>
      </c>
      <c r="GC165">
        <f>IF(BF165&lt;&gt;-999,BF165*$GB165, -999)</f>
        <v>-52895.149857146906</v>
      </c>
      <c r="GD165">
        <f>IF(BG165&lt;&gt;-999,BG165*$GB165, -999)</f>
        <v>-1732507.6987611305</v>
      </c>
      <c r="GE165" s="29">
        <f>IF(BH165&lt;&gt;-999,BH165*$GB165, -999)</f>
        <v>-1785402.8486182778</v>
      </c>
      <c r="GF165">
        <f t="shared" si="109"/>
        <v>-10.847719999999988</v>
      </c>
      <c r="GG165">
        <f>IF(BI165&lt;&gt;-999,BI165*$GF165, -999)</f>
        <v>-499840.88269538648</v>
      </c>
      <c r="GH165">
        <f>IF(BJ165&lt;&gt;-999,BJ165*$GF165, -999)</f>
        <v>-16371560.852572961</v>
      </c>
      <c r="GI165" s="29">
        <f>IF(BK165&lt;&gt;-999,BK165*$GF165, -999)</f>
        <v>-16871401.735268347</v>
      </c>
      <c r="GJ165" s="30">
        <f t="shared" si="103"/>
        <v>48641886.778849348</v>
      </c>
    </row>
    <row r="166" spans="1:192">
      <c r="A166" s="48" t="s">
        <v>178</v>
      </c>
      <c r="B166" s="48" t="s">
        <v>294</v>
      </c>
      <c r="C166" s="49">
        <v>101</v>
      </c>
      <c r="D166" s="50">
        <v>0.43</v>
      </c>
      <c r="E166" s="49">
        <v>232.12596481515499</v>
      </c>
      <c r="F166" s="49">
        <v>0.73130068955461502</v>
      </c>
      <c r="G166" s="49">
        <v>187.78627427813001</v>
      </c>
      <c r="H166" s="49">
        <v>0.81015063901426898</v>
      </c>
      <c r="I166" s="42">
        <v>252265.5</v>
      </c>
      <c r="J166" s="43">
        <v>-999</v>
      </c>
      <c r="K166" s="43">
        <f t="shared" si="78"/>
        <v>252265.5</v>
      </c>
      <c r="L166" s="43">
        <v>150796.29999999999</v>
      </c>
      <c r="M166" s="43">
        <v>-999</v>
      </c>
      <c r="N166" s="43">
        <f t="shared" si="79"/>
        <v>150796.29999999999</v>
      </c>
      <c r="O166" s="43">
        <v>195285</v>
      </c>
      <c r="P166" s="43">
        <v>-999</v>
      </c>
      <c r="Q166" s="43">
        <f t="shared" si="80"/>
        <v>195285</v>
      </c>
      <c r="R166" s="43">
        <v>212632.3</v>
      </c>
      <c r="S166" s="43">
        <v>-999</v>
      </c>
      <c r="T166" s="43">
        <f t="shared" si="81"/>
        <v>212632.3</v>
      </c>
      <c r="U166" s="43">
        <v>127104.8</v>
      </c>
      <c r="V166" s="43">
        <v>-999</v>
      </c>
      <c r="W166" s="43">
        <f t="shared" si="82"/>
        <v>127104.8</v>
      </c>
      <c r="X166" s="43">
        <v>164603.9</v>
      </c>
      <c r="Y166" s="43">
        <v>-999</v>
      </c>
      <c r="Z166" s="43">
        <f t="shared" si="83"/>
        <v>164603.9</v>
      </c>
      <c r="AA166" s="22">
        <v>15800374.300000001</v>
      </c>
      <c r="AB166">
        <v>-999</v>
      </c>
      <c r="AC166">
        <v>15800374.300000001</v>
      </c>
      <c r="AD166">
        <v>9444959.5</v>
      </c>
      <c r="AE166">
        <v>-999</v>
      </c>
      <c r="AF166">
        <v>9444959.5</v>
      </c>
      <c r="AG166">
        <v>12231460.9</v>
      </c>
      <c r="AH166">
        <v>-999</v>
      </c>
      <c r="AI166">
        <v>12231460.9</v>
      </c>
      <c r="AJ166">
        <v>13317990.6</v>
      </c>
      <c r="AK166">
        <v>-999</v>
      </c>
      <c r="AL166">
        <v>13317990.6</v>
      </c>
      <c r="AM166">
        <v>7961069.7999999998</v>
      </c>
      <c r="AN166">
        <v>-999</v>
      </c>
      <c r="AO166">
        <v>7961069.7999999998</v>
      </c>
      <c r="AP166">
        <v>10309786.199999999</v>
      </c>
      <c r="AQ166">
        <v>-999</v>
      </c>
      <c r="AR166">
        <v>10309786.199999999</v>
      </c>
      <c r="AS166">
        <v>69065641.310000002</v>
      </c>
      <c r="AT166" s="22">
        <f t="shared" si="111"/>
        <v>26302637.796398994</v>
      </c>
      <c r="AU166">
        <f t="shared" si="111"/>
        <v>-999</v>
      </c>
      <c r="AV166">
        <f t="shared" si="111"/>
        <v>26302637.796398994</v>
      </c>
      <c r="AW166">
        <f t="shared" si="111"/>
        <v>15722877.446653765</v>
      </c>
      <c r="AX166">
        <f t="shared" si="111"/>
        <v>-999</v>
      </c>
      <c r="AY166">
        <f t="shared" si="111"/>
        <v>15722877.446653765</v>
      </c>
      <c r="AZ166">
        <f t="shared" si="111"/>
        <v>20361523.066799529</v>
      </c>
      <c r="BA166">
        <f t="shared" si="111"/>
        <v>-999</v>
      </c>
      <c r="BB166">
        <f t="shared" si="111"/>
        <v>20361523.066799529</v>
      </c>
      <c r="BC166">
        <f t="shared" si="111"/>
        <v>22170252.190015934</v>
      </c>
      <c r="BD166">
        <f t="shared" si="110"/>
        <v>-999</v>
      </c>
      <c r="BE166">
        <f t="shared" si="110"/>
        <v>22170252.190015934</v>
      </c>
      <c r="BF166">
        <f t="shared" si="110"/>
        <v>13252669.300451353</v>
      </c>
      <c r="BG166">
        <f t="shared" si="110"/>
        <v>-999</v>
      </c>
      <c r="BH166">
        <f t="shared" si="110"/>
        <v>13252669.300451353</v>
      </c>
      <c r="BI166">
        <f t="shared" si="110"/>
        <v>17162541.027709242</v>
      </c>
      <c r="BJ166">
        <f t="shared" si="110"/>
        <v>-999</v>
      </c>
      <c r="BK166">
        <f t="shared" si="110"/>
        <v>17162541.027709242</v>
      </c>
      <c r="BL166">
        <f t="shared" si="110"/>
        <v>114972500.84467566</v>
      </c>
      <c r="BM166" s="22">
        <f>-17.17-(0.1023*E166)+F166*(100-8.576-13.681)</f>
        <v>15.937023307454083</v>
      </c>
      <c r="BN166">
        <f>IF(AT166&lt;&gt;-999,AT166*$BM166, -999)</f>
        <v>419185751.60873348</v>
      </c>
      <c r="BO166">
        <f>IF(AU166&lt;&gt;-999,AU166*$BM166, -999)</f>
        <v>-999</v>
      </c>
      <c r="BP166" s="25">
        <f>IF(AV166&lt;&gt;-999,AV166*$BM166, -999)</f>
        <v>419185751.60873348</v>
      </c>
      <c r="BQ166">
        <f>-19.943-(0.1023*E166)+F166*(100-8.576-13.681)</f>
        <v>13.164023307454087</v>
      </c>
      <c r="BR166">
        <f>IF(AW166&lt;&gt;-999,AW166*$BQ166, -999)</f>
        <v>206976325.16799438</v>
      </c>
      <c r="BS166">
        <f>IF(AX166&lt;&gt;-999,AX166*$BQ166, -999)</f>
        <v>-999</v>
      </c>
      <c r="BT166" s="25">
        <f>IF(AY166&lt;&gt;-999,AY166*$BQ166, -999)</f>
        <v>206976325.16799438</v>
      </c>
      <c r="BU166">
        <f>-25.871-(0.1023*E166)+F166*(100-8.576-13.681)</f>
        <v>7.2360233074540901</v>
      </c>
      <c r="BV166">
        <f>IF(AZ166&lt;&gt;-999,AZ166*$BU166, -999)</f>
        <v>147336455.48662546</v>
      </c>
      <c r="BW166">
        <f>IF(BA166&lt;&gt;-999,BA166*$BU166, -999)</f>
        <v>-999</v>
      </c>
      <c r="BX166" s="25">
        <f>IF(BB166&lt;&gt;-999,BB166*$BU166, -999)</f>
        <v>147336455.48662546</v>
      </c>
      <c r="BY166">
        <f>-25.245-(0.1023*E166)+F166*(100-8.576-13.681)</f>
        <v>7.8620233074540806</v>
      </c>
      <c r="BZ166">
        <f>IF(BC166&lt;&gt;-999,BC166*$BY166, -999)</f>
        <v>174303039.45004016</v>
      </c>
      <c r="CA166">
        <f>IF(BD166&lt;&gt;-999,BD166*$BY166, -999)</f>
        <v>-999</v>
      </c>
      <c r="CB166" s="25">
        <f>IF(BE166&lt;&gt;-999,BE166*$BY166, -999)</f>
        <v>174303039.45004016</v>
      </c>
      <c r="CC166">
        <f>-29.317-(0.1023*E166)+F166*(100-8.576-13.681)</f>
        <v>3.790023307454085</v>
      </c>
      <c r="CD166">
        <f>IF(BF166&lt;&gt;-999,BF166*$CC166, -999)</f>
        <v>50227925.534691855</v>
      </c>
      <c r="CE166">
        <f>IF(BG166&lt;&gt;-999,BG166*$CC166, -999)</f>
        <v>-999</v>
      </c>
      <c r="CF166" s="25">
        <f>IF(BH166&lt;&gt;-999,BH166*$CC166, -999)</f>
        <v>50227925.534691855</v>
      </c>
      <c r="CG166">
        <f>-38.03-(0.1023*E166)+F166*(100-8.576-13.681)</f>
        <v>-4.922976692545916</v>
      </c>
      <c r="CH166">
        <f>IF(BI166&lt;&gt;-999,BI166*$CG166, -999)</f>
        <v>-84490789.464275628</v>
      </c>
      <c r="CI166">
        <f>IF(BJ166&lt;&gt;-999,BJ166*$CG166, -999)</f>
        <v>-999</v>
      </c>
      <c r="CJ166" s="25">
        <f>IF(BK166&lt;&gt;-999,BK166*$CG166, -999)</f>
        <v>-84490789.464275628</v>
      </c>
      <c r="CK166" s="26">
        <f t="shared" si="84"/>
        <v>913538707.78380966</v>
      </c>
      <c r="CL166">
        <f t="shared" si="85"/>
        <v>-21.608012378077298</v>
      </c>
      <c r="CM166">
        <f t="shared" si="86"/>
        <v>40.5346884960015</v>
      </c>
      <c r="CN166">
        <f t="shared" si="87"/>
        <v>-82.677283387789217</v>
      </c>
      <c r="CO166" s="22">
        <f t="shared" si="88"/>
        <v>-40.08</v>
      </c>
      <c r="CP166">
        <f>IF(AT166&lt;&gt;-999,AT166*$CO166, -999)</f>
        <v>-1054209722.8796716</v>
      </c>
      <c r="CQ166">
        <f>IF(AU166&lt;&gt;-999,AU166*$CO166, -999)</f>
        <v>-999</v>
      </c>
      <c r="CR166" s="27">
        <f>IF(AV166&lt;&gt;-999,AV166*$CO166, -999)</f>
        <v>-1054209722.8796716</v>
      </c>
      <c r="CS166">
        <f t="shared" si="89"/>
        <v>-42.853000000000002</v>
      </c>
      <c r="CT166">
        <f>IF(AW166&lt;&gt;-999,AW166*$CS166, -999)</f>
        <v>-673772467.22145379</v>
      </c>
      <c r="CU166">
        <f>IF(AX166&lt;&gt;-999,AX166*$CS166, -999)</f>
        <v>-999</v>
      </c>
      <c r="CV166" s="27">
        <f>IF(AY166&lt;&gt;-999,AY166*$CS166, -999)</f>
        <v>-673772467.22145379</v>
      </c>
      <c r="CW166">
        <f t="shared" si="90"/>
        <v>-48.780999999999999</v>
      </c>
      <c r="CX166">
        <f>IF(AZ166&lt;&gt;-999,AZ166*$CO166, -999)</f>
        <v>-816089844.51732504</v>
      </c>
      <c r="CY166">
        <f>IF(BA166&lt;&gt;-999,BA166*$CO166, -999)</f>
        <v>-999</v>
      </c>
      <c r="CZ166" s="27">
        <f>IF(BB166&lt;&gt;-999,BB166*$CO166, -999)</f>
        <v>-816089844.51732504</v>
      </c>
      <c r="DA166">
        <f t="shared" si="91"/>
        <v>-48.155000000000001</v>
      </c>
      <c r="DB166">
        <f>IF(BC166&lt;&gt;-999,BC166*$DA166, -999)</f>
        <v>-1067608494.2102174</v>
      </c>
      <c r="DC166">
        <f>IF(BD166&lt;&gt;-999,BD166*$DA166, -999)</f>
        <v>-999</v>
      </c>
      <c r="DD166" s="27">
        <f>IF(BE166&lt;&gt;-999,BE166*$DA166, -999)</f>
        <v>-1067608494.2102174</v>
      </c>
      <c r="DE166">
        <f t="shared" si="92"/>
        <v>-52.227000000000004</v>
      </c>
      <c r="DF166">
        <f>IF(BF166&lt;&gt;-999,BF166*$DE166, -999)</f>
        <v>-692147159.55467284</v>
      </c>
      <c r="DG166">
        <f>IF(BG166&lt;&gt;-999,BG166*$DE166, -999)</f>
        <v>-999</v>
      </c>
      <c r="DH166" s="27">
        <f>IF(BH166&lt;&gt;-999,BH166*$DE166, -999)</f>
        <v>-692147159.55467284</v>
      </c>
      <c r="DI166">
        <f t="shared" si="93"/>
        <v>-60.94</v>
      </c>
      <c r="DJ166">
        <f>IF(BI166&lt;&gt;-999,BI166*$DI166, -999)</f>
        <v>-1045885250.2286012</v>
      </c>
      <c r="DK166">
        <f>IF(BJ166&lt;&gt;-999,BJ166*$DI166, -999)</f>
        <v>-999</v>
      </c>
      <c r="DL166" s="27">
        <f>IF(BK166&lt;&gt;-999,BK166*$DI166, -999)</f>
        <v>-1045885250.2286012</v>
      </c>
      <c r="DM166" s="28">
        <f t="shared" si="94"/>
        <v>-5349712938.6119423</v>
      </c>
      <c r="DN166" s="22">
        <f t="shared" si="95"/>
        <v>-17.170000000000002</v>
      </c>
      <c r="DO166">
        <f>IF(AT166&lt;&gt;-999,AT166*$DN166, -999)</f>
        <v>-451616290.96417075</v>
      </c>
      <c r="DP166">
        <f>IF(AU166&lt;&gt;-999,AU166*$DN166, -999)</f>
        <v>-999</v>
      </c>
      <c r="DQ166" s="24">
        <f>IF(AV166&lt;&gt;-999,AV166*$DN166, -999)</f>
        <v>-451616290.96417075</v>
      </c>
      <c r="DR166">
        <f t="shared" si="96"/>
        <v>-19.943000000000001</v>
      </c>
      <c r="DS166">
        <f>IF(AW166&lt;&gt;-999,AW166*$DR166, -999)</f>
        <v>-313561344.91861606</v>
      </c>
      <c r="DT166">
        <f>IF(AX166&lt;&gt;-999,AX166*$DR166, -999)</f>
        <v>-999</v>
      </c>
      <c r="DU166" s="24">
        <f>IF(AY166&lt;&gt;-999,AY166*$DR166, -999)</f>
        <v>-313561344.91861606</v>
      </c>
      <c r="DV166">
        <f t="shared" si="97"/>
        <v>-25.870999999999999</v>
      </c>
      <c r="DW166">
        <f>IF(AZ166&lt;&gt;-999,AZ166*$DV166, -999)</f>
        <v>-526772963.26117057</v>
      </c>
      <c r="DX166">
        <f>IF(BA166&lt;&gt;-999,BA166*$DV166, -999)</f>
        <v>-999</v>
      </c>
      <c r="DY166" s="24">
        <f>IF(BB166&lt;&gt;-999,BB166*$DV166, -999)</f>
        <v>-526772963.26117057</v>
      </c>
      <c r="DZ166">
        <f t="shared" si="98"/>
        <v>-25.245000000000001</v>
      </c>
      <c r="EA166">
        <f>IF(BC166&lt;&gt;-999, BC166*$DZ166, -999)</f>
        <v>-559688016.53695226</v>
      </c>
      <c r="EB166">
        <f>IF(BD166&lt;&gt;-999, BD166*$DZ166, -999)</f>
        <v>-999</v>
      </c>
      <c r="EC166" s="24">
        <f>IF(BE166&lt;&gt;-999, BE166*$DZ166, -999)</f>
        <v>-559688016.53695226</v>
      </c>
      <c r="ED166">
        <f t="shared" si="99"/>
        <v>-29.317</v>
      </c>
      <c r="EE166">
        <f>IF(BF166&lt;&gt;-999,BF166*$ED166, -999)</f>
        <v>-388528505.88133234</v>
      </c>
      <c r="EF166">
        <f>IF(BG166&lt;&gt;-999,BG166*$ED166, -999)</f>
        <v>-999</v>
      </c>
      <c r="EG166" s="24">
        <f>IF(BH166&lt;&gt;-999,BH166*$ED166, -999)</f>
        <v>-388528505.88133234</v>
      </c>
      <c r="EH166">
        <f t="shared" si="100"/>
        <v>-38.03</v>
      </c>
      <c r="EI166">
        <f>IF(BI166&lt;&gt;-999,BI166*$EH166, -999)</f>
        <v>-652691435.28378248</v>
      </c>
      <c r="EJ166">
        <f>IF(BJ166&lt;&gt;-999,BJ166*$EH166, -999)</f>
        <v>-999</v>
      </c>
      <c r="EK166" s="24">
        <f>IF(BK166&lt;&gt;-999,BK166*$EH166, -999)</f>
        <v>-652691435.28378248</v>
      </c>
      <c r="EL166" s="28">
        <f t="shared" si="101"/>
        <v>-2892858556.8460245</v>
      </c>
      <c r="EM166" s="22">
        <f>-17.17-(0.1023*G166)+H166*(100+102.093-66.644-64.243)</f>
        <v>21.307050542997345</v>
      </c>
      <c r="EN166">
        <f>IF(AT166&lt;&gt;-999,AT166*$EM166, -999)</f>
        <v>560431632.94202566</v>
      </c>
      <c r="EO166">
        <f>IF(AU166&lt;&gt;-999,AU166*$EM166, -999)</f>
        <v>-999</v>
      </c>
      <c r="EP166" s="23">
        <f>IF(AV166&lt;&gt;-999,AV166*$EM166, -999)</f>
        <v>560431632.94202566</v>
      </c>
      <c r="EQ166">
        <f>-19.943-(0.1023*G166)+H166*(100+102.093-66.644-64.243)</f>
        <v>18.534050542997349</v>
      </c>
      <c r="ER166">
        <f>IF(AW166&lt;&gt;-999,AW166*$EQ166, -999)</f>
        <v>291408605.27763397</v>
      </c>
      <c r="ES166">
        <f>IF(AX166&lt;&gt;-999,AX166*$EQ166, -999)</f>
        <v>-999</v>
      </c>
      <c r="ET166" s="23">
        <f>IF(AY166&lt;&gt;-999,AY166*$EQ166, -999)</f>
        <v>291408605.27763397</v>
      </c>
      <c r="EU166">
        <f>-25.871-(0.1023*G166)+H166*(100+102.093-66.644-64.243)</f>
        <v>12.606050542997352</v>
      </c>
      <c r="EV166">
        <f>IF(AZ166&lt;&gt;-999,AZ166*$EU166, -999)</f>
        <v>256678388.91248131</v>
      </c>
      <c r="EW166">
        <f>IF(BA166&lt;&gt;-999,BA166*$EU166, -999)</f>
        <v>-999</v>
      </c>
      <c r="EX166" s="23">
        <f>IF(BB166&lt;&gt;-999,BB166*$EU166, -999)</f>
        <v>256678388.91248131</v>
      </c>
      <c r="EY166">
        <f>-25.245-(0.1023*G166)+H166*(100+102.093-66.644-64.243)</f>
        <v>13.232050542997349</v>
      </c>
      <c r="EZ166">
        <f>IF(BC166&lt;&gt;-999, BC166*$EY166, -999)</f>
        <v>293357897.52928853</v>
      </c>
      <c r="FA166">
        <f>IF(BD166&lt;&gt;-999, BD166*$EY166, -999)</f>
        <v>-999</v>
      </c>
      <c r="FB166" s="23">
        <f>IF(BE166&lt;&gt;-999, BE166*$EY166, -999)</f>
        <v>293357897.52928853</v>
      </c>
      <c r="FC166">
        <f>-29.317-(0.1023*G166)+H166*(100+102.093-66.644-64.243)</f>
        <v>9.1600505429973538</v>
      </c>
      <c r="FD166">
        <f>IF(BF166&lt;&gt;-999,BF166*$FC166, -999)</f>
        <v>121395120.62176378</v>
      </c>
      <c r="FE166">
        <f>IF(BG166&lt;&gt;-999,BG166*$FC166, -999)</f>
        <v>-999</v>
      </c>
      <c r="FF166" s="23">
        <f>IF(BH166&lt;&gt;-999,BH166*$FC166, -999)</f>
        <v>121395120.62176378</v>
      </c>
      <c r="FG166">
        <f>-38.03-(0.1023*G166)+H166*(100+102.093-66.644-64.243)</f>
        <v>0.4470505429973457</v>
      </c>
      <c r="FH166">
        <f>IF(BI166&lt;&gt;-999,BI166*$FG166, -999)</f>
        <v>7672523.28565164</v>
      </c>
      <c r="FI166">
        <f>IF(BJ166&lt;&gt;-999,BJ166*$FG166, -999)</f>
        <v>-999</v>
      </c>
      <c r="FJ166" s="23">
        <f>IF(BK166&lt;&gt;-999,BK166*$FG166, -999)</f>
        <v>7672523.28565164</v>
      </c>
      <c r="FK166" s="28">
        <f t="shared" si="102"/>
        <v>1530944168.5688448</v>
      </c>
      <c r="FL166" s="22">
        <f t="shared" si="104"/>
        <v>10.012280000000011</v>
      </c>
      <c r="FM166">
        <f>IF(AT166&lt;&gt;-999,AT166*$FL166, -999)</f>
        <v>263349374.35613</v>
      </c>
      <c r="FN166">
        <f>IF(AU166&lt;&gt;-999,AU166*$FL166, -999)</f>
        <v>-999</v>
      </c>
      <c r="FO166" s="29">
        <f>IF(AV166&lt;&gt;-999,AV166*$FL166, -999)</f>
        <v>263349374.35613</v>
      </c>
      <c r="FP166">
        <f t="shared" si="105"/>
        <v>7.2392800000000115</v>
      </c>
      <c r="FQ166">
        <f>IF(AW166&lt;&gt;-999,AW166*$FP166, -999)</f>
        <v>113822312.24201185</v>
      </c>
      <c r="FR166">
        <f>IF(AX166&lt;&gt;-999,AX166*$FP166, -999)</f>
        <v>-999</v>
      </c>
      <c r="FS166" s="29">
        <f>IF(AY166&lt;&gt;-999,AY166*$FP166, -999)</f>
        <v>113822312.24201185</v>
      </c>
      <c r="FT166">
        <f t="shared" si="106"/>
        <v>1.3112800000000142</v>
      </c>
      <c r="FU166">
        <f>IF(AZ166&lt;&gt;-999,AZ166*$FT166, -999)</f>
        <v>26699657.967033174</v>
      </c>
      <c r="FV166">
        <f>IF(BA166&lt;&gt;-999,BA166*$FT166, -999)</f>
        <v>-999</v>
      </c>
      <c r="FW166" s="29">
        <f>IF(BB166&lt;&gt;-999,BB166*$FT166, -999)</f>
        <v>26699657.967033174</v>
      </c>
      <c r="FX166">
        <f t="shared" si="107"/>
        <v>1.9372800000000119</v>
      </c>
      <c r="FY166">
        <f>IF(BC166&lt;&gt;-999, BC166*$FX166, -999)</f>
        <v>42949986.16267433</v>
      </c>
      <c r="FZ166">
        <f>IF(BD166&lt;&gt;-999, BD166*$FX166, -999)</f>
        <v>-999</v>
      </c>
      <c r="GA166" s="29">
        <f>IF(BE166&lt;&gt;-999, BE166*$FX166, -999)</f>
        <v>42949986.16267433</v>
      </c>
      <c r="GB166">
        <f t="shared" si="108"/>
        <v>-2.1347199999999873</v>
      </c>
      <c r="GC166">
        <f>IF(BF166&lt;&gt;-999,BF166*$GB166, -999)</f>
        <v>-28290738.209059343</v>
      </c>
      <c r="GD166">
        <f>IF(BG166&lt;&gt;-999,BG166*$GB166, -999)</f>
        <v>-999</v>
      </c>
      <c r="GE166" s="29">
        <f>IF(BH166&lt;&gt;-999,BH166*$GB166, -999)</f>
        <v>-28290738.209059343</v>
      </c>
      <c r="GF166">
        <f t="shared" si="109"/>
        <v>-10.847719999999988</v>
      </c>
      <c r="GG166">
        <f>IF(BI166&lt;&gt;-999,BI166*$GF166, -999)</f>
        <v>-186174439.55710191</v>
      </c>
      <c r="GH166">
        <f>IF(BJ166&lt;&gt;-999,BJ166*$GF166, -999)</f>
        <v>-999</v>
      </c>
      <c r="GI166" s="29">
        <f>IF(BK166&lt;&gt;-999,BK166*$GF166, -999)</f>
        <v>-186174439.55710191</v>
      </c>
      <c r="GJ166" s="30">
        <f t="shared" si="103"/>
        <v>232356152.96168804</v>
      </c>
    </row>
    <row r="167" spans="1:192">
      <c r="A167" s="49" t="s">
        <v>142</v>
      </c>
      <c r="B167" s="49" t="s">
        <v>145</v>
      </c>
      <c r="C167" s="49">
        <v>16</v>
      </c>
      <c r="D167" s="50">
        <v>0.42799999999999999</v>
      </c>
      <c r="E167" s="49">
        <v>9.6133922654416093</v>
      </c>
      <c r="F167" s="49">
        <v>0.798534471665442</v>
      </c>
      <c r="G167" s="49">
        <v>78.376961628323599</v>
      </c>
      <c r="H167" s="49">
        <v>0.81787630234544495</v>
      </c>
      <c r="I167" s="42">
        <v>63327.6</v>
      </c>
      <c r="J167" s="43">
        <v>16249</v>
      </c>
      <c r="K167" s="43">
        <f t="shared" si="78"/>
        <v>79576.600000000006</v>
      </c>
      <c r="L167" s="43">
        <v>26568.7</v>
      </c>
      <c r="M167" s="43">
        <v>6817.2</v>
      </c>
      <c r="N167" s="43">
        <f t="shared" si="79"/>
        <v>33385.9</v>
      </c>
      <c r="O167" s="43">
        <v>44331.6</v>
      </c>
      <c r="P167" s="43">
        <v>11374.9</v>
      </c>
      <c r="Q167" s="43">
        <f t="shared" si="80"/>
        <v>55706.5</v>
      </c>
      <c r="R167" s="43">
        <v>39491</v>
      </c>
      <c r="S167" s="43">
        <v>10132.799999999999</v>
      </c>
      <c r="T167" s="43">
        <f t="shared" si="81"/>
        <v>49623.8</v>
      </c>
      <c r="U167" s="43">
        <v>16568.2</v>
      </c>
      <c r="V167" s="43">
        <v>4251.2</v>
      </c>
      <c r="W167" s="43">
        <f t="shared" si="82"/>
        <v>20819.400000000001</v>
      </c>
      <c r="X167" s="43">
        <v>27645.1</v>
      </c>
      <c r="Y167" s="43">
        <v>7093.4</v>
      </c>
      <c r="Z167" s="43">
        <f t="shared" si="83"/>
        <v>34738.5</v>
      </c>
      <c r="AA167" s="22">
        <v>587496.19999999995</v>
      </c>
      <c r="AB167">
        <v>93150</v>
      </c>
      <c r="AC167">
        <v>680646.2</v>
      </c>
      <c r="AD167">
        <v>246480.6</v>
      </c>
      <c r="AE167">
        <v>39080.6</v>
      </c>
      <c r="AF167">
        <v>285561.2</v>
      </c>
      <c r="AG167">
        <v>411268.7</v>
      </c>
      <c r="AH167">
        <v>65208.4</v>
      </c>
      <c r="AI167">
        <v>476477.1</v>
      </c>
      <c r="AJ167">
        <v>366361.7</v>
      </c>
      <c r="AK167">
        <v>58088.2</v>
      </c>
      <c r="AL167">
        <v>424449.9</v>
      </c>
      <c r="AM167">
        <v>153704.9</v>
      </c>
      <c r="AN167">
        <v>24370.6</v>
      </c>
      <c r="AO167">
        <v>178075.5</v>
      </c>
      <c r="AP167">
        <v>256466.5</v>
      </c>
      <c r="AQ167">
        <v>40663.9</v>
      </c>
      <c r="AR167">
        <v>297130.40000000002</v>
      </c>
      <c r="AS167">
        <v>2342340.35</v>
      </c>
      <c r="AT167" s="22">
        <f t="shared" si="111"/>
        <v>977995.80326149508</v>
      </c>
      <c r="AU167">
        <f t="shared" si="111"/>
        <v>155065.35884624999</v>
      </c>
      <c r="AV167">
        <f t="shared" si="111"/>
        <v>1133061.162107745</v>
      </c>
      <c r="AW167">
        <f t="shared" si="111"/>
        <v>410312.42820868501</v>
      </c>
      <c r="AX167">
        <f t="shared" si="111"/>
        <v>65056.868093685</v>
      </c>
      <c r="AY167">
        <f t="shared" si="111"/>
        <v>475369.29630237003</v>
      </c>
      <c r="AZ167">
        <f t="shared" si="111"/>
        <v>684632.61994343251</v>
      </c>
      <c r="BA167">
        <f t="shared" si="111"/>
        <v>108551.41111959</v>
      </c>
      <c r="BB167">
        <f t="shared" si="111"/>
        <v>793184.03106302244</v>
      </c>
      <c r="BC167">
        <f t="shared" si="111"/>
        <v>609876.63422460749</v>
      </c>
      <c r="BD167">
        <f t="shared" si="110"/>
        <v>96698.524720695001</v>
      </c>
      <c r="BE167">
        <f t="shared" si="110"/>
        <v>706575.1589453026</v>
      </c>
      <c r="BF167">
        <f t="shared" si="110"/>
        <v>255870.16076142751</v>
      </c>
      <c r="BG167">
        <f t="shared" si="110"/>
        <v>40569.359466435002</v>
      </c>
      <c r="BH167">
        <f t="shared" si="110"/>
        <v>296439.52022786246</v>
      </c>
      <c r="BI167">
        <f t="shared" si="110"/>
        <v>426935.80090758746</v>
      </c>
      <c r="BJ167">
        <f t="shared" si="110"/>
        <v>67692.563022952498</v>
      </c>
      <c r="BK167">
        <f t="shared" si="110"/>
        <v>494628.36393053998</v>
      </c>
      <c r="BL167">
        <f t="shared" si="110"/>
        <v>3899257.6158110662</v>
      </c>
      <c r="BM167" s="22">
        <f>-17.17-(0.1023*E167)+F167*(100-8.576-13.681)</f>
        <v>43.927015401931783</v>
      </c>
      <c r="BN167">
        <f>IF(AT167&lt;&gt;-999,AT167*$BM167, -999)</f>
        <v>42960436.712892339</v>
      </c>
      <c r="BO167">
        <f>IF(AU167&lt;&gt;-999,AU167*$BM167, -999)</f>
        <v>6811558.4063453022</v>
      </c>
      <c r="BP167" s="25">
        <f>IF(AV167&lt;&gt;-999,AV167*$BM167, -999)</f>
        <v>49771995.119237639</v>
      </c>
      <c r="BQ167">
        <f>-19.943-(0.1023*E167)+F167*(100-8.576-13.681)</f>
        <v>41.154015401931787</v>
      </c>
      <c r="BR167">
        <f>IF(AW167&lt;&gt;-999,AW167*$BQ167, -999)</f>
        <v>16886003.990104254</v>
      </c>
      <c r="BS167">
        <f>IF(AX167&lt;&gt;-999,AX167*$BQ167, -999)</f>
        <v>2677351.351528957</v>
      </c>
      <c r="BT167" s="25">
        <f>IF(AY167&lt;&gt;-999,AY167*$BQ167, -999)</f>
        <v>19563355.341633212</v>
      </c>
      <c r="BU167">
        <f>-25.871-(0.1023*E167)+F167*(100-8.576-13.681)</f>
        <v>35.226015401931789</v>
      </c>
      <c r="BV167">
        <f>IF(AZ167&lt;&gt;-999,AZ167*$BU167, -999)</f>
        <v>24116879.214792266</v>
      </c>
      <c r="BW167">
        <f>IF(BA167&lt;&gt;-999,BA167*$BU167, -999)</f>
        <v>3823833.6800001073</v>
      </c>
      <c r="BX167" s="25">
        <f>IF(BB167&lt;&gt;-999,BB167*$BU167, -999)</f>
        <v>27940712.89479237</v>
      </c>
      <c r="BY167">
        <f>-25.245-(0.1023*E167)+F167*(100-8.576-13.681)</f>
        <v>35.852015401931787</v>
      </c>
      <c r="BZ167">
        <f>IF(BC167&lt;&gt;-999,BC167*$BY167, -999)</f>
        <v>21865306.483498946</v>
      </c>
      <c r="CA167">
        <f>IF(BD167&lt;&gt;-999,BD167*$BY167, -999)</f>
        <v>3466836.9976304388</v>
      </c>
      <c r="CB167" s="25">
        <f>IF(BE167&lt;&gt;-999,BE167*$BY167, -999)</f>
        <v>25332143.481129389</v>
      </c>
      <c r="CC167">
        <f>-29.317-(0.1023*E167)+F167*(100-8.576-13.681)</f>
        <v>31.780015401931788</v>
      </c>
      <c r="CD167">
        <f>IF(BF167&lt;&gt;-999,BF167*$CC167, -999)</f>
        <v>8131557.649892929</v>
      </c>
      <c r="CE167">
        <f>IF(BG167&lt;&gt;-999,BG167*$CC167, -999)</f>
        <v>1289294.8686898116</v>
      </c>
      <c r="CF167" s="25">
        <f>IF(BH167&lt;&gt;-999,BH167*$CC167, -999)</f>
        <v>9420852.5185827389</v>
      </c>
      <c r="CG167">
        <f>-38.03-(0.1023*E167)+F167*(100-8.576-13.681)</f>
        <v>23.067015401931791</v>
      </c>
      <c r="CH167">
        <f>IF(BI167&lt;&gt;-999,BI167*$CG167, -999)</f>
        <v>9848134.6951714046</v>
      </c>
      <c r="CI167">
        <f>IF(BJ167&lt;&gt;-999,BJ167*$CG167, -999)</f>
        <v>1561465.3938466837</v>
      </c>
      <c r="CJ167" s="25">
        <f>IF(BK167&lt;&gt;-999,BK167*$CG167, -999)</f>
        <v>11409600.089018088</v>
      </c>
      <c r="CK167" s="26">
        <f t="shared" si="84"/>
        <v>143438659.44439343</v>
      </c>
      <c r="CL167">
        <f t="shared" si="85"/>
        <v>-46.42074894785258</v>
      </c>
      <c r="CM167">
        <f t="shared" si="86"/>
        <v>10.489755999064558</v>
      </c>
      <c r="CN167">
        <f t="shared" si="87"/>
        <v>-102.34820303365562</v>
      </c>
      <c r="CO167" s="22">
        <f t="shared" si="88"/>
        <v>-40.08</v>
      </c>
      <c r="CP167">
        <f>IF(AT167&lt;&gt;-999,AT167*$CO167, -999)</f>
        <v>-39198071.794720724</v>
      </c>
      <c r="CQ167">
        <f>IF(AU167&lt;&gt;-999,AU167*$CO167, -999)</f>
        <v>-6215019.5825576996</v>
      </c>
      <c r="CR167" s="27">
        <f>IF(AV167&lt;&gt;-999,AV167*$CO167, -999)</f>
        <v>-45413091.377278417</v>
      </c>
      <c r="CS167">
        <f t="shared" si="89"/>
        <v>-42.853000000000002</v>
      </c>
      <c r="CT167">
        <f>IF(AW167&lt;&gt;-999,AW167*$CS167, -999)</f>
        <v>-17583118.486026779</v>
      </c>
      <c r="CU167">
        <f>IF(AX167&lt;&gt;-999,AX167*$CS167, -999)</f>
        <v>-2787881.9684186834</v>
      </c>
      <c r="CV167" s="27">
        <f>IF(AY167&lt;&gt;-999,AY167*$CS167, -999)</f>
        <v>-20371000.454445463</v>
      </c>
      <c r="CW167">
        <f t="shared" si="90"/>
        <v>-48.780999999999999</v>
      </c>
      <c r="CX167">
        <f>IF(AZ167&lt;&gt;-999,AZ167*$CO167, -999)</f>
        <v>-27440075.407332774</v>
      </c>
      <c r="CY167">
        <f>IF(BA167&lt;&gt;-999,BA167*$CO167, -999)</f>
        <v>-4350740.5576731674</v>
      </c>
      <c r="CZ167" s="27">
        <f>IF(BB167&lt;&gt;-999,BB167*$CO167, -999)</f>
        <v>-31790815.965005938</v>
      </c>
      <c r="DA167">
        <f t="shared" si="91"/>
        <v>-48.155000000000001</v>
      </c>
      <c r="DB167">
        <f>IF(BC167&lt;&gt;-999,BC167*$DA167, -999)</f>
        <v>-29368609.321085975</v>
      </c>
      <c r="DC167">
        <f>IF(BD167&lt;&gt;-999,BD167*$DA167, -999)</f>
        <v>-4656517.4579250682</v>
      </c>
      <c r="DD167" s="27">
        <f>IF(BE167&lt;&gt;-999,BE167*$DA167, -999)</f>
        <v>-34025126.779011048</v>
      </c>
      <c r="DE167">
        <f t="shared" si="92"/>
        <v>-52.227000000000004</v>
      </c>
      <c r="DF167">
        <f>IF(BF167&lt;&gt;-999,BF167*$DE167, -999)</f>
        <v>-13363330.886087075</v>
      </c>
      <c r="DG167">
        <f>IF(BG167&lt;&gt;-999,BG167*$DE167, -999)</f>
        <v>-2118815.936853501</v>
      </c>
      <c r="DH167" s="27">
        <f>IF(BH167&lt;&gt;-999,BH167*$DE167, -999)</f>
        <v>-15482146.822940575</v>
      </c>
      <c r="DI167">
        <f t="shared" si="93"/>
        <v>-60.94</v>
      </c>
      <c r="DJ167">
        <f>IF(BI167&lt;&gt;-999,BI167*$DI167, -999)</f>
        <v>-26017467.707308378</v>
      </c>
      <c r="DK167">
        <f>IF(BJ167&lt;&gt;-999,BJ167*$DI167, -999)</f>
        <v>-4125184.7906187251</v>
      </c>
      <c r="DL167" s="27">
        <f>IF(BK167&lt;&gt;-999,BK167*$DI167, -999)</f>
        <v>-30142652.497927107</v>
      </c>
      <c r="DM167" s="28">
        <f t="shared" si="94"/>
        <v>-177224833.89660856</v>
      </c>
      <c r="DN167" s="22">
        <f t="shared" si="95"/>
        <v>-17.170000000000002</v>
      </c>
      <c r="DO167">
        <f>IF(AT167&lt;&gt;-999,AT167*$DN167, -999)</f>
        <v>-16792187.941999871</v>
      </c>
      <c r="DP167">
        <f>IF(AU167&lt;&gt;-999,AU167*$DN167, -999)</f>
        <v>-2662472.2113901125</v>
      </c>
      <c r="DQ167" s="24">
        <f>IF(AV167&lt;&gt;-999,AV167*$DN167, -999)</f>
        <v>-19454660.153389983</v>
      </c>
      <c r="DR167">
        <f t="shared" si="96"/>
        <v>-19.943000000000001</v>
      </c>
      <c r="DS167">
        <f>IF(AW167&lt;&gt;-999,AW167*$DR167, -999)</f>
        <v>-8182860.755765806</v>
      </c>
      <c r="DT167">
        <f>IF(AX167&lt;&gt;-999,AX167*$DR167, -999)</f>
        <v>-1297429.12039236</v>
      </c>
      <c r="DU167" s="24">
        <f>IF(AY167&lt;&gt;-999,AY167*$DR167, -999)</f>
        <v>-9480289.8761581667</v>
      </c>
      <c r="DV167">
        <f t="shared" si="97"/>
        <v>-25.870999999999999</v>
      </c>
      <c r="DW167">
        <f>IF(AZ167&lt;&gt;-999,AZ167*$DV167, -999)</f>
        <v>-17712130.510556541</v>
      </c>
      <c r="DX167">
        <f>IF(BA167&lt;&gt;-999,BA167*$DV167, -999)</f>
        <v>-2808333.5570749128</v>
      </c>
      <c r="DY167" s="24">
        <f>IF(BB167&lt;&gt;-999,BB167*$DV167, -999)</f>
        <v>-20520464.067631453</v>
      </c>
      <c r="DZ167">
        <f t="shared" si="98"/>
        <v>-25.245000000000001</v>
      </c>
      <c r="EA167">
        <f>IF(BC167&lt;&gt;-999, BC167*$DZ167, -999)</f>
        <v>-15396335.631000217</v>
      </c>
      <c r="EB167">
        <f>IF(BD167&lt;&gt;-999, BD167*$DZ167, -999)</f>
        <v>-2441154.2565739453</v>
      </c>
      <c r="EC167" s="24">
        <f>IF(BE167&lt;&gt;-999, BE167*$DZ167, -999)</f>
        <v>-17837489.887574166</v>
      </c>
      <c r="ED167">
        <f t="shared" si="99"/>
        <v>-29.317</v>
      </c>
      <c r="EE167">
        <f>IF(BF167&lt;&gt;-999,BF167*$ED167, -999)</f>
        <v>-7501345.5030427705</v>
      </c>
      <c r="EF167">
        <f>IF(BG167&lt;&gt;-999,BG167*$ED167, -999)</f>
        <v>-1189371.911477475</v>
      </c>
      <c r="EG167" s="24">
        <f>IF(BH167&lt;&gt;-999,BH167*$ED167, -999)</f>
        <v>-8690717.4145202432</v>
      </c>
      <c r="EH167">
        <f t="shared" si="100"/>
        <v>-38.03</v>
      </c>
      <c r="EI167">
        <f>IF(BI167&lt;&gt;-999,BI167*$EH167, -999)</f>
        <v>-16236368.508515552</v>
      </c>
      <c r="EJ167">
        <f>IF(BJ167&lt;&gt;-999,BJ167*$EH167, -999)</f>
        <v>-2574348.1717628837</v>
      </c>
      <c r="EK167" s="24">
        <f>IF(BK167&lt;&gt;-999,BK167*$EH167, -999)</f>
        <v>-18810716.680278435</v>
      </c>
      <c r="EL167" s="28">
        <f t="shared" si="101"/>
        <v>-94794338.079552457</v>
      </c>
      <c r="EM167" s="22">
        <f>-17.17-(0.1023*G167)+H167*(100+102.093-66.644-64.243)</f>
        <v>33.049736810232261</v>
      </c>
      <c r="EN167">
        <f>IF(AT167&lt;&gt;-999,AT167*$EM167, -999)</f>
        <v>32322503.899304103</v>
      </c>
      <c r="EO167">
        <f>IF(AU167&lt;&gt;-999,AU167*$EM167, -999)</f>
        <v>5124869.2982527828</v>
      </c>
      <c r="EP167" s="23">
        <f>IF(AV167&lt;&gt;-999,AV167*$EM167, -999)</f>
        <v>37447373.197556883</v>
      </c>
      <c r="EQ167">
        <f>-19.943-(0.1023*G167)+H167*(100+102.093-66.644-64.243)</f>
        <v>30.276736810232258</v>
      </c>
      <c r="ER167">
        <f>IF(AW167&lt;&gt;-999,AW167*$EQ167, -999)</f>
        <v>12422921.398841674</v>
      </c>
      <c r="ES167">
        <f>IF(AX167&lt;&gt;-999,AX167*$EQ167, -999)</f>
        <v>1969709.672970497</v>
      </c>
      <c r="ET167" s="23">
        <f>IF(AY167&lt;&gt;-999,AY167*$EQ167, -999)</f>
        <v>14392631.071812171</v>
      </c>
      <c r="EU167">
        <f>-25.871-(0.1023*G167)+H167*(100+102.093-66.644-64.243)</f>
        <v>24.348736810232261</v>
      </c>
      <c r="EV167">
        <f>IF(AZ167&lt;&gt;-999,AZ167*$EU167, -999)</f>
        <v>16669939.474702409</v>
      </c>
      <c r="EW167">
        <f>IF(BA167&lt;&gt;-999,BA167*$EU167, -999)</f>
        <v>2643089.7397302166</v>
      </c>
      <c r="EX167" s="23">
        <f>IF(BB167&lt;&gt;-999,BB167*$EU167, -999)</f>
        <v>19313029.214432623</v>
      </c>
      <c r="EY167">
        <f>-25.245-(0.1023*G167)+H167*(100+102.093-66.644-64.243)</f>
        <v>24.974736810232258</v>
      </c>
      <c r="EZ167">
        <f>IF(BC167&lt;&gt;-999, BC167*$EY167, -999)</f>
        <v>15231508.426469859</v>
      </c>
      <c r="FA167">
        <f>IF(BD167&lt;&gt;-999, BD167*$EY167, -999)</f>
        <v>2415020.2048370955</v>
      </c>
      <c r="FB167" s="23">
        <f>IF(BE167&lt;&gt;-999, BE167*$EY167, -999)</f>
        <v>17646528.631306957</v>
      </c>
      <c r="FC167">
        <f>-29.317-(0.1023*G167)+H167*(100+102.093-66.644-64.243)</f>
        <v>20.902736810232263</v>
      </c>
      <c r="FD167">
        <f>IF(BF167&lt;&gt;-999,BF167*$FC167, -999)</f>
        <v>5348386.627987938</v>
      </c>
      <c r="FE167">
        <f>IF(BG167&lt;&gt;-999,BG167*$FC167, -999)</f>
        <v>848010.6434865956</v>
      </c>
      <c r="FF167" s="23">
        <f>IF(BH167&lt;&gt;-999,BH167*$FC167, -999)</f>
        <v>6196397.2714745319</v>
      </c>
      <c r="FG167">
        <f>-38.03-(0.1023*G167)+H167*(100+102.093-66.644-64.243)</f>
        <v>12.189736810232262</v>
      </c>
      <c r="FH167">
        <f>IF(BI167&lt;&gt;-999,BI167*$FG167, -999)</f>
        <v>5204235.0479292106</v>
      </c>
      <c r="FI167">
        <f>IF(BJ167&lt;&gt;-999,BJ167*$FG167, -999)</f>
        <v>825154.52725985134</v>
      </c>
      <c r="FJ167" s="23">
        <f>IF(BK167&lt;&gt;-999,BK167*$FG167, -999)</f>
        <v>6029389.5751890624</v>
      </c>
      <c r="FK167" s="28">
        <f t="shared" si="102"/>
        <v>101025348.96177223</v>
      </c>
      <c r="FL167" s="22">
        <f t="shared" si="104"/>
        <v>10.012280000000011</v>
      </c>
      <c r="FM167">
        <f>IF(AT167&lt;&gt;-999,AT167*$FL167, -999)</f>
        <v>9791967.821079012</v>
      </c>
      <c r="FN167">
        <f>IF(AU167&lt;&gt;-999,AU167*$FL167, -999)</f>
        <v>1552557.7910691337</v>
      </c>
      <c r="FO167" s="29">
        <f>IF(AV167&lt;&gt;-999,AV167*$FL167, -999)</f>
        <v>11344525.612148145</v>
      </c>
      <c r="FP167">
        <f t="shared" si="105"/>
        <v>7.2392800000000115</v>
      </c>
      <c r="FQ167">
        <f>IF(AW167&lt;&gt;-999,AW167*$FP167, -999)</f>
        <v>2970366.5552825741</v>
      </c>
      <c r="FR167">
        <f>IF(AX167&lt;&gt;-999,AX167*$FP167, -999)</f>
        <v>470964.8840532527</v>
      </c>
      <c r="FS167" s="29">
        <f>IF(AY167&lt;&gt;-999,AY167*$FP167, -999)</f>
        <v>3441331.4393358268</v>
      </c>
      <c r="FT167">
        <f t="shared" si="106"/>
        <v>1.3112800000000142</v>
      </c>
      <c r="FU167">
        <f>IF(AZ167&lt;&gt;-999,AZ167*$FT167, -999)</f>
        <v>897745.06187943392</v>
      </c>
      <c r="FV167">
        <f>IF(BA167&lt;&gt;-999,BA167*$FT167, -999)</f>
        <v>142341.29437289754</v>
      </c>
      <c r="FW167" s="29">
        <f>IF(BB167&lt;&gt;-999,BB167*$FT167, -999)</f>
        <v>1040086.3562523313</v>
      </c>
      <c r="FX167">
        <f t="shared" si="107"/>
        <v>1.9372800000000119</v>
      </c>
      <c r="FY167">
        <f>IF(BC167&lt;&gt;-999, BC167*$FX167, -999)</f>
        <v>1181501.8059506549</v>
      </c>
      <c r="FZ167">
        <f>IF(BD167&lt;&gt;-999, BD167*$FX167, -999)</f>
        <v>187332.11797090917</v>
      </c>
      <c r="GA167" s="29">
        <f>IF(BE167&lt;&gt;-999, BE167*$FX167, -999)</f>
        <v>1368833.9239215641</v>
      </c>
      <c r="GB167">
        <f t="shared" si="108"/>
        <v>-2.1347199999999873</v>
      </c>
      <c r="GC167">
        <f>IF(BF167&lt;&gt;-999,BF167*$GB167, -999)</f>
        <v>-546211.14958063129</v>
      </c>
      <c r="GD167">
        <f>IF(BG167&lt;&gt;-999,BG167*$GB167, -999)</f>
        <v>-86604.223040187615</v>
      </c>
      <c r="GE167" s="29">
        <f>IF(BH167&lt;&gt;-999,BH167*$GB167, -999)</f>
        <v>-632815.37262081879</v>
      </c>
      <c r="GF167">
        <f t="shared" si="109"/>
        <v>-10.847719999999988</v>
      </c>
      <c r="GG167">
        <f>IF(BI167&lt;&gt;-999,BI167*$GF167, -999)</f>
        <v>-4631280.0262212493</v>
      </c>
      <c r="GH167">
        <f>IF(BJ167&lt;&gt;-999,BJ167*$GF167, -999)</f>
        <v>-734309.96975534153</v>
      </c>
      <c r="GI167" s="29">
        <f>IF(BK167&lt;&gt;-999,BK167*$GF167, -999)</f>
        <v>-5365589.9959765915</v>
      </c>
      <c r="GJ167" s="30">
        <f t="shared" si="103"/>
        <v>11196371.963060457</v>
      </c>
    </row>
    <row r="168" spans="1:192">
      <c r="A168" s="48" t="s">
        <v>146</v>
      </c>
      <c r="B168" s="48" t="s">
        <v>295</v>
      </c>
      <c r="C168" s="49">
        <v>47</v>
      </c>
      <c r="D168" s="50">
        <v>0.42399999999999999</v>
      </c>
      <c r="E168" s="49">
        <v>38.767737805538601</v>
      </c>
      <c r="F168" s="49">
        <v>0.79399104224447503</v>
      </c>
      <c r="G168" s="49">
        <v>129.18207173552901</v>
      </c>
      <c r="H168" s="49">
        <v>0.81417528224309499</v>
      </c>
      <c r="I168" s="42">
        <v>6633.5</v>
      </c>
      <c r="J168" s="43">
        <v>-999</v>
      </c>
      <c r="K168" s="43">
        <f t="shared" si="78"/>
        <v>6633.5</v>
      </c>
      <c r="L168" s="43">
        <v>422.6</v>
      </c>
      <c r="M168" s="43">
        <v>-999</v>
      </c>
      <c r="N168" s="43">
        <f t="shared" si="79"/>
        <v>422.6</v>
      </c>
      <c r="O168" s="43">
        <v>10118.799999999999</v>
      </c>
      <c r="P168" s="43">
        <v>-999</v>
      </c>
      <c r="Q168" s="43">
        <f t="shared" si="80"/>
        <v>10118.799999999999</v>
      </c>
      <c r="R168" s="43">
        <v>1920.9</v>
      </c>
      <c r="S168" s="43">
        <v>-999</v>
      </c>
      <c r="T168" s="43">
        <f t="shared" si="81"/>
        <v>1920.9</v>
      </c>
      <c r="U168" s="43">
        <v>122.4</v>
      </c>
      <c r="V168" s="43">
        <v>-999</v>
      </c>
      <c r="W168" s="43">
        <f t="shared" si="82"/>
        <v>122.4</v>
      </c>
      <c r="X168" s="43">
        <v>2930.2</v>
      </c>
      <c r="Y168" s="43">
        <v>-999</v>
      </c>
      <c r="Z168" s="43">
        <f t="shared" si="83"/>
        <v>2930.2</v>
      </c>
      <c r="AA168" s="22">
        <v>58696.7</v>
      </c>
      <c r="AB168">
        <v>-999</v>
      </c>
      <c r="AC168">
        <v>58696.7</v>
      </c>
      <c r="AD168">
        <v>3739.2</v>
      </c>
      <c r="AE168">
        <v>-999</v>
      </c>
      <c r="AF168">
        <v>3739.2</v>
      </c>
      <c r="AG168">
        <v>89536.7</v>
      </c>
      <c r="AH168">
        <v>-999</v>
      </c>
      <c r="AI168">
        <v>89536.7</v>
      </c>
      <c r="AJ168">
        <v>16997.400000000001</v>
      </c>
      <c r="AK168">
        <v>-999</v>
      </c>
      <c r="AL168">
        <v>16997.400000000001</v>
      </c>
      <c r="AM168">
        <v>1082.8</v>
      </c>
      <c r="AN168">
        <v>-999</v>
      </c>
      <c r="AO168">
        <v>1082.8</v>
      </c>
      <c r="AP168">
        <v>25928.1</v>
      </c>
      <c r="AQ168">
        <v>-999</v>
      </c>
      <c r="AR168">
        <v>25928.1</v>
      </c>
      <c r="AS168">
        <v>195980.89</v>
      </c>
      <c r="AT168" s="22">
        <f t="shared" si="111"/>
        <v>97711.485223732496</v>
      </c>
      <c r="AU168">
        <f t="shared" si="111"/>
        <v>-999</v>
      </c>
      <c r="AV168">
        <f t="shared" si="111"/>
        <v>97711.485223732496</v>
      </c>
      <c r="AW168">
        <f t="shared" si="111"/>
        <v>6224.58818892</v>
      </c>
      <c r="AX168">
        <f t="shared" si="111"/>
        <v>-999</v>
      </c>
      <c r="AY168">
        <f t="shared" si="111"/>
        <v>6224.58818892</v>
      </c>
      <c r="AZ168">
        <f t="shared" si="111"/>
        <v>149050.35443273248</v>
      </c>
      <c r="BA168">
        <f t="shared" si="111"/>
        <v>-999</v>
      </c>
      <c r="BB168">
        <f t="shared" si="111"/>
        <v>149050.35443273248</v>
      </c>
      <c r="BC168">
        <f t="shared" si="111"/>
        <v>28295.307895365004</v>
      </c>
      <c r="BD168">
        <f t="shared" si="110"/>
        <v>-999</v>
      </c>
      <c r="BE168">
        <f t="shared" si="110"/>
        <v>28295.307895365004</v>
      </c>
      <c r="BF168">
        <f t="shared" si="110"/>
        <v>1802.52034953</v>
      </c>
      <c r="BG168">
        <f t="shared" si="110"/>
        <v>-999</v>
      </c>
      <c r="BH168">
        <f t="shared" si="110"/>
        <v>1802.52034953</v>
      </c>
      <c r="BI168">
        <f t="shared" si="110"/>
        <v>43162.105536247494</v>
      </c>
      <c r="BJ168">
        <f t="shared" si="110"/>
        <v>-999</v>
      </c>
      <c r="BK168">
        <f t="shared" si="110"/>
        <v>43162.105536247494</v>
      </c>
      <c r="BL168">
        <f t="shared" si="110"/>
        <v>326246.34497968276</v>
      </c>
      <c r="BM168" s="22">
        <f>-17.17-(0.1023*E168)+F168*(100-8.576-13.681)</f>
        <v>40.591306019705627</v>
      </c>
      <c r="BN168">
        <f>IF(AT168&lt;&gt;-999,AT168*$BM168, -999)</f>
        <v>3966236.7983564702</v>
      </c>
      <c r="BO168">
        <f>IF(AU168&lt;&gt;-999,AU168*$BM168, -999)</f>
        <v>-999</v>
      </c>
      <c r="BP168" s="25">
        <f>IF(AV168&lt;&gt;-999,AV168*$BM168, -999)</f>
        <v>3966236.7983564702</v>
      </c>
      <c r="BQ168">
        <f>-19.943-(0.1023*E168)+F168*(100-8.576-13.681)</f>
        <v>37.818306019705631</v>
      </c>
      <c r="BR168">
        <f>IF(AW168&lt;&gt;-999,AW168*$BQ168, -999)</f>
        <v>235403.38097522181</v>
      </c>
      <c r="BS168">
        <f>IF(AX168&lt;&gt;-999,AX168*$BQ168, -999)</f>
        <v>-999</v>
      </c>
      <c r="BT168" s="25">
        <f>IF(AY168&lt;&gt;-999,AY168*$BQ168, -999)</f>
        <v>235403.38097522181</v>
      </c>
      <c r="BU168">
        <f>-25.871-(0.1023*E168)+F168*(100-8.576-13.681)</f>
        <v>31.890306019705633</v>
      </c>
      <c r="BV168">
        <f>IF(AZ168&lt;&gt;-999,AZ168*$BU168, -999)</f>
        <v>4753261.4152054265</v>
      </c>
      <c r="BW168">
        <f>IF(BA168&lt;&gt;-999,BA168*$BU168, -999)</f>
        <v>-999</v>
      </c>
      <c r="BX168" s="25">
        <f>IF(BB168&lt;&gt;-999,BB168*$BU168, -999)</f>
        <v>4753261.4152054265</v>
      </c>
      <c r="BY168">
        <f>-25.245-(0.1023*E168)+F168*(100-8.576-13.681)</f>
        <v>32.516306019705631</v>
      </c>
      <c r="BZ168">
        <f>IF(BC168&lt;&gt;-999,BC168*$BY168, -999)</f>
        <v>920058.8904474813</v>
      </c>
      <c r="CA168">
        <f>IF(BD168&lt;&gt;-999,BD168*$BY168, -999)</f>
        <v>-999</v>
      </c>
      <c r="CB168" s="25">
        <f>IF(BE168&lt;&gt;-999,BE168*$BY168, -999)</f>
        <v>920058.8904474813</v>
      </c>
      <c r="CC168">
        <f>-29.317-(0.1023*E168)+F168*(100-8.576-13.681)</f>
        <v>28.444306019705635</v>
      </c>
      <c r="CD168">
        <f>IF(BF168&lt;&gt;-999,BF168*$CC168, -999)</f>
        <v>51271.440428778085</v>
      </c>
      <c r="CE168">
        <f>IF(BG168&lt;&gt;-999,BG168*$CC168, -999)</f>
        <v>-999</v>
      </c>
      <c r="CF168" s="25">
        <f>IF(BH168&lt;&gt;-999,BH168*$CC168, -999)</f>
        <v>51271.440428778085</v>
      </c>
      <c r="CG168">
        <f>-38.03-(0.1023*E168)+F168*(100-8.576-13.681)</f>
        <v>19.731306019705634</v>
      </c>
      <c r="CH168">
        <f>IF(BI168&lt;&gt;-999,BI168*$CG168, -999)</f>
        <v>851644.71279053006</v>
      </c>
      <c r="CI168">
        <f>IF(BJ168&lt;&gt;-999,BJ168*$CG168, -999)</f>
        <v>-999</v>
      </c>
      <c r="CJ168" s="25">
        <f>IF(BK168&lt;&gt;-999,BK168*$CG168, -999)</f>
        <v>851644.71279053006</v>
      </c>
      <c r="CK168" s="26">
        <f t="shared" si="84"/>
        <v>10777876.638203908</v>
      </c>
      <c r="CL168">
        <f t="shared" si="85"/>
        <v>-43.057414978658748</v>
      </c>
      <c r="CM168">
        <f t="shared" si="86"/>
        <v>14.178747121526756</v>
      </c>
      <c r="CN168">
        <f t="shared" si="87"/>
        <v>-99.304900937384318</v>
      </c>
      <c r="CO168" s="22">
        <f t="shared" si="88"/>
        <v>-40.08</v>
      </c>
      <c r="CP168">
        <f>IF(AT168&lt;&gt;-999,AT168*$CO168, -999)</f>
        <v>-3916276.3277671984</v>
      </c>
      <c r="CQ168">
        <f>IF(AU168&lt;&gt;-999,AU168*$CO168, -999)</f>
        <v>-999</v>
      </c>
      <c r="CR168" s="27">
        <f>IF(AV168&lt;&gt;-999,AV168*$CO168, -999)</f>
        <v>-3916276.3277671984</v>
      </c>
      <c r="CS168">
        <f t="shared" si="89"/>
        <v>-42.853000000000002</v>
      </c>
      <c r="CT168">
        <f>IF(AW168&lt;&gt;-999,AW168*$CS168, -999)</f>
        <v>-266742.27765978879</v>
      </c>
      <c r="CU168">
        <f>IF(AX168&lt;&gt;-999,AX168*$CS168, -999)</f>
        <v>-999</v>
      </c>
      <c r="CV168" s="27">
        <f>IF(AY168&lt;&gt;-999,AY168*$CS168, -999)</f>
        <v>-266742.27765978879</v>
      </c>
      <c r="CW168">
        <f t="shared" si="90"/>
        <v>-48.780999999999999</v>
      </c>
      <c r="CX168">
        <f>IF(AZ168&lt;&gt;-999,AZ168*$CO168, -999)</f>
        <v>-5973938.2056639176</v>
      </c>
      <c r="CY168">
        <f>IF(BA168&lt;&gt;-999,BA168*$CO168, -999)</f>
        <v>-999</v>
      </c>
      <c r="CZ168" s="27">
        <f>IF(BB168&lt;&gt;-999,BB168*$CO168, -999)</f>
        <v>-5973938.2056639176</v>
      </c>
      <c r="DA168">
        <f t="shared" si="91"/>
        <v>-48.155000000000001</v>
      </c>
      <c r="DB168">
        <f>IF(BC168&lt;&gt;-999,BC168*$DA168, -999)</f>
        <v>-1362560.5517013017</v>
      </c>
      <c r="DC168">
        <f>IF(BD168&lt;&gt;-999,BD168*$DA168, -999)</f>
        <v>-999</v>
      </c>
      <c r="DD168" s="27">
        <f>IF(BE168&lt;&gt;-999,BE168*$DA168, -999)</f>
        <v>-1362560.5517013017</v>
      </c>
      <c r="DE168">
        <f t="shared" si="92"/>
        <v>-52.227000000000004</v>
      </c>
      <c r="DF168">
        <f>IF(BF168&lt;&gt;-999,BF168*$DE168, -999)</f>
        <v>-94140.230294903318</v>
      </c>
      <c r="DG168">
        <f>IF(BG168&lt;&gt;-999,BG168*$DE168, -999)</f>
        <v>-999</v>
      </c>
      <c r="DH168" s="27">
        <f>IF(BH168&lt;&gt;-999,BH168*$DE168, -999)</f>
        <v>-94140.230294903318</v>
      </c>
      <c r="DI168">
        <f t="shared" si="93"/>
        <v>-60.94</v>
      </c>
      <c r="DJ168">
        <f>IF(BI168&lt;&gt;-999,BI168*$DI168, -999)</f>
        <v>-2630298.7113789222</v>
      </c>
      <c r="DK168">
        <f>IF(BJ168&lt;&gt;-999,BJ168*$DI168, -999)</f>
        <v>-999</v>
      </c>
      <c r="DL168" s="27">
        <f>IF(BK168&lt;&gt;-999,BK168*$DI168, -999)</f>
        <v>-2630298.7113789222</v>
      </c>
      <c r="DM168" s="28">
        <f t="shared" si="94"/>
        <v>-14243956.304466033</v>
      </c>
      <c r="DN168" s="22">
        <f t="shared" si="95"/>
        <v>-17.170000000000002</v>
      </c>
      <c r="DO168">
        <f>IF(AT168&lt;&gt;-999,AT168*$DN168, -999)</f>
        <v>-1677706.2012914871</v>
      </c>
      <c r="DP168">
        <f>IF(AU168&lt;&gt;-999,AU168*$DN168, -999)</f>
        <v>-999</v>
      </c>
      <c r="DQ168" s="24">
        <f>IF(AV168&lt;&gt;-999,AV168*$DN168, -999)</f>
        <v>-1677706.2012914871</v>
      </c>
      <c r="DR168">
        <f t="shared" si="96"/>
        <v>-19.943000000000001</v>
      </c>
      <c r="DS168">
        <f>IF(AW168&lt;&gt;-999,AW168*$DR168, -999)</f>
        <v>-124136.96225163157</v>
      </c>
      <c r="DT168">
        <f>IF(AX168&lt;&gt;-999,AX168*$DR168, -999)</f>
        <v>-999</v>
      </c>
      <c r="DU168" s="24">
        <f>IF(AY168&lt;&gt;-999,AY168*$DR168, -999)</f>
        <v>-124136.96225163157</v>
      </c>
      <c r="DV168">
        <f t="shared" si="97"/>
        <v>-25.870999999999999</v>
      </c>
      <c r="DW168">
        <f>IF(AZ168&lt;&gt;-999,AZ168*$DV168, -999)</f>
        <v>-3856081.7195292218</v>
      </c>
      <c r="DX168">
        <f>IF(BA168&lt;&gt;-999,BA168*$DV168, -999)</f>
        <v>-999</v>
      </c>
      <c r="DY168" s="24">
        <f>IF(BB168&lt;&gt;-999,BB168*$DV168, -999)</f>
        <v>-3856081.7195292218</v>
      </c>
      <c r="DZ168">
        <f t="shared" si="98"/>
        <v>-25.245000000000001</v>
      </c>
      <c r="EA168">
        <f>IF(BC168&lt;&gt;-999, BC168*$DZ168, -999)</f>
        <v>-714315.04781848961</v>
      </c>
      <c r="EB168">
        <f>IF(BD168&lt;&gt;-999, BD168*$DZ168, -999)</f>
        <v>-999</v>
      </c>
      <c r="EC168" s="24">
        <f>IF(BE168&lt;&gt;-999, BE168*$DZ168, -999)</f>
        <v>-714315.04781848961</v>
      </c>
      <c r="ED168">
        <f t="shared" si="99"/>
        <v>-29.317</v>
      </c>
      <c r="EE168">
        <f>IF(BF168&lt;&gt;-999,BF168*$ED168, -999)</f>
        <v>-52844.489087171009</v>
      </c>
      <c r="EF168">
        <f>IF(BG168&lt;&gt;-999,BG168*$ED168, -999)</f>
        <v>-999</v>
      </c>
      <c r="EG168" s="24">
        <f>IF(BH168&lt;&gt;-999,BH168*$ED168, -999)</f>
        <v>-52844.489087171009</v>
      </c>
      <c r="EH168">
        <f t="shared" si="100"/>
        <v>-38.03</v>
      </c>
      <c r="EI168">
        <f>IF(BI168&lt;&gt;-999,BI168*$EH168, -999)</f>
        <v>-1641454.8735434923</v>
      </c>
      <c r="EJ168">
        <f>IF(BJ168&lt;&gt;-999,BJ168*$EH168, -999)</f>
        <v>-999</v>
      </c>
      <c r="EK168" s="24">
        <f>IF(BK168&lt;&gt;-999,BK168*$EH168, -999)</f>
        <v>-1641454.8735434923</v>
      </c>
      <c r="EL168" s="28">
        <f t="shared" si="101"/>
        <v>-8066539.2935214937</v>
      </c>
      <c r="EM168" s="22">
        <f>-17.17-(0.1023*G168)+H168*(100+102.093-66.644-64.243)</f>
        <v>27.588839208857216</v>
      </c>
      <c r="EN168">
        <f>IF(AT168&lt;&gt;-999,AT168*$EM168, -999)</f>
        <v>2695746.4546961836</v>
      </c>
      <c r="EO168">
        <f>IF(AU168&lt;&gt;-999,AU168*$EM168, -999)</f>
        <v>-999</v>
      </c>
      <c r="EP168" s="23">
        <f>IF(AV168&lt;&gt;-999,AV168*$EM168, -999)</f>
        <v>2695746.4546961836</v>
      </c>
      <c r="EQ168">
        <f>-19.943-(0.1023*G168)+H168*(100+102.093-66.644-64.243)</f>
        <v>24.815839208857213</v>
      </c>
      <c r="ER168">
        <f>IF(AW168&lt;&gt;-999,AW168*$EQ168, -999)</f>
        <v>154468.37963759043</v>
      </c>
      <c r="ES168">
        <f>IF(AX168&lt;&gt;-999,AX168*$EQ168, -999)</f>
        <v>-999</v>
      </c>
      <c r="ET168" s="23">
        <f>IF(AY168&lt;&gt;-999,AY168*$EQ168, -999)</f>
        <v>154468.37963759043</v>
      </c>
      <c r="EU168">
        <f>-25.871-(0.1023*G168)+H168*(100+102.093-66.644-64.243)</f>
        <v>18.887839208857216</v>
      </c>
      <c r="EV168">
        <f>IF(AZ168&lt;&gt;-999,AZ168*$EU168, -999)</f>
        <v>2815239.1285486296</v>
      </c>
      <c r="EW168">
        <f>IF(BA168&lt;&gt;-999,BA168*$EU168, -999)</f>
        <v>-999</v>
      </c>
      <c r="EX168" s="23">
        <f>IF(BB168&lt;&gt;-999,BB168*$EU168, -999)</f>
        <v>2815239.1285486296</v>
      </c>
      <c r="EY168">
        <f>-25.245-(0.1023*G168)+H168*(100+102.093-66.644-64.243)</f>
        <v>19.513839208857213</v>
      </c>
      <c r="EZ168">
        <f>IF(BC168&lt;&gt;-999, BC168*$EY168, -999)</f>
        <v>552150.0886352607</v>
      </c>
      <c r="FA168">
        <f>IF(BD168&lt;&gt;-999, BD168*$EY168, -999)</f>
        <v>-999</v>
      </c>
      <c r="FB168" s="23">
        <f>IF(BE168&lt;&gt;-999, BE168*$EY168, -999)</f>
        <v>552150.0886352607</v>
      </c>
      <c r="FC168">
        <f>-29.317-(0.1023*G168)+H168*(100+102.093-66.644-64.243)</f>
        <v>15.441839208857218</v>
      </c>
      <c r="FD168">
        <f>IF(BF168&lt;&gt;-999,BF168*$FC168, -999)</f>
        <v>27834.229408135368</v>
      </c>
      <c r="FE168">
        <f>IF(BG168&lt;&gt;-999,BG168*$FC168, -999)</f>
        <v>-999</v>
      </c>
      <c r="FF168" s="23">
        <f>IF(BH168&lt;&gt;-999,BH168*$FC168, -999)</f>
        <v>27834.229408135368</v>
      </c>
      <c r="FG168">
        <f>-38.03-(0.1023*G168)+H168*(100+102.093-66.644-64.243)</f>
        <v>6.7288392088572166</v>
      </c>
      <c r="FH168">
        <f>IF(BI168&lt;&gt;-999,BI168*$FG168, -999)</f>
        <v>290430.86806913529</v>
      </c>
      <c r="FI168">
        <f>IF(BJ168&lt;&gt;-999,BJ168*$FG168, -999)</f>
        <v>-999</v>
      </c>
      <c r="FJ168" s="23">
        <f>IF(BK168&lt;&gt;-999,BK168*$FG168, -999)</f>
        <v>290430.86806913529</v>
      </c>
      <c r="FK168" s="28">
        <f t="shared" si="102"/>
        <v>6535869.1489949347</v>
      </c>
      <c r="FL168" s="22">
        <f t="shared" si="104"/>
        <v>10.012280000000011</v>
      </c>
      <c r="FM168">
        <f>IF(AT168&lt;&gt;-999,AT168*$FL168, -999)</f>
        <v>978314.74927587353</v>
      </c>
      <c r="FN168">
        <f>IF(AU168&lt;&gt;-999,AU168*$FL168, -999)</f>
        <v>-999</v>
      </c>
      <c r="FO168" s="29">
        <f>IF(AV168&lt;&gt;-999,AV168*$FL168, -999)</f>
        <v>978314.74927587353</v>
      </c>
      <c r="FP168">
        <f t="shared" si="105"/>
        <v>7.2392800000000115</v>
      </c>
      <c r="FQ168">
        <f>IF(AW168&lt;&gt;-999,AW168*$FP168, -999)</f>
        <v>45061.53678428485</v>
      </c>
      <c r="FR168">
        <f>IF(AX168&lt;&gt;-999,AX168*$FP168, -999)</f>
        <v>-999</v>
      </c>
      <c r="FS168" s="29">
        <f>IF(AY168&lt;&gt;-999,AY168*$FP168, -999)</f>
        <v>45061.53678428485</v>
      </c>
      <c r="FT168">
        <f t="shared" si="106"/>
        <v>1.3112800000000142</v>
      </c>
      <c r="FU168">
        <f>IF(AZ168&lt;&gt;-999,AZ168*$FT168, -999)</f>
        <v>195446.74876055555</v>
      </c>
      <c r="FV168">
        <f>IF(BA168&lt;&gt;-999,BA168*$FT168, -999)</f>
        <v>-999</v>
      </c>
      <c r="FW168" s="29">
        <f>IF(BB168&lt;&gt;-999,BB168*$FT168, -999)</f>
        <v>195446.74876055555</v>
      </c>
      <c r="FX168">
        <f t="shared" si="107"/>
        <v>1.9372800000000119</v>
      </c>
      <c r="FY168">
        <f>IF(BC168&lt;&gt;-999, BC168*$FX168, -999)</f>
        <v>54815.93407953305</v>
      </c>
      <c r="FZ168">
        <f>IF(BD168&lt;&gt;-999, BD168*$FX168, -999)</f>
        <v>-999</v>
      </c>
      <c r="GA168" s="29">
        <f>IF(BE168&lt;&gt;-999, BE168*$FX168, -999)</f>
        <v>54815.93407953305</v>
      </c>
      <c r="GB168">
        <f t="shared" si="108"/>
        <v>-2.1347199999999873</v>
      </c>
      <c r="GC168">
        <f>IF(BF168&lt;&gt;-999,BF168*$GB168, -999)</f>
        <v>-3847.8762405486586</v>
      </c>
      <c r="GD168">
        <f>IF(BG168&lt;&gt;-999,BG168*$GB168, -999)</f>
        <v>-999</v>
      </c>
      <c r="GE168" s="29">
        <f>IF(BH168&lt;&gt;-999,BH168*$GB168, -999)</f>
        <v>-3847.8762405486586</v>
      </c>
      <c r="GF168">
        <f t="shared" si="109"/>
        <v>-10.847719999999988</v>
      </c>
      <c r="GG168">
        <f>IF(BI168&lt;&gt;-999,BI168*$GF168, -999)</f>
        <v>-468210.43546766217</v>
      </c>
      <c r="GH168">
        <f>IF(BJ168&lt;&gt;-999,BJ168*$GF168, -999)</f>
        <v>-999</v>
      </c>
      <c r="GI168" s="29">
        <f>IF(BK168&lt;&gt;-999,BK168*$GF168, -999)</f>
        <v>-468210.43546766217</v>
      </c>
      <c r="GJ168" s="30">
        <f t="shared" si="103"/>
        <v>801580.65719203616</v>
      </c>
    </row>
    <row r="169" spans="1:192">
      <c r="A169" s="49" t="s">
        <v>136</v>
      </c>
      <c r="B169" s="49" t="s">
        <v>296</v>
      </c>
      <c r="C169" s="49">
        <v>22</v>
      </c>
      <c r="D169" s="50">
        <v>0.42199999999999999</v>
      </c>
      <c r="E169" s="49">
        <v>128.66407764917801</v>
      </c>
      <c r="F169" s="49">
        <v>0.791211394520277</v>
      </c>
      <c r="G169" s="49">
        <v>305.59235972736599</v>
      </c>
      <c r="H169" s="49">
        <v>0.79928273086121804</v>
      </c>
      <c r="I169" s="42">
        <v>33548.9</v>
      </c>
      <c r="J169" s="43">
        <v>49842.7</v>
      </c>
      <c r="K169" s="43">
        <f t="shared" si="78"/>
        <v>83391.600000000006</v>
      </c>
      <c r="L169" s="43">
        <v>8772.7000000000007</v>
      </c>
      <c r="M169" s="43">
        <v>13033.3</v>
      </c>
      <c r="N169" s="43">
        <f t="shared" si="79"/>
        <v>21806</v>
      </c>
      <c r="O169" s="43">
        <v>30263.3</v>
      </c>
      <c r="P169" s="43">
        <v>44961.3</v>
      </c>
      <c r="Q169" s="43">
        <f t="shared" si="80"/>
        <v>75224.600000000006</v>
      </c>
      <c r="R169" s="43">
        <v>59163.199999999997</v>
      </c>
      <c r="S169" s="43">
        <v>87897</v>
      </c>
      <c r="T169" s="43">
        <f t="shared" si="81"/>
        <v>147060.20000000001</v>
      </c>
      <c r="U169" s="43">
        <v>15470.5</v>
      </c>
      <c r="V169" s="43">
        <v>22984.1</v>
      </c>
      <c r="W169" s="43">
        <f t="shared" si="82"/>
        <v>38454.6</v>
      </c>
      <c r="X169" s="43">
        <v>53369</v>
      </c>
      <c r="Y169" s="43">
        <v>79288.800000000003</v>
      </c>
      <c r="Z169" s="43">
        <f t="shared" si="83"/>
        <v>132657.79999999999</v>
      </c>
      <c r="AA169" s="22">
        <v>298104.59999999998</v>
      </c>
      <c r="AB169">
        <v>522292.9</v>
      </c>
      <c r="AC169">
        <v>820397.6</v>
      </c>
      <c r="AD169">
        <v>77951.100000000006</v>
      </c>
      <c r="AE169">
        <v>136573.79999999999</v>
      </c>
      <c r="AF169">
        <v>214524.9</v>
      </c>
      <c r="AG169">
        <v>268909.59999999998</v>
      </c>
      <c r="AH169">
        <v>471141.9</v>
      </c>
      <c r="AI169">
        <v>740051.5</v>
      </c>
      <c r="AJ169">
        <v>525704.19999999995</v>
      </c>
      <c r="AK169">
        <v>921057.8</v>
      </c>
      <c r="AL169">
        <v>1446761.9</v>
      </c>
      <c r="AM169">
        <v>137465.79999999999</v>
      </c>
      <c r="AN169">
        <v>240846.4</v>
      </c>
      <c r="AO169">
        <v>378312.2</v>
      </c>
      <c r="AP169">
        <v>474219.1</v>
      </c>
      <c r="AQ169">
        <v>830853.5</v>
      </c>
      <c r="AR169">
        <v>1305072.6000000001</v>
      </c>
      <c r="AS169">
        <v>4905120.6900000004</v>
      </c>
      <c r="AT169" s="22">
        <f t="shared" si="111"/>
        <v>496250.099546085</v>
      </c>
      <c r="AU169">
        <f t="shared" si="111"/>
        <v>869452.88203272747</v>
      </c>
      <c r="AV169">
        <f t="shared" si="111"/>
        <v>1365703.14804726</v>
      </c>
      <c r="AW169">
        <f t="shared" si="111"/>
        <v>129763.9859791725</v>
      </c>
      <c r="AX169">
        <f t="shared" si="111"/>
        <v>227352.284551755</v>
      </c>
      <c r="AY169">
        <f t="shared" si="111"/>
        <v>357116.27053092746</v>
      </c>
      <c r="AZ169">
        <f t="shared" si="111"/>
        <v>447649.63629845995</v>
      </c>
      <c r="BA169">
        <f t="shared" si="111"/>
        <v>784302.60645200254</v>
      </c>
      <c r="BB169">
        <f t="shared" si="111"/>
        <v>1231952.2427504624</v>
      </c>
      <c r="BC169">
        <f t="shared" si="111"/>
        <v>875131.62018229498</v>
      </c>
      <c r="BD169">
        <f t="shared" si="110"/>
        <v>1533270.620237655</v>
      </c>
      <c r="BE169">
        <f t="shared" si="110"/>
        <v>2408402.0739515023</v>
      </c>
      <c r="BF169">
        <f t="shared" si="110"/>
        <v>228837.183103455</v>
      </c>
      <c r="BG169">
        <f t="shared" si="110"/>
        <v>400933.26293963997</v>
      </c>
      <c r="BH169">
        <f t="shared" si="110"/>
        <v>629770.44604309497</v>
      </c>
      <c r="BI169">
        <f t="shared" si="110"/>
        <v>789425.17351847247</v>
      </c>
      <c r="BJ169">
        <f t="shared" si="110"/>
        <v>1383108.9224494125</v>
      </c>
      <c r="BK169">
        <f t="shared" si="110"/>
        <v>2172534.0959678851</v>
      </c>
      <c r="BL169">
        <f t="shared" si="110"/>
        <v>8165478.2606442887</v>
      </c>
      <c r="BM169" s="22">
        <f>-17.17-(0.1023*E169)+F169*(100-8.576-13.681)</f>
        <v>31.178812300678992</v>
      </c>
      <c r="BN169">
        <f>IF(AT169&lt;&gt;-999,AT169*$BM169, -999)</f>
        <v>15472488.707940649</v>
      </c>
      <c r="BO169">
        <f>IF(AU169&lt;&gt;-999,AU169*$BM169, -999)</f>
        <v>27108508.213182803</v>
      </c>
      <c r="BP169" s="25">
        <f>IF(AV169&lt;&gt;-999,AV169*$BM169, -999)</f>
        <v>42581002.111411929</v>
      </c>
      <c r="BQ169">
        <f>-19.943-(0.1023*E169)+F169*(100-8.576-13.681)</f>
        <v>28.405812300678988</v>
      </c>
      <c r="BR169">
        <f>IF(AW169&lt;&gt;-999,AW169*$BQ169, -999)</f>
        <v>3686051.4291123142</v>
      </c>
      <c r="BS169">
        <f>IF(AX169&lt;&gt;-999,AX169*$BQ169, -999)</f>
        <v>6458126.3211077116</v>
      </c>
      <c r="BT169" s="25">
        <f>IF(AY169&lt;&gt;-999,AY169*$BQ169, -999)</f>
        <v>10144177.750220025</v>
      </c>
      <c r="BU169">
        <f>-25.871-(0.1023*E169)+F169*(100-8.576-13.681)</f>
        <v>22.477812300678991</v>
      </c>
      <c r="BV169">
        <f>IF(AZ169&lt;&gt;-999,AZ169*$BU169, -999)</f>
        <v>10062184.501184</v>
      </c>
      <c r="BW169">
        <f>IF(BA169&lt;&gt;-999,BA169*$BU169, -999)</f>
        <v>17629406.774761416</v>
      </c>
      <c r="BX169" s="25">
        <f>IF(BB169&lt;&gt;-999,BB169*$BU169, -999)</f>
        <v>27691591.275945414</v>
      </c>
      <c r="BY169">
        <f>-25.245-(0.1023*E169)+F169*(100-8.576-13.681)</f>
        <v>23.103812300678989</v>
      </c>
      <c r="BZ169">
        <f>IF(BC169&lt;&gt;-999,BC169*$BY169, -999)</f>
        <v>20218876.691080838</v>
      </c>
      <c r="CA169">
        <f>IF(BD169&lt;&gt;-999,BD169*$BY169, -999)</f>
        <v>35424396.616116434</v>
      </c>
      <c r="CB169" s="25">
        <f>IF(BE169&lt;&gt;-999,BE169*$BY169, -999)</f>
        <v>55643269.461141504</v>
      </c>
      <c r="CC169">
        <f>-29.317-(0.1023*E169)+F169*(100-8.576-13.681)</f>
        <v>19.031812300678993</v>
      </c>
      <c r="CD169">
        <f>IF(BF169&lt;&gt;-999,BF169*$CC169, -999)</f>
        <v>4355186.316241066</v>
      </c>
      <c r="CE169">
        <f>IF(BG169&lt;&gt;-999,BG169*$CC169, -999)</f>
        <v>7630486.6053660056</v>
      </c>
      <c r="CF169" s="25">
        <f>IF(BH169&lt;&gt;-999,BH169*$CC169, -999)</f>
        <v>11985672.921607072</v>
      </c>
      <c r="CG169">
        <f>-38.03-(0.1023*E169)+F169*(100-8.576-13.681)</f>
        <v>10.318812300678992</v>
      </c>
      <c r="CH169">
        <f>IF(BI169&lt;&gt;-999,BI169*$CG169, -999)</f>
        <v>8145930.1909680618</v>
      </c>
      <c r="CI169">
        <f>IF(BJ169&lt;&gt;-999,BJ169*$CG169, -999)</f>
        <v>14272041.362149864</v>
      </c>
      <c r="CJ169" s="25">
        <f>IF(BK169&lt;&gt;-999,BK169*$CG169, -999)</f>
        <v>22417971.553117927</v>
      </c>
      <c r="CK169" s="26">
        <f t="shared" si="84"/>
        <v>170463685.07344389</v>
      </c>
      <c r="CL169">
        <f t="shared" si="85"/>
        <v>-31.663690667449366</v>
      </c>
      <c r="CM169">
        <f t="shared" si="86"/>
        <v>25.77355090255352</v>
      </c>
      <c r="CN169">
        <f t="shared" si="87"/>
        <v>-88.108782724140482</v>
      </c>
      <c r="CO169" s="22">
        <f t="shared" si="88"/>
        <v>-40.08</v>
      </c>
      <c r="CP169">
        <f>IF(AT169&lt;&gt;-999,AT169*$CO169, -999)</f>
        <v>-19889703.989807084</v>
      </c>
      <c r="CQ169">
        <f>IF(AU169&lt;&gt;-999,AU169*$CO169, -999)</f>
        <v>-34847671.511871718</v>
      </c>
      <c r="CR169" s="27">
        <f>IF(AV169&lt;&gt;-999,AV169*$CO169, -999)</f>
        <v>-54737382.173734181</v>
      </c>
      <c r="CS169">
        <f t="shared" si="89"/>
        <v>-42.853000000000002</v>
      </c>
      <c r="CT169">
        <f>IF(AW169&lt;&gt;-999,AW169*$CS169, -999)</f>
        <v>-5560776.0911654793</v>
      </c>
      <c r="CU169">
        <f>IF(AX169&lt;&gt;-999,AX169*$CS169, -999)</f>
        <v>-9742727.449896358</v>
      </c>
      <c r="CV169" s="27">
        <f>IF(AY169&lt;&gt;-999,AY169*$CS169, -999)</f>
        <v>-15303503.541061835</v>
      </c>
      <c r="CW169">
        <f t="shared" si="90"/>
        <v>-48.780999999999999</v>
      </c>
      <c r="CX169">
        <f>IF(AZ169&lt;&gt;-999,AZ169*$CO169, -999)</f>
        <v>-17941797.422842275</v>
      </c>
      <c r="CY169">
        <f>IF(BA169&lt;&gt;-999,BA169*$CO169, -999)</f>
        <v>-31434848.466596261</v>
      </c>
      <c r="CZ169" s="27">
        <f>IF(BB169&lt;&gt;-999,BB169*$CO169, -999)</f>
        <v>-49376645.889438532</v>
      </c>
      <c r="DA169">
        <f t="shared" si="91"/>
        <v>-48.155000000000001</v>
      </c>
      <c r="DB169">
        <f>IF(BC169&lt;&gt;-999,BC169*$DA169, -999)</f>
        <v>-42141963.169878416</v>
      </c>
      <c r="DC169">
        <f>IF(BD169&lt;&gt;-999,BD169*$DA169, -999)</f>
        <v>-73834646.717544273</v>
      </c>
      <c r="DD169" s="27">
        <f>IF(BE169&lt;&gt;-999,BE169*$DA169, -999)</f>
        <v>-115976601.87113459</v>
      </c>
      <c r="DE169">
        <f t="shared" si="92"/>
        <v>-52.227000000000004</v>
      </c>
      <c r="DF169">
        <f>IF(BF169&lt;&gt;-999,BF169*$DE169, -999)</f>
        <v>-11951479.561944146</v>
      </c>
      <c r="DG169">
        <f>IF(BG169&lt;&gt;-999,BG169*$DE169, -999)</f>
        <v>-20939541.523548577</v>
      </c>
      <c r="DH169" s="27">
        <f>IF(BH169&lt;&gt;-999,BH169*$DE169, -999)</f>
        <v>-32891021.085492723</v>
      </c>
      <c r="DI169">
        <f t="shared" si="93"/>
        <v>-60.94</v>
      </c>
      <c r="DJ169">
        <f>IF(BI169&lt;&gt;-999,BI169*$DI169, -999)</f>
        <v>-48107570.07421571</v>
      </c>
      <c r="DK169">
        <f>IF(BJ169&lt;&gt;-999,BJ169*$DI169, -999)</f>
        <v>-84286657.734067202</v>
      </c>
      <c r="DL169" s="27">
        <f>IF(BK169&lt;&gt;-999,BK169*$DI169, -999)</f>
        <v>-132394227.80828291</v>
      </c>
      <c r="DM169" s="28">
        <f t="shared" si="94"/>
        <v>-400679382.3691448</v>
      </c>
      <c r="DN169" s="22">
        <f t="shared" si="95"/>
        <v>-17.170000000000002</v>
      </c>
      <c r="DO169">
        <f>IF(AT169&lt;&gt;-999,AT169*$DN169, -999)</f>
        <v>-8520614.2092062794</v>
      </c>
      <c r="DP169">
        <f>IF(AU169&lt;&gt;-999,AU169*$DN169, -999)</f>
        <v>-14928505.984501932</v>
      </c>
      <c r="DQ169" s="24">
        <f>IF(AV169&lt;&gt;-999,AV169*$DN169, -999)</f>
        <v>-23449123.051971458</v>
      </c>
      <c r="DR169">
        <f t="shared" si="96"/>
        <v>-19.943000000000001</v>
      </c>
      <c r="DS169">
        <f>IF(AW169&lt;&gt;-999,AW169*$DR169, -999)</f>
        <v>-2587883.1723826374</v>
      </c>
      <c r="DT169">
        <f>IF(AX169&lt;&gt;-999,AX169*$DR169, -999)</f>
        <v>-4534086.6108156499</v>
      </c>
      <c r="DU169" s="24">
        <f>IF(AY169&lt;&gt;-999,AY169*$DR169, -999)</f>
        <v>-7121969.7831982868</v>
      </c>
      <c r="DV169">
        <f t="shared" si="97"/>
        <v>-25.870999999999999</v>
      </c>
      <c r="DW169">
        <f>IF(AZ169&lt;&gt;-999,AZ169*$DV169, -999)</f>
        <v>-11581143.740677457</v>
      </c>
      <c r="DX169">
        <f>IF(BA169&lt;&gt;-999,BA169*$DV169, -999)</f>
        <v>-20290692.731519755</v>
      </c>
      <c r="DY169" s="24">
        <f>IF(BB169&lt;&gt;-999,BB169*$DV169, -999)</f>
        <v>-31871836.472197212</v>
      </c>
      <c r="DZ169">
        <f t="shared" si="98"/>
        <v>-25.245000000000001</v>
      </c>
      <c r="EA169">
        <f>IF(BC169&lt;&gt;-999, BC169*$DZ169, -999)</f>
        <v>-22092697.751502037</v>
      </c>
      <c r="EB169">
        <f>IF(BD169&lt;&gt;-999, BD169*$DZ169, -999)</f>
        <v>-38707416.807899602</v>
      </c>
      <c r="EC169" s="24">
        <f>IF(BE169&lt;&gt;-999, BE169*$DZ169, -999)</f>
        <v>-60800110.356905676</v>
      </c>
      <c r="ED169">
        <f t="shared" si="99"/>
        <v>-29.317</v>
      </c>
      <c r="EE169">
        <f>IF(BF169&lt;&gt;-999,BF169*$ED169, -999)</f>
        <v>-6708819.6970439898</v>
      </c>
      <c r="EF169">
        <f>IF(BG169&lt;&gt;-999,BG169*$ED169, -999)</f>
        <v>-11754160.469601424</v>
      </c>
      <c r="EG169" s="24">
        <f>IF(BH169&lt;&gt;-999,BH169*$ED169, -999)</f>
        <v>-18462980.166645415</v>
      </c>
      <c r="EH169">
        <f t="shared" si="100"/>
        <v>-38.03</v>
      </c>
      <c r="EI169">
        <f>IF(BI169&lt;&gt;-999,BI169*$EH169, -999)</f>
        <v>-30021839.348907508</v>
      </c>
      <c r="EJ169">
        <f>IF(BJ169&lt;&gt;-999,BJ169*$EH169, -999)</f>
        <v>-52599632.32075116</v>
      </c>
      <c r="EK169" s="24">
        <f>IF(BK169&lt;&gt;-999,BK169*$EH169, -999)</f>
        <v>-82621471.669658676</v>
      </c>
      <c r="EL169" s="28">
        <f t="shared" si="101"/>
        <v>-224327491.50057673</v>
      </c>
      <c r="EM169" s="22">
        <f>-17.17-(0.1023*G169)+H169*(100+102.093-66.644-64.243)</f>
        <v>8.4816277335943653</v>
      </c>
      <c r="EN169">
        <f>IF(AT169&lt;&gt;-999,AT169*$EM169, -999)</f>
        <v>4209008.6071090391</v>
      </c>
      <c r="EO169">
        <f>IF(AU169&lt;&gt;-999,AU169*$EM169, -999)</f>
        <v>7374375.6773023317</v>
      </c>
      <c r="EP169" s="23">
        <f>IF(AV169&lt;&gt;-999,AV169*$EM169, -999)</f>
        <v>11583385.696334772</v>
      </c>
      <c r="EQ169">
        <f>-19.943-(0.1023*G169)+H169*(100+102.093-66.644-64.243)</f>
        <v>5.708627733594362</v>
      </c>
      <c r="ER169">
        <f>IF(AW169&lt;&gt;-999,AW169*$EQ169, -999)</f>
        <v>740774.28918245411</v>
      </c>
      <c r="ES169">
        <f>IF(AX169&lt;&gt;-999,AX169*$EQ169, -999)</f>
        <v>1297869.5568881857</v>
      </c>
      <c r="ET169" s="23">
        <f>IF(AY169&lt;&gt;-999,AY169*$EQ169, -999)</f>
        <v>2038643.8460706396</v>
      </c>
      <c r="EU169">
        <f>-25.871-(0.1023*G169)+H169*(100+102.093-66.644-64.243)</f>
        <v>-0.21937226640563523</v>
      </c>
      <c r="EV169">
        <f>IF(AZ169&lt;&gt;-999,AZ169*$EU169, -999)</f>
        <v>-98201.915270451471</v>
      </c>
      <c r="EW169">
        <f>IF(BA169&lt;&gt;-999,BA169*$EU169, -999)</f>
        <v>-172054.24032522278</v>
      </c>
      <c r="EX169" s="23">
        <f>IF(BB169&lt;&gt;-999,BB169*$EU169, -999)</f>
        <v>-270256.15559567424</v>
      </c>
      <c r="EY169">
        <f>-25.245-(0.1023*G169)+H169*(100+102.093-66.644-64.243)</f>
        <v>0.40662773359436244</v>
      </c>
      <c r="EZ169">
        <f>IF(BC169&lt;&gt;-999, BC169*$EY169, -999)</f>
        <v>355852.787311489</v>
      </c>
      <c r="FA169">
        <f>IF(BD169&lt;&gt;-999, BD169*$EY169, -999)</f>
        <v>623470.35729406006</v>
      </c>
      <c r="FB169" s="23">
        <f>IF(BE169&lt;&gt;-999, BE169*$EY169, -999)</f>
        <v>979323.07691486145</v>
      </c>
      <c r="FC169">
        <f>-29.317-(0.1023*G169)+H169*(100+102.093-66.644-64.243)</f>
        <v>-3.6653722664056403</v>
      </c>
      <c r="FD169">
        <f>IF(BF169&lt;&gt;-999,BF169*$FC169, -999)</f>
        <v>-838773.46446979337</v>
      </c>
      <c r="FE169">
        <f>IF(BG169&lt;&gt;-999,BG169*$FC169, -999)</f>
        <v>-1469569.6626584767</v>
      </c>
      <c r="FF169" s="23">
        <f>IF(BH169&lt;&gt;-999,BH169*$FC169, -999)</f>
        <v>-2308343.12712827</v>
      </c>
      <c r="FG169">
        <f>-38.03-(0.1023*G169)+H169*(100+102.093-66.644-64.243)</f>
        <v>-12.378372266405634</v>
      </c>
      <c r="FH169">
        <f>IF(BI169&lt;&gt;-999,BI169*$FG169, -999)</f>
        <v>-9771798.6742835157</v>
      </c>
      <c r="FI169">
        <f>IF(BJ169&lt;&gt;-999,BJ169*$FG169, -999)</f>
        <v>-17120637.12706599</v>
      </c>
      <c r="FJ169" s="23">
        <f>IF(BK169&lt;&gt;-999,BK169*$FG169, -999)</f>
        <v>-26892435.801349506</v>
      </c>
      <c r="FK169" s="28">
        <f t="shared" si="102"/>
        <v>-14869682.464753177</v>
      </c>
      <c r="FL169" s="22">
        <f t="shared" si="104"/>
        <v>10.012280000000011</v>
      </c>
      <c r="FM169">
        <f>IF(AT169&lt;&gt;-999,AT169*$FL169, -999)</f>
        <v>4968594.9466832811</v>
      </c>
      <c r="FN169">
        <f>IF(AU169&lt;&gt;-999,AU169*$FL169, -999)</f>
        <v>8705205.701718647</v>
      </c>
      <c r="FO169" s="29">
        <f>IF(AV169&lt;&gt;-999,AV169*$FL169, -999)</f>
        <v>13673802.315130636</v>
      </c>
      <c r="FP169">
        <f t="shared" si="105"/>
        <v>7.2392800000000115</v>
      </c>
      <c r="FQ169">
        <f>IF(AW169&lt;&gt;-999,AW169*$FP169, -999)</f>
        <v>939397.82841930538</v>
      </c>
      <c r="FR169">
        <f>IF(AX169&lt;&gt;-999,AX169*$FP169, -999)</f>
        <v>1645866.8465098315</v>
      </c>
      <c r="FS169" s="29">
        <f>IF(AY169&lt;&gt;-999,AY169*$FP169, -999)</f>
        <v>2585264.6749291369</v>
      </c>
      <c r="FT169">
        <f t="shared" si="106"/>
        <v>1.3112800000000142</v>
      </c>
      <c r="FU169">
        <f>IF(AZ169&lt;&gt;-999,AZ169*$FT169, -999)</f>
        <v>586994.01508545096</v>
      </c>
      <c r="FV169">
        <f>IF(BA169&lt;&gt;-999,BA169*$FT169, -999)</f>
        <v>1028440.3217883931</v>
      </c>
      <c r="FW169" s="29">
        <f>IF(BB169&lt;&gt;-999,BB169*$FT169, -999)</f>
        <v>1615434.3368738438</v>
      </c>
      <c r="FX169">
        <f t="shared" si="107"/>
        <v>1.9372800000000119</v>
      </c>
      <c r="FY169">
        <f>IF(BC169&lt;&gt;-999, BC169*$FX169, -999)</f>
        <v>1695374.9851467668</v>
      </c>
      <c r="FZ169">
        <f>IF(BD169&lt;&gt;-999, BD169*$FX169, -999)</f>
        <v>2970374.5071740225</v>
      </c>
      <c r="GA169" s="29">
        <f>IF(BE169&lt;&gt;-999, BE169*$FX169, -999)</f>
        <v>4665749.1698247949</v>
      </c>
      <c r="GB169">
        <f t="shared" si="108"/>
        <v>-2.1347199999999873</v>
      </c>
      <c r="GC169">
        <f>IF(BF169&lt;&gt;-999,BF169*$GB169, -999)</f>
        <v>-488503.31151460455</v>
      </c>
      <c r="GD169">
        <f>IF(BG169&lt;&gt;-999,BG169*$GB169, -999)</f>
        <v>-855880.25506250316</v>
      </c>
      <c r="GE169" s="29">
        <f>IF(BH169&lt;&gt;-999,BH169*$GB169, -999)</f>
        <v>-1344383.5665771076</v>
      </c>
      <c r="GF169">
        <f t="shared" si="109"/>
        <v>-10.847719999999988</v>
      </c>
      <c r="GG169">
        <f>IF(BI169&lt;&gt;-999,BI169*$GF169, -999)</f>
        <v>-8563463.2432797942</v>
      </c>
      <c r="GH169">
        <f>IF(BJ169&lt;&gt;-999,BJ169*$GF169, -999)</f>
        <v>-15003578.320232924</v>
      </c>
      <c r="GI169" s="29">
        <f>IF(BK169&lt;&gt;-999,BK169*$GF169, -999)</f>
        <v>-23567041.56351272</v>
      </c>
      <c r="GJ169" s="30">
        <f t="shared" si="103"/>
        <v>-2371174.633331418</v>
      </c>
    </row>
    <row r="170" spans="1:192">
      <c r="A170" s="48" t="s">
        <v>151</v>
      </c>
      <c r="B170" s="48" t="s">
        <v>297</v>
      </c>
      <c r="C170" s="49">
        <v>25</v>
      </c>
      <c r="D170" s="50">
        <v>0.42199999999999999</v>
      </c>
      <c r="E170" s="49">
        <v>146.59682220184899</v>
      </c>
      <c r="F170" s="49">
        <v>0.78986594459210102</v>
      </c>
      <c r="G170" s="49">
        <v>264.571672283054</v>
      </c>
      <c r="H170" s="49">
        <v>0.80468491856141899</v>
      </c>
      <c r="I170" s="42">
        <v>2991.4</v>
      </c>
      <c r="J170" s="43">
        <v>4553.2</v>
      </c>
      <c r="K170" s="43">
        <f t="shared" si="78"/>
        <v>7544.6</v>
      </c>
      <c r="L170" s="43">
        <v>4477.8999999999996</v>
      </c>
      <c r="M170" s="43">
        <v>6815.8</v>
      </c>
      <c r="N170" s="43">
        <f t="shared" si="79"/>
        <v>11293.7</v>
      </c>
      <c r="O170" s="43">
        <v>4437.7</v>
      </c>
      <c r="P170" s="43">
        <v>6754.5</v>
      </c>
      <c r="Q170" s="43">
        <f t="shared" si="80"/>
        <v>11192.2</v>
      </c>
      <c r="R170" s="43">
        <v>1750.5</v>
      </c>
      <c r="S170" s="43">
        <v>2664.4</v>
      </c>
      <c r="T170" s="43">
        <f t="shared" si="81"/>
        <v>4414.8999999999996</v>
      </c>
      <c r="U170" s="43">
        <v>2620.3000000000002</v>
      </c>
      <c r="V170" s="43">
        <v>3988.4</v>
      </c>
      <c r="W170" s="43">
        <f t="shared" si="82"/>
        <v>6608.7000000000007</v>
      </c>
      <c r="X170" s="43">
        <v>2596.8000000000002</v>
      </c>
      <c r="Y170" s="43">
        <v>3952.5</v>
      </c>
      <c r="Z170" s="43">
        <f t="shared" si="83"/>
        <v>6549.3</v>
      </c>
      <c r="AA170" s="22">
        <v>37794.6</v>
      </c>
      <c r="AB170">
        <v>46579.6</v>
      </c>
      <c r="AC170">
        <v>84374.2</v>
      </c>
      <c r="AD170">
        <v>56576</v>
      </c>
      <c r="AE170">
        <v>69726.600000000006</v>
      </c>
      <c r="AF170">
        <v>126302.6</v>
      </c>
      <c r="AG170">
        <v>56067.1</v>
      </c>
      <c r="AH170">
        <v>69099.5</v>
      </c>
      <c r="AI170">
        <v>125166.6</v>
      </c>
      <c r="AJ170">
        <v>22116.2</v>
      </c>
      <c r="AK170">
        <v>27256.9</v>
      </c>
      <c r="AL170">
        <v>49373</v>
      </c>
      <c r="AM170">
        <v>33106.400000000001</v>
      </c>
      <c r="AN170">
        <v>40801.800000000003</v>
      </c>
      <c r="AO170">
        <v>73908.2</v>
      </c>
      <c r="AP170">
        <v>32808.699999999997</v>
      </c>
      <c r="AQ170">
        <v>40434.800000000003</v>
      </c>
      <c r="AR170">
        <v>73243.399999999994</v>
      </c>
      <c r="AS170">
        <v>532368.05000000005</v>
      </c>
      <c r="AT170" s="22">
        <f t="shared" si="111"/>
        <v>62916.083858835002</v>
      </c>
      <c r="AU170">
        <f t="shared" si="111"/>
        <v>77540.336971709999</v>
      </c>
      <c r="AV170">
        <f t="shared" si="111"/>
        <v>140456.42083054499</v>
      </c>
      <c r="AW170">
        <f t="shared" si="111"/>
        <v>94181.188857599991</v>
      </c>
      <c r="AX170">
        <f t="shared" si="111"/>
        <v>116072.788514535</v>
      </c>
      <c r="AY170">
        <f t="shared" si="111"/>
        <v>210253.97737213501</v>
      </c>
      <c r="AZ170">
        <f t="shared" si="111"/>
        <v>93334.030928272492</v>
      </c>
      <c r="BA170">
        <f t="shared" si="111"/>
        <v>115028.86488026251</v>
      </c>
      <c r="BB170">
        <f t="shared" si="111"/>
        <v>208362.89580853502</v>
      </c>
      <c r="BC170">
        <f t="shared" si="111"/>
        <v>36816.494785994997</v>
      </c>
      <c r="BD170">
        <f t="shared" si="110"/>
        <v>45374.138266627502</v>
      </c>
      <c r="BE170">
        <f t="shared" si="110"/>
        <v>82190.46658417501</v>
      </c>
      <c r="BF170">
        <f t="shared" si="110"/>
        <v>55111.710103140002</v>
      </c>
      <c r="BG170">
        <f t="shared" si="110"/>
        <v>67922.123012055003</v>
      </c>
      <c r="BH170">
        <f t="shared" si="110"/>
        <v>123033.833115195</v>
      </c>
      <c r="BI170">
        <f t="shared" si="110"/>
        <v>54616.133534932495</v>
      </c>
      <c r="BJ170">
        <f t="shared" si="110"/>
        <v>67311.183809730006</v>
      </c>
      <c r="BK170">
        <f t="shared" si="110"/>
        <v>121927.150876215</v>
      </c>
      <c r="BL170">
        <f t="shared" si="110"/>
        <v>886224.82782102376</v>
      </c>
      <c r="BM170" s="22">
        <f>-17.17-(0.1023*E170)+F170*(100-8.576-13.681)</f>
        <v>29.239693219174562</v>
      </c>
      <c r="BN170">
        <f>IF(AT170&lt;&gt;-999,AT170*$BM170, -999)</f>
        <v>1839646.9905841958</v>
      </c>
      <c r="BO170">
        <f>IF(AU170&lt;&gt;-999,AU170*$BM170, -999)</f>
        <v>2267255.6651642197</v>
      </c>
      <c r="BP170" s="25">
        <f>IF(AV170&lt;&gt;-999,AV170*$BM170, -999)</f>
        <v>4106902.6557484148</v>
      </c>
      <c r="BQ170">
        <f>-19.943-(0.1023*E170)+F170*(100-8.576-13.681)</f>
        <v>26.466693219174559</v>
      </c>
      <c r="BR170">
        <f>IF(AW170&lt;&gt;-999,AW170*$BQ170, -999)</f>
        <v>2492664.63251124</v>
      </c>
      <c r="BS170">
        <f>IF(AX170&lt;&gt;-999,AX170*$BQ170, -999)</f>
        <v>3072062.8847083263</v>
      </c>
      <c r="BT170" s="25">
        <f>IF(AY170&lt;&gt;-999,AY170*$BQ170, -999)</f>
        <v>5564727.5172195667</v>
      </c>
      <c r="BU170">
        <f>-25.871-(0.1023*E170)+F170*(100-8.576-13.681)</f>
        <v>20.538693219174561</v>
      </c>
      <c r="BV170">
        <f>IF(AZ170&lt;&gt;-999,AZ170*$BU170, -999)</f>
        <v>1916959.0281447391</v>
      </c>
      <c r="BW170">
        <f>IF(BA170&lt;&gt;-999,BA170*$BU170, -999)</f>
        <v>2362542.5671255942</v>
      </c>
      <c r="BX170" s="25">
        <f>IF(BB170&lt;&gt;-999,BB170*$BU170, -999)</f>
        <v>4279501.5952703338</v>
      </c>
      <c r="BY170">
        <f>-25.245-(0.1023*E170)+F170*(100-8.576-13.681)</f>
        <v>21.164693219174566</v>
      </c>
      <c r="BZ170">
        <f>IF(BC170&lt;&gt;-999,BC170*$BY170, -999)</f>
        <v>779209.81755092414</v>
      </c>
      <c r="CA170">
        <f>IF(BD170&lt;&gt;-999,BD170*$BY170, -999)</f>
        <v>960329.71649758029</v>
      </c>
      <c r="CB170" s="25">
        <f>IF(BE170&lt;&gt;-999,BE170*$BY170, -999)</f>
        <v>1739536.0107948827</v>
      </c>
      <c r="CC170">
        <f>-29.317-(0.1023*E170)+F170*(100-8.576-13.681)</f>
        <v>17.092693219174564</v>
      </c>
      <c r="CD170">
        <f>IF(BF170&lt;&gt;-999,BF170*$CC170, -999)</f>
        <v>942007.55357705534</v>
      </c>
      <c r="CE170">
        <f>IF(BG170&lt;&gt;-999,BG170*$CC170, -999)</f>
        <v>1160972.0114400932</v>
      </c>
      <c r="CF170" s="25">
        <f>IF(BH170&lt;&gt;-999,BH170*$CC170, -999)</f>
        <v>2102979.5650171484</v>
      </c>
      <c r="CG170">
        <f>-38.03-(0.1023*E170)+F170*(100-8.576-13.681)</f>
        <v>8.3796932191745626</v>
      </c>
      <c r="CH170">
        <f>IF(BI170&lt;&gt;-999,BI170*$CG170, -999)</f>
        <v>457666.44384020625</v>
      </c>
      <c r="CI170">
        <f>IF(BJ170&lt;&gt;-999,BJ170*$CG170, -999)</f>
        <v>564047.07054500713</v>
      </c>
      <c r="CJ170" s="25">
        <f>IF(BK170&lt;&gt;-999,BK170*$CG170, -999)</f>
        <v>1021712.1194306928</v>
      </c>
      <c r="CK170" s="26">
        <f t="shared" si="84"/>
        <v>18815359.463481039</v>
      </c>
      <c r="CL170">
        <f t="shared" si="85"/>
        <v>-29.432967605623432</v>
      </c>
      <c r="CM170">
        <f t="shared" si="86"/>
        <v>28.102112000155124</v>
      </c>
      <c r="CN170">
        <f t="shared" si="87"/>
        <v>-85.974207680308652</v>
      </c>
      <c r="CO170" s="22">
        <f t="shared" si="88"/>
        <v>-40.08</v>
      </c>
      <c r="CP170">
        <f>IF(AT170&lt;&gt;-999,AT170*$CO170, -999)</f>
        <v>-2521676.6410621069</v>
      </c>
      <c r="CQ170">
        <f>IF(AU170&lt;&gt;-999,AU170*$CO170, -999)</f>
        <v>-3107816.7058261367</v>
      </c>
      <c r="CR170" s="27">
        <f>IF(AV170&lt;&gt;-999,AV170*$CO170, -999)</f>
        <v>-5629493.3468882432</v>
      </c>
      <c r="CS170">
        <f t="shared" si="89"/>
        <v>-42.853000000000002</v>
      </c>
      <c r="CT170">
        <f>IF(AW170&lt;&gt;-999,AW170*$CS170, -999)</f>
        <v>-4035946.4861147325</v>
      </c>
      <c r="CU170">
        <f>IF(AX170&lt;&gt;-999,AX170*$CS170, -999)</f>
        <v>-4974067.206213369</v>
      </c>
      <c r="CV170" s="27">
        <f>IF(AY170&lt;&gt;-999,AY170*$CS170, -999)</f>
        <v>-9010013.692328101</v>
      </c>
      <c r="CW170">
        <f t="shared" si="90"/>
        <v>-48.780999999999999</v>
      </c>
      <c r="CX170">
        <f>IF(AZ170&lt;&gt;-999,AZ170*$CO170, -999)</f>
        <v>-3740827.9596051611</v>
      </c>
      <c r="CY170">
        <f>IF(BA170&lt;&gt;-999,BA170*$CO170, -999)</f>
        <v>-4610356.9044009214</v>
      </c>
      <c r="CZ170" s="27">
        <f>IF(BB170&lt;&gt;-999,BB170*$CO170, -999)</f>
        <v>-8351184.8640060835</v>
      </c>
      <c r="DA170">
        <f t="shared" si="91"/>
        <v>-48.155000000000001</v>
      </c>
      <c r="DB170">
        <f>IF(BC170&lt;&gt;-999,BC170*$DA170, -999)</f>
        <v>-1772898.3064195891</v>
      </c>
      <c r="DC170">
        <f>IF(BD170&lt;&gt;-999,BD170*$DA170, -999)</f>
        <v>-2184991.6282294476</v>
      </c>
      <c r="DD170" s="27">
        <f>IF(BE170&lt;&gt;-999,BE170*$DA170, -999)</f>
        <v>-3957881.9183609476</v>
      </c>
      <c r="DE170">
        <f t="shared" si="92"/>
        <v>-52.227000000000004</v>
      </c>
      <c r="DF170">
        <f>IF(BF170&lt;&gt;-999,BF170*$DE170, -999)</f>
        <v>-2878319.2835566932</v>
      </c>
      <c r="DG170">
        <f>IF(BG170&lt;&gt;-999,BG170*$DE170, -999)</f>
        <v>-3547368.7185505969</v>
      </c>
      <c r="DH170" s="27">
        <f>IF(BH170&lt;&gt;-999,BH170*$DE170, -999)</f>
        <v>-6425688.0021072896</v>
      </c>
      <c r="DI170">
        <f t="shared" si="93"/>
        <v>-60.94</v>
      </c>
      <c r="DJ170">
        <f>IF(BI170&lt;&gt;-999,BI170*$DI170, -999)</f>
        <v>-3328307.1776187862</v>
      </c>
      <c r="DK170">
        <f>IF(BJ170&lt;&gt;-999,BJ170*$DI170, -999)</f>
        <v>-4101943.5413649464</v>
      </c>
      <c r="DL170" s="27">
        <f>IF(BK170&lt;&gt;-999,BK170*$DI170, -999)</f>
        <v>-7430240.5743965423</v>
      </c>
      <c r="DM170" s="28">
        <f t="shared" si="94"/>
        <v>-40804502.398087204</v>
      </c>
      <c r="DN170" s="22">
        <f t="shared" si="95"/>
        <v>-17.170000000000002</v>
      </c>
      <c r="DO170">
        <f>IF(AT170&lt;&gt;-999,AT170*$DN170, -999)</f>
        <v>-1080269.1598561972</v>
      </c>
      <c r="DP170">
        <f>IF(AU170&lt;&gt;-999,AU170*$DN170, -999)</f>
        <v>-1331367.5858042608</v>
      </c>
      <c r="DQ170" s="24">
        <f>IF(AV170&lt;&gt;-999,AV170*$DN170, -999)</f>
        <v>-2411636.7456604578</v>
      </c>
      <c r="DR170">
        <f t="shared" si="96"/>
        <v>-19.943000000000001</v>
      </c>
      <c r="DS170">
        <f>IF(AW170&lt;&gt;-999,AW170*$DR170, -999)</f>
        <v>-1878255.4493871168</v>
      </c>
      <c r="DT170">
        <f>IF(AX170&lt;&gt;-999,AX170*$DR170, -999)</f>
        <v>-2314839.6213453715</v>
      </c>
      <c r="DU170" s="24">
        <f>IF(AY170&lt;&gt;-999,AY170*$DR170, -999)</f>
        <v>-4193095.0707324888</v>
      </c>
      <c r="DV170">
        <f t="shared" si="97"/>
        <v>-25.870999999999999</v>
      </c>
      <c r="DW170">
        <f>IF(AZ170&lt;&gt;-999,AZ170*$DV170, -999)</f>
        <v>-2414644.7141453377</v>
      </c>
      <c r="DX170">
        <f>IF(BA170&lt;&gt;-999,BA170*$DV170, -999)</f>
        <v>-2975911.7633172711</v>
      </c>
      <c r="DY170" s="24">
        <f>IF(BB170&lt;&gt;-999,BB170*$DV170, -999)</f>
        <v>-5390556.4774626093</v>
      </c>
      <c r="DZ170">
        <f t="shared" si="98"/>
        <v>-25.245000000000001</v>
      </c>
      <c r="EA170">
        <f>IF(BC170&lt;&gt;-999, BC170*$DZ170, -999)</f>
        <v>-929432.4108724437</v>
      </c>
      <c r="EB170">
        <f>IF(BD170&lt;&gt;-999, BD170*$DZ170, -999)</f>
        <v>-1145470.1205410114</v>
      </c>
      <c r="EC170" s="24">
        <f>IF(BE170&lt;&gt;-999, BE170*$DZ170, -999)</f>
        <v>-2074898.3289174982</v>
      </c>
      <c r="ED170">
        <f t="shared" si="99"/>
        <v>-29.317</v>
      </c>
      <c r="EE170">
        <f>IF(BF170&lt;&gt;-999,BF170*$ED170, -999)</f>
        <v>-1615710.0050937554</v>
      </c>
      <c r="EF170">
        <f>IF(BG170&lt;&gt;-999,BG170*$ED170, -999)</f>
        <v>-1991272.8803444165</v>
      </c>
      <c r="EG170" s="24">
        <f>IF(BH170&lt;&gt;-999,BH170*$ED170, -999)</f>
        <v>-3606982.8854381717</v>
      </c>
      <c r="EH170">
        <f t="shared" si="100"/>
        <v>-38.03</v>
      </c>
      <c r="EI170">
        <f>IF(BI170&lt;&gt;-999,BI170*$EH170, -999)</f>
        <v>-2077051.5583334828</v>
      </c>
      <c r="EJ170">
        <f>IF(BJ170&lt;&gt;-999,BJ170*$EH170, -999)</f>
        <v>-2559844.3202840323</v>
      </c>
      <c r="EK170" s="24">
        <f>IF(BK170&lt;&gt;-999,BK170*$EH170, -999)</f>
        <v>-4636889.5478224568</v>
      </c>
      <c r="EL170" s="28">
        <f t="shared" si="101"/>
        <v>-22314059.056033682</v>
      </c>
      <c r="EM170" s="22">
        <f>-17.17-(0.1023*G170)+H170*(100+102.093-66.644-64.243)</f>
        <v>13.062712236527993</v>
      </c>
      <c r="EN170">
        <f>IF(AT170&lt;&gt;-999,AT170*$EM170, -999)</f>
        <v>821854.6984972253</v>
      </c>
      <c r="EO170">
        <f>IF(AU170&lt;&gt;-999,AU170*$EM170, -999)</f>
        <v>1012887.1085848601</v>
      </c>
      <c r="EP170" s="23">
        <f>IF(AV170&lt;&gt;-999,AV170*$EM170, -999)</f>
        <v>1834741.8070820854</v>
      </c>
      <c r="EQ170">
        <f>-19.943-(0.1023*G170)+H170*(100+102.093-66.644-64.243)</f>
        <v>10.28971223652799</v>
      </c>
      <c r="ER170">
        <f>IF(AW170&lt;&gt;-999,AW170*$EQ170, -999)</f>
        <v>969097.3314388002</v>
      </c>
      <c r="ES170">
        <f>IF(AX170&lt;&gt;-999,AX170*$EQ170, -999)</f>
        <v>1194355.5923059364</v>
      </c>
      <c r="ET170" s="23">
        <f>IF(AY170&lt;&gt;-999,AY170*$EQ170, -999)</f>
        <v>2163452.9237447367</v>
      </c>
      <c r="EU170">
        <f>-25.871-(0.1023*G170)+H170*(100+102.093-66.644-64.243)</f>
        <v>4.3617122365279926</v>
      </c>
      <c r="EV170">
        <f>IF(AZ170&lt;&gt;-999,AZ170*$EU170, -999)</f>
        <v>407096.18478432822</v>
      </c>
      <c r="EW170">
        <f>IF(BA170&lt;&gt;-999,BA170*$EU170, -999)</f>
        <v>501722.80750216608</v>
      </c>
      <c r="EX170" s="23">
        <f>IF(BB170&lt;&gt;-999,BB170*$EU170, -999)</f>
        <v>908818.99228649435</v>
      </c>
      <c r="EY170">
        <f>-25.245-(0.1023*G170)+H170*(100+102.093-66.644-64.243)</f>
        <v>4.9877122365279902</v>
      </c>
      <c r="EZ170">
        <f>IF(BC170&lt;&gt;-999, BC170*$EY170, -999)</f>
        <v>183630.0815501762</v>
      </c>
      <c r="FA170">
        <f>IF(BD170&lt;&gt;-999, BD170*$EY170, -999)</f>
        <v>226313.14465437093</v>
      </c>
      <c r="FB170" s="23">
        <f>IF(BE170&lt;&gt;-999, BE170*$EY170, -999)</f>
        <v>409942.39590783458</v>
      </c>
      <c r="FC170">
        <f>-29.317-(0.1023*G170)+H170*(100+102.093-66.644-64.243)</f>
        <v>0.9157122365279875</v>
      </c>
      <c r="FD170">
        <f>IF(BF170&lt;&gt;-999,BF170*$FC170, -999)</f>
        <v>50466.467317428418</v>
      </c>
      <c r="FE170">
        <f>IF(BG170&lt;&gt;-999,BG170*$FC170, -999)</f>
        <v>62197.11917309797</v>
      </c>
      <c r="FF170" s="23">
        <f>IF(BH170&lt;&gt;-999,BH170*$FC170, -999)</f>
        <v>112663.58649052639</v>
      </c>
      <c r="FG170">
        <f>-38.03-(0.1023*G170)+H170*(100+102.093-66.644-64.243)</f>
        <v>-7.7972877634720064</v>
      </c>
      <c r="FH170">
        <f>IF(BI170&lt;&gt;-999,BI170*$FG170, -999)</f>
        <v>-425857.70970008225</v>
      </c>
      <c r="FI170">
        <f>IF(BJ170&lt;&gt;-999,BJ170*$FG170, -999)</f>
        <v>-524844.66986442276</v>
      </c>
      <c r="FJ170" s="23">
        <f>IF(BK170&lt;&gt;-999,BK170*$FG170, -999)</f>
        <v>-950701.08156211639</v>
      </c>
      <c r="FK170" s="28">
        <f t="shared" si="102"/>
        <v>4478918.6239495603</v>
      </c>
      <c r="FL170" s="22">
        <f t="shared" si="104"/>
        <v>10.012280000000011</v>
      </c>
      <c r="FM170">
        <f>IF(AT170&lt;&gt;-999,AT170*$FL170, -999)</f>
        <v>629933.44809813716</v>
      </c>
      <c r="FN170">
        <f>IF(AU170&lt;&gt;-999,AU170*$FL170, -999)</f>
        <v>776355.5650551134</v>
      </c>
      <c r="FO170" s="29">
        <f>IF(AV170&lt;&gt;-999,AV170*$FL170, -999)</f>
        <v>1406289.0131532506</v>
      </c>
      <c r="FP170">
        <f t="shared" si="105"/>
        <v>7.2392800000000115</v>
      </c>
      <c r="FQ170">
        <f>IF(AW170&lt;&gt;-999,AW170*$FP170, -999)</f>
        <v>681803.99687304755</v>
      </c>
      <c r="FR170">
        <f>IF(AX170&lt;&gt;-999,AX170*$FP170, -999)</f>
        <v>840283.41643750423</v>
      </c>
      <c r="FS170" s="29">
        <f>IF(AY170&lt;&gt;-999,AY170*$FP170, -999)</f>
        <v>1522087.413310552</v>
      </c>
      <c r="FT170">
        <f t="shared" si="106"/>
        <v>1.3112800000000142</v>
      </c>
      <c r="FU170">
        <f>IF(AZ170&lt;&gt;-999,AZ170*$FT170, -999)</f>
        <v>122387.04807562647</v>
      </c>
      <c r="FV170">
        <f>IF(BA170&lt;&gt;-999,BA170*$FT170, -999)</f>
        <v>150835.04994019226</v>
      </c>
      <c r="FW170" s="29">
        <f>IF(BB170&lt;&gt;-999,BB170*$FT170, -999)</f>
        <v>273222.09801581874</v>
      </c>
      <c r="FX170">
        <f t="shared" si="107"/>
        <v>1.9372800000000119</v>
      </c>
      <c r="FY170">
        <f>IF(BC170&lt;&gt;-999, BC170*$FX170, -999)</f>
        <v>71323.859019012831</v>
      </c>
      <c r="FZ170">
        <f>IF(BD170&lt;&gt;-999, BD170*$FX170, -999)</f>
        <v>87902.410581172662</v>
      </c>
      <c r="GA170" s="29">
        <f>IF(BE170&lt;&gt;-999, BE170*$FX170, -999)</f>
        <v>159225.94710419155</v>
      </c>
      <c r="GB170">
        <f t="shared" si="108"/>
        <v>-2.1347199999999873</v>
      </c>
      <c r="GC170">
        <f>IF(BF170&lt;&gt;-999,BF170*$GB170, -999)</f>
        <v>-117648.06979137432</v>
      </c>
      <c r="GD170">
        <f>IF(BG170&lt;&gt;-999,BG170*$GB170, -999)</f>
        <v>-144994.7144362932</v>
      </c>
      <c r="GE170" s="29">
        <f>IF(BH170&lt;&gt;-999,BH170*$GB170, -999)</f>
        <v>-262642.78422766749</v>
      </c>
      <c r="GF170">
        <f t="shared" si="109"/>
        <v>-10.847719999999988</v>
      </c>
      <c r="GG170">
        <f>IF(BI170&lt;&gt;-999,BI170*$GF170, -999)</f>
        <v>-592460.52406955732</v>
      </c>
      <c r="GH170">
        <f>IF(BJ170&lt;&gt;-999,BJ170*$GF170, -999)</f>
        <v>-730172.87483648362</v>
      </c>
      <c r="GI170" s="29">
        <f>IF(BK170&lt;&gt;-999,BK170*$GF170, -999)</f>
        <v>-1322631.5931029336</v>
      </c>
      <c r="GJ170" s="30">
        <f t="shared" si="103"/>
        <v>1775550.0942532115</v>
      </c>
    </row>
    <row r="171" spans="1:192">
      <c r="A171" s="48" t="s">
        <v>160</v>
      </c>
      <c r="B171" s="48" t="s">
        <v>298</v>
      </c>
      <c r="C171" s="49">
        <v>157</v>
      </c>
      <c r="D171" s="50">
        <v>0.41699999999999998</v>
      </c>
      <c r="E171" s="49">
        <v>210.708934158712</v>
      </c>
      <c r="F171" s="49">
        <v>0.78111189825937899</v>
      </c>
      <c r="G171" s="49">
        <v>83.301911458035093</v>
      </c>
      <c r="H171" s="49">
        <v>0.817525966248698</v>
      </c>
      <c r="I171" s="42">
        <v>39502</v>
      </c>
      <c r="J171" s="43">
        <v>75058.7</v>
      </c>
      <c r="K171" s="43">
        <f t="shared" si="78"/>
        <v>114560.7</v>
      </c>
      <c r="L171" s="43">
        <v>28717.7</v>
      </c>
      <c r="M171" s="43">
        <v>54567.199999999997</v>
      </c>
      <c r="N171" s="43">
        <f t="shared" si="79"/>
        <v>83284.899999999994</v>
      </c>
      <c r="O171" s="43">
        <v>54753.2</v>
      </c>
      <c r="P171" s="43">
        <v>104037.7</v>
      </c>
      <c r="Q171" s="43">
        <f t="shared" si="80"/>
        <v>158790.9</v>
      </c>
      <c r="R171" s="43">
        <v>36877.1</v>
      </c>
      <c r="S171" s="43">
        <v>70070.899999999994</v>
      </c>
      <c r="T171" s="43">
        <f t="shared" si="81"/>
        <v>106948</v>
      </c>
      <c r="U171" s="43">
        <v>26809.4</v>
      </c>
      <c r="V171" s="43">
        <v>50941.1</v>
      </c>
      <c r="W171" s="43">
        <f t="shared" si="82"/>
        <v>77750.5</v>
      </c>
      <c r="X171" s="43">
        <v>51114.7</v>
      </c>
      <c r="Y171" s="43">
        <v>97124.2</v>
      </c>
      <c r="Z171" s="43">
        <f t="shared" si="83"/>
        <v>148238.9</v>
      </c>
      <c r="AA171" s="22">
        <v>1271008.3</v>
      </c>
      <c r="AB171">
        <v>980623.7</v>
      </c>
      <c r="AC171">
        <v>2251632</v>
      </c>
      <c r="AD171">
        <v>924014.5</v>
      </c>
      <c r="AE171">
        <v>712906.9</v>
      </c>
      <c r="AF171">
        <v>1636921.4</v>
      </c>
      <c r="AG171">
        <v>1761724.3</v>
      </c>
      <c r="AH171">
        <v>1359226.9</v>
      </c>
      <c r="AI171">
        <v>3120951.2</v>
      </c>
      <c r="AJ171">
        <v>1186547.8</v>
      </c>
      <c r="AK171">
        <v>915459.7</v>
      </c>
      <c r="AL171">
        <v>2102007.6</v>
      </c>
      <c r="AM171">
        <v>862612.3</v>
      </c>
      <c r="AN171">
        <v>665533.1</v>
      </c>
      <c r="AO171">
        <v>1528145.5</v>
      </c>
      <c r="AP171">
        <v>1644655</v>
      </c>
      <c r="AQ171">
        <v>1268904.2</v>
      </c>
      <c r="AR171">
        <v>2913559.2</v>
      </c>
      <c r="AS171">
        <v>13553216.84</v>
      </c>
      <c r="AT171" s="22">
        <f t="shared" si="111"/>
        <v>2115827.7846061424</v>
      </c>
      <c r="AU171">
        <f t="shared" si="111"/>
        <v>1632429.0492070573</v>
      </c>
      <c r="AV171">
        <f t="shared" si="111"/>
        <v>3748256.8338131998</v>
      </c>
      <c r="AW171">
        <f t="shared" si="111"/>
        <v>1538192.5928248875</v>
      </c>
      <c r="AX171">
        <f t="shared" si="111"/>
        <v>1186765.0485503774</v>
      </c>
      <c r="AY171">
        <f t="shared" si="111"/>
        <v>2724957.6413752651</v>
      </c>
      <c r="AZ171">
        <f t="shared" si="111"/>
        <v>2932715.0914402427</v>
      </c>
      <c r="BA171">
        <f t="shared" si="111"/>
        <v>2262683.9184323773</v>
      </c>
      <c r="BB171">
        <f t="shared" si="111"/>
        <v>5195399.0098726209</v>
      </c>
      <c r="BC171">
        <f t="shared" si="111"/>
        <v>1975227.7015054051</v>
      </c>
      <c r="BD171">
        <f t="shared" si="110"/>
        <v>1523951.5500781576</v>
      </c>
      <c r="BE171">
        <f t="shared" si="110"/>
        <v>3499179.4180520102</v>
      </c>
      <c r="BF171">
        <f t="shared" si="110"/>
        <v>1435977.3037540426</v>
      </c>
      <c r="BG171">
        <f t="shared" si="110"/>
        <v>1107902.6191686224</v>
      </c>
      <c r="BH171">
        <f t="shared" si="110"/>
        <v>2543880.0893911128</v>
      </c>
      <c r="BI171">
        <f t="shared" si="110"/>
        <v>2737831.6452311249</v>
      </c>
      <c r="BJ171">
        <f t="shared" si="110"/>
        <v>2112325.1220022952</v>
      </c>
      <c r="BK171">
        <f t="shared" si="110"/>
        <v>4850156.7672334202</v>
      </c>
      <c r="BL171">
        <f t="shared" si="110"/>
        <v>22561829.659856558</v>
      </c>
      <c r="BM171" s="22">
        <f>-17.17-(0.1023*E171)+F171*(100-8.576-13.681)</f>
        <v>22.000458341942675</v>
      </c>
      <c r="BN171">
        <f>IF(AT171&lt;&gt;-999,AT171*$BM171, -999)</f>
        <v>46549181.033952296</v>
      </c>
      <c r="BO171">
        <f>IF(AU171&lt;&gt;-999,AU171*$BM171, -999)</f>
        <v>35914187.293256953</v>
      </c>
      <c r="BP171" s="25">
        <f>IF(AV171&lt;&gt;-999,AV171*$BM171, -999)</f>
        <v>82463368.327209249</v>
      </c>
      <c r="BQ171">
        <f>-19.943-(0.1023*E171)+F171*(100-8.576-13.681)</f>
        <v>19.227458341942672</v>
      </c>
      <c r="BR171">
        <f>IF(AW171&lt;&gt;-999,AW171*$BQ171, -999)</f>
        <v>29575534.000425309</v>
      </c>
      <c r="BS171">
        <f>IF(AX171&lt;&gt;-999,AX171*$BQ171, -999)</f>
        <v>22818475.532675952</v>
      </c>
      <c r="BT171" s="25">
        <f>IF(AY171&lt;&gt;-999,AY171*$BQ171, -999)</f>
        <v>52394009.533101268</v>
      </c>
      <c r="BU171">
        <f>-25.871-(0.1023*E171)+F171*(100-8.576-13.681)</f>
        <v>13.299458341942675</v>
      </c>
      <c r="BV171">
        <f>IF(AZ171&lt;&gt;-999,AZ171*$BU171, -999)</f>
        <v>39003522.187396109</v>
      </c>
      <c r="BW171">
        <f>IF(BA171&lt;&gt;-999,BA171*$BU171, -999)</f>
        <v>30092470.51417502</v>
      </c>
      <c r="BX171" s="25">
        <f>IF(BB171&lt;&gt;-999,BB171*$BU171, -999)</f>
        <v>69095992.701571137</v>
      </c>
      <c r="BY171">
        <f>-25.245-(0.1023*E171)+F171*(100-8.576-13.681)</f>
        <v>13.925458341942672</v>
      </c>
      <c r="BZ171">
        <f>IF(BC171&lt;&gt;-999,BC171*$BY171, -999)</f>
        <v>27505951.073164694</v>
      </c>
      <c r="CA171">
        <f>IF(BD171&lt;&gt;-999,BD171*$BY171, -999)</f>
        <v>21221723.825752344</v>
      </c>
      <c r="CB171" s="25">
        <f>IF(BE171&lt;&gt;-999,BE171*$BY171, -999)</f>
        <v>48727677.217066474</v>
      </c>
      <c r="CC171">
        <f>-29.317-(0.1023*E171)+F171*(100-8.576-13.681)</f>
        <v>9.8534583419426696</v>
      </c>
      <c r="CD171">
        <f>IF(BF171&lt;&gt;-999,BF171*$CC171, -999)</f>
        <v>14149342.542515613</v>
      </c>
      <c r="CE171">
        <f>IF(BG171&lt;&gt;-999,BG171*$CC171, -999)</f>
        <v>10916672.304907195</v>
      </c>
      <c r="CF171" s="25">
        <f>IF(BH171&lt;&gt;-999,BH171*$CC171, -999)</f>
        <v>25066016.487712726</v>
      </c>
      <c r="CG171">
        <f>-38.03-(0.1023*E171)+F171*(100-8.576-13.681)</f>
        <v>1.1404583419426757</v>
      </c>
      <c r="CH171">
        <f>IF(BI171&lt;&gt;-999,BI171*$CG171, -999)</f>
        <v>3122382.9386384767</v>
      </c>
      <c r="CI171">
        <f>IF(BJ171&lt;&gt;-999,BJ171*$CG171, -999)</f>
        <v>2409018.8062825976</v>
      </c>
      <c r="CJ171" s="25">
        <f>IF(BK171&lt;&gt;-999,BK171*$CG171, -999)</f>
        <v>5531401.7449210742</v>
      </c>
      <c r="CK171" s="26">
        <f t="shared" si="84"/>
        <v>283278466.01158196</v>
      </c>
      <c r="CL171">
        <f t="shared" si="85"/>
        <v>-21.615684710000565</v>
      </c>
      <c r="CM171">
        <f t="shared" si="86"/>
        <v>36.564199761442183</v>
      </c>
      <c r="CN171">
        <f t="shared" si="87"/>
        <v>-78.790591531314945</v>
      </c>
      <c r="CO171" s="22">
        <f t="shared" si="88"/>
        <v>-40.08</v>
      </c>
      <c r="CP171">
        <f>IF(AT171&lt;&gt;-999,AT171*$CO171, -999)</f>
        <v>-84802377.607014179</v>
      </c>
      <c r="CQ171">
        <f>IF(AU171&lt;&gt;-999,AU171*$CO171, -999)</f>
        <v>-65427756.292218857</v>
      </c>
      <c r="CR171" s="27">
        <f>IF(AV171&lt;&gt;-999,AV171*$CO171, -999)</f>
        <v>-150230133.89923304</v>
      </c>
      <c r="CS171">
        <f t="shared" si="89"/>
        <v>-42.853000000000002</v>
      </c>
      <c r="CT171">
        <f>IF(AW171&lt;&gt;-999,AW171*$CS171, -999)</f>
        <v>-65916167.180324905</v>
      </c>
      <c r="CU171">
        <f>IF(AX171&lt;&gt;-999,AX171*$CS171, -999)</f>
        <v>-50856442.625529326</v>
      </c>
      <c r="CV171" s="27">
        <f>IF(AY171&lt;&gt;-999,AY171*$CS171, -999)</f>
        <v>-116772609.80585425</v>
      </c>
      <c r="CW171">
        <f t="shared" si="90"/>
        <v>-48.780999999999999</v>
      </c>
      <c r="CX171">
        <f>IF(AZ171&lt;&gt;-999,AZ171*$CO171, -999)</f>
        <v>-117543220.86492492</v>
      </c>
      <c r="CY171">
        <f>IF(BA171&lt;&gt;-999,BA171*$CO171, -999)</f>
        <v>-90688371.450769678</v>
      </c>
      <c r="CZ171" s="27">
        <f>IF(BB171&lt;&gt;-999,BB171*$CO171, -999)</f>
        <v>-208231592.31569463</v>
      </c>
      <c r="DA171">
        <f t="shared" si="91"/>
        <v>-48.155000000000001</v>
      </c>
      <c r="DB171">
        <f>IF(BC171&lt;&gt;-999,BC171*$DA171, -999)</f>
        <v>-95117089.965992793</v>
      </c>
      <c r="DC171">
        <f>IF(BD171&lt;&gt;-999,BD171*$DA171, -999)</f>
        <v>-73385886.894013673</v>
      </c>
      <c r="DD171" s="27">
        <f>IF(BE171&lt;&gt;-999,BE171*$DA171, -999)</f>
        <v>-168502984.87629455</v>
      </c>
      <c r="DE171">
        <f t="shared" si="92"/>
        <v>-52.227000000000004</v>
      </c>
      <c r="DF171">
        <f>IF(BF171&lt;&gt;-999,BF171*$DE171, -999)</f>
        <v>-74996786.643162385</v>
      </c>
      <c r="DG171">
        <f>IF(BG171&lt;&gt;-999,BG171*$DE171, -999)</f>
        <v>-57862430.09131965</v>
      </c>
      <c r="DH171" s="27">
        <f>IF(BH171&lt;&gt;-999,BH171*$DE171, -999)</f>
        <v>-132859225.42862965</v>
      </c>
      <c r="DI171">
        <f t="shared" si="93"/>
        <v>-60.94</v>
      </c>
      <c r="DJ171">
        <f>IF(BI171&lt;&gt;-999,BI171*$DI171, -999)</f>
        <v>-166843460.46038476</v>
      </c>
      <c r="DK171">
        <f>IF(BJ171&lt;&gt;-999,BJ171*$DI171, -999)</f>
        <v>-128725092.93481986</v>
      </c>
      <c r="DL171" s="27">
        <f>IF(BK171&lt;&gt;-999,BK171*$DI171, -999)</f>
        <v>-295568553.3952046</v>
      </c>
      <c r="DM171" s="28">
        <f t="shared" si="94"/>
        <v>-1072165099.7209108</v>
      </c>
      <c r="DN171" s="22">
        <f t="shared" si="95"/>
        <v>-17.170000000000002</v>
      </c>
      <c r="DO171">
        <f>IF(AT171&lt;&gt;-999,AT171*$DN171, -999)</f>
        <v>-36328763.061687469</v>
      </c>
      <c r="DP171">
        <f>IF(AU171&lt;&gt;-999,AU171*$DN171, -999)</f>
        <v>-28028806.774885178</v>
      </c>
      <c r="DQ171" s="24">
        <f>IF(AV171&lt;&gt;-999,AV171*$DN171, -999)</f>
        <v>-64357569.836572647</v>
      </c>
      <c r="DR171">
        <f t="shared" si="96"/>
        <v>-19.943000000000001</v>
      </c>
      <c r="DS171">
        <f>IF(AW171&lt;&gt;-999,AW171*$DR171, -999)</f>
        <v>-30676174.878706735</v>
      </c>
      <c r="DT171">
        <f>IF(AX171&lt;&gt;-999,AX171*$DR171, -999)</f>
        <v>-23667655.363240179</v>
      </c>
      <c r="DU171" s="24">
        <f>IF(AY171&lt;&gt;-999,AY171*$DR171, -999)</f>
        <v>-54343830.241946913</v>
      </c>
      <c r="DV171">
        <f t="shared" si="97"/>
        <v>-25.870999999999999</v>
      </c>
      <c r="DW171">
        <f>IF(AZ171&lt;&gt;-999,AZ171*$DV171, -999)</f>
        <v>-75872272.13065052</v>
      </c>
      <c r="DX171">
        <f>IF(BA171&lt;&gt;-999,BA171*$DV171, -999)</f>
        <v>-58537895.653764032</v>
      </c>
      <c r="DY171" s="24">
        <f>IF(BB171&lt;&gt;-999,BB171*$DV171, -999)</f>
        <v>-134410167.78441456</v>
      </c>
      <c r="DZ171">
        <f t="shared" si="98"/>
        <v>-25.245000000000001</v>
      </c>
      <c r="EA171">
        <f>IF(BC171&lt;&gt;-999, BC171*$DZ171, -999)</f>
        <v>-49864623.324503951</v>
      </c>
      <c r="EB171">
        <f>IF(BD171&lt;&gt;-999, BD171*$DZ171, -999)</f>
        <v>-38472156.881723091</v>
      </c>
      <c r="EC171" s="24">
        <f>IF(BE171&lt;&gt;-999, BE171*$DZ171, -999)</f>
        <v>-88336784.408722997</v>
      </c>
      <c r="ED171">
        <f t="shared" si="99"/>
        <v>-29.317</v>
      </c>
      <c r="EE171">
        <f>IF(BF171&lt;&gt;-999,BF171*$ED171, -999)</f>
        <v>-42098546.614157267</v>
      </c>
      <c r="EF171">
        <f>IF(BG171&lt;&gt;-999,BG171*$ED171, -999)</f>
        <v>-32480381.086166505</v>
      </c>
      <c r="EG171" s="24">
        <f>IF(BH171&lt;&gt;-999,BH171*$ED171, -999)</f>
        <v>-74578932.580679253</v>
      </c>
      <c r="EH171">
        <f t="shared" si="100"/>
        <v>-38.03</v>
      </c>
      <c r="EI171">
        <f>IF(BI171&lt;&gt;-999,BI171*$EH171, -999)</f>
        <v>-104119737.46813968</v>
      </c>
      <c r="EJ171">
        <f>IF(BJ171&lt;&gt;-999,BJ171*$EH171, -999)</f>
        <v>-80331724.389747292</v>
      </c>
      <c r="EK171" s="24">
        <f>IF(BK171&lt;&gt;-999,BK171*$EH171, -999)</f>
        <v>-184451461.85788697</v>
      </c>
      <c r="EL171" s="28">
        <f t="shared" si="101"/>
        <v>-600478746.71022332</v>
      </c>
      <c r="EM171" s="22">
        <f>-17.17-(0.1023*G171)+H171*(100+102.093-66.644-64.243)</f>
        <v>32.520968410547809</v>
      </c>
      <c r="EN171">
        <f>IF(AT171&lt;&gt;-999,AT171*$EM171, -999)</f>
        <v>68808768.54533571</v>
      </c>
      <c r="EO171">
        <f>IF(AU171&lt;&gt;-999,AU171*$EM171, -999)</f>
        <v>53088173.541723303</v>
      </c>
      <c r="EP171" s="23">
        <f>IF(AV171&lt;&gt;-999,AV171*$EM171, -999)</f>
        <v>121896942.08705902</v>
      </c>
      <c r="EQ171">
        <f>-19.943-(0.1023*G171)+H171*(100+102.093-66.644-64.243)</f>
        <v>29.747968410547809</v>
      </c>
      <c r="ER171">
        <f>IF(AW171&lt;&gt;-999,AW171*$EQ171, -999)</f>
        <v>45758104.660693385</v>
      </c>
      <c r="ES171">
        <f>IF(AX171&lt;&gt;-999,AX171*$EQ171, -999)</f>
        <v>35303849.175018862</v>
      </c>
      <c r="ET171" s="23">
        <f>IF(AY171&lt;&gt;-999,AY171*$EQ171, -999)</f>
        <v>81061953.835712254</v>
      </c>
      <c r="EU171">
        <f>-25.871-(0.1023*G171)+H171*(100+102.093-66.644-64.243)</f>
        <v>23.819968410547816</v>
      </c>
      <c r="EV171">
        <f>IF(AZ171&lt;&gt;-999,AZ171*$EU171, -999)</f>
        <v>69857180.835243434</v>
      </c>
      <c r="EW171">
        <f>IF(BA171&lt;&gt;-999,BA171*$EU171, -999)</f>
        <v>53897059.460113779</v>
      </c>
      <c r="EX171" s="23">
        <f>IF(BB171&lt;&gt;-999,BB171*$EU171, -999)</f>
        <v>123754240.29535723</v>
      </c>
      <c r="EY171">
        <f>-25.245-(0.1023*G171)+H171*(100+102.093-66.644-64.243)</f>
        <v>24.445968410547806</v>
      </c>
      <c r="EZ171">
        <f>IF(BC171&lt;&gt;-999, BC171*$EY171, -999)</f>
        <v>48286353.994640082</v>
      </c>
      <c r="FA171">
        <f>IF(BD171&lt;&gt;-999, BD171*$EY171, -999)</f>
        <v>37254471.452416003</v>
      </c>
      <c r="FB171" s="23">
        <f>IF(BE171&lt;&gt;-999, BE171*$EY171, -999)</f>
        <v>85540829.516538501</v>
      </c>
      <c r="FC171">
        <f>-29.317-(0.1023*G171)+H171*(100+102.093-66.644-64.243)</f>
        <v>20.37396841054781</v>
      </c>
      <c r="FD171">
        <f>IF(BF171&lt;&gt;-999,BF171*$FC171, -999)</f>
        <v>29256556.224948481</v>
      </c>
      <c r="FE171">
        <f>IF(BG171&lt;&gt;-999,BG171*$FC171, -999)</f>
        <v>22572372.964904696</v>
      </c>
      <c r="FF171" s="23">
        <f>IF(BH171&lt;&gt;-999,BH171*$FC171, -999)</f>
        <v>51828932.58147607</v>
      </c>
      <c r="FG171">
        <f>-38.03-(0.1023*G171)+H171*(100+102.093-66.644-64.243)</f>
        <v>11.66096841054781</v>
      </c>
      <c r="FH171">
        <f>IF(BI171&lt;&gt;-999,BI171*$FG171, -999)</f>
        <v>31925768.328438286</v>
      </c>
      <c r="FI171">
        <f>IF(BJ171&lt;&gt;-999,BJ171*$FG171, -999)</f>
        <v>24631756.520475313</v>
      </c>
      <c r="FJ171" s="23">
        <f>IF(BK171&lt;&gt;-999,BK171*$FG171, -999)</f>
        <v>56557524.848913595</v>
      </c>
      <c r="FK171" s="28">
        <f t="shared" si="102"/>
        <v>520640423.16505671</v>
      </c>
      <c r="FL171" s="22">
        <f t="shared" si="104"/>
        <v>10.012280000000011</v>
      </c>
      <c r="FM171">
        <f>IF(AT171&lt;&gt;-999,AT171*$FL171, -999)</f>
        <v>21184260.211256411</v>
      </c>
      <c r="FN171">
        <f>IF(AU171&lt;&gt;-999,AU171*$FL171, -999)</f>
        <v>16344336.720794855</v>
      </c>
      <c r="FO171" s="29">
        <f>IF(AV171&lt;&gt;-999,AV171*$FL171, -999)</f>
        <v>37528596.932051264</v>
      </c>
      <c r="FP171">
        <f t="shared" si="105"/>
        <v>7.2392800000000115</v>
      </c>
      <c r="FQ171">
        <f>IF(AW171&lt;&gt;-999,AW171*$FP171, -999)</f>
        <v>11135406.87338537</v>
      </c>
      <c r="FR171">
        <f>IF(AX171&lt;&gt;-999,AX171*$FP171, -999)</f>
        <v>8591324.480669789</v>
      </c>
      <c r="FS171" s="29">
        <f>IF(AY171&lt;&gt;-999,AY171*$FP171, -999)</f>
        <v>19726731.354055159</v>
      </c>
      <c r="FT171">
        <f t="shared" si="106"/>
        <v>1.3112800000000142</v>
      </c>
      <c r="FU171">
        <f>IF(AZ171&lt;&gt;-999,AZ171*$FT171, -999)</f>
        <v>3845610.6451038034</v>
      </c>
      <c r="FV171">
        <f>IF(BA171&lt;&gt;-999,BA171*$FT171, -999)</f>
        <v>2967012.1685620397</v>
      </c>
      <c r="FW171" s="29">
        <f>IF(BB171&lt;&gt;-999,BB171*$FT171, -999)</f>
        <v>6812622.8136658445</v>
      </c>
      <c r="FX171">
        <f t="shared" si="107"/>
        <v>1.9372800000000119</v>
      </c>
      <c r="FY171">
        <f>IF(BC171&lt;&gt;-999, BC171*$FX171, -999)</f>
        <v>3826569.1215724149</v>
      </c>
      <c r="FZ171">
        <f>IF(BD171&lt;&gt;-999, BD171*$FX171, -999)</f>
        <v>2952320.8589354311</v>
      </c>
      <c r="GA171" s="29">
        <f>IF(BE171&lt;&gt;-999, BE171*$FX171, -999)</f>
        <v>6778890.3030038401</v>
      </c>
      <c r="GB171">
        <f t="shared" si="108"/>
        <v>-2.1347199999999873</v>
      </c>
      <c r="GC171">
        <f>IF(BF171&lt;&gt;-999,BF171*$GB171, -999)</f>
        <v>-3065409.4698698116</v>
      </c>
      <c r="GD171">
        <f>IF(BG171&lt;&gt;-999,BG171*$GB171, -999)</f>
        <v>-2365061.8791916277</v>
      </c>
      <c r="GE171" s="29">
        <f>IF(BH171&lt;&gt;-999,BH171*$GB171, -999)</f>
        <v>-5430471.7044249643</v>
      </c>
      <c r="GF171">
        <f t="shared" si="109"/>
        <v>-10.847719999999988</v>
      </c>
      <c r="GG171">
        <f>IF(BI171&lt;&gt;-999,BI171*$GF171, -999)</f>
        <v>-29699231.094606545</v>
      </c>
      <c r="GH171">
        <f>IF(BJ171&lt;&gt;-999,BJ171*$GF171, -999)</f>
        <v>-22913911.472446714</v>
      </c>
      <c r="GI171" s="29">
        <f>IF(BK171&lt;&gt;-999,BK171*$GF171, -999)</f>
        <v>-52613142.567053258</v>
      </c>
      <c r="GJ171" s="30">
        <f t="shared" si="103"/>
        <v>12803227.131297886</v>
      </c>
    </row>
    <row r="172" spans="1:192">
      <c r="A172" s="49" t="s">
        <v>160</v>
      </c>
      <c r="B172" s="49" t="s">
        <v>299</v>
      </c>
      <c r="C172" s="49">
        <v>3</v>
      </c>
      <c r="D172" s="50">
        <v>0.41499999999999998</v>
      </c>
      <c r="E172" s="49">
        <v>213.48433923366201</v>
      </c>
      <c r="F172" s="49">
        <v>0.77562019200515997</v>
      </c>
      <c r="G172" s="49">
        <v>55.541595797971297</v>
      </c>
      <c r="H172" s="49">
        <v>0.81948552827390198</v>
      </c>
      <c r="I172" s="42">
        <v>105628.1</v>
      </c>
      <c r="J172" s="43">
        <v>75271.100000000006</v>
      </c>
      <c r="K172" s="43">
        <f t="shared" si="78"/>
        <v>180899.20000000001</v>
      </c>
      <c r="L172" s="43">
        <v>37662.6</v>
      </c>
      <c r="M172" s="43">
        <v>26838.6</v>
      </c>
      <c r="N172" s="43">
        <f t="shared" si="79"/>
        <v>64501.2</v>
      </c>
      <c r="O172" s="43">
        <v>47120.4</v>
      </c>
      <c r="P172" s="43">
        <v>33578.199999999997</v>
      </c>
      <c r="Q172" s="43">
        <f t="shared" si="80"/>
        <v>80698.600000000006</v>
      </c>
      <c r="R172" s="43">
        <v>98252.2</v>
      </c>
      <c r="S172" s="43">
        <v>70015</v>
      </c>
      <c r="T172" s="43">
        <f t="shared" si="81"/>
        <v>168267.2</v>
      </c>
      <c r="U172" s="43">
        <v>35032.699999999997</v>
      </c>
      <c r="V172" s="43">
        <v>24964.5</v>
      </c>
      <c r="W172" s="43">
        <f t="shared" si="82"/>
        <v>59997.2</v>
      </c>
      <c r="X172" s="43">
        <v>43830.1</v>
      </c>
      <c r="Y172" s="43">
        <v>31233.5</v>
      </c>
      <c r="Z172" s="43">
        <f t="shared" si="83"/>
        <v>75063.600000000006</v>
      </c>
      <c r="AA172" s="22">
        <v>3564773.9</v>
      </c>
      <c r="AB172">
        <v>1862419.7</v>
      </c>
      <c r="AC172">
        <v>5427193.5999999996</v>
      </c>
      <c r="AD172">
        <v>1271052.1000000001</v>
      </c>
      <c r="AE172">
        <v>664062.4</v>
      </c>
      <c r="AF172">
        <v>1935114.5</v>
      </c>
      <c r="AG172">
        <v>1590236.4</v>
      </c>
      <c r="AH172">
        <v>830820.6</v>
      </c>
      <c r="AI172">
        <v>2421057</v>
      </c>
      <c r="AJ172">
        <v>3315850.9</v>
      </c>
      <c r="AK172">
        <v>1732369.6</v>
      </c>
      <c r="AL172">
        <v>5048220.5</v>
      </c>
      <c r="AM172">
        <v>1182296.3</v>
      </c>
      <c r="AN172">
        <v>617691.9</v>
      </c>
      <c r="AO172">
        <v>1799988.3</v>
      </c>
      <c r="AP172">
        <v>1479192.5</v>
      </c>
      <c r="AQ172">
        <v>772805.6</v>
      </c>
      <c r="AR172">
        <v>2251998.1</v>
      </c>
      <c r="AS172">
        <v>18883571.949999999</v>
      </c>
      <c r="AT172" s="22">
        <f t="shared" si="111"/>
        <v>5934223.7682152027</v>
      </c>
      <c r="AU172">
        <f t="shared" si="111"/>
        <v>3100341.1605241573</v>
      </c>
      <c r="AV172">
        <f t="shared" si="111"/>
        <v>9034564.9287393596</v>
      </c>
      <c r="AW172">
        <f t="shared" si="111"/>
        <v>2115900.6977861477</v>
      </c>
      <c r="AX172">
        <f t="shared" si="111"/>
        <v>1105454.36771124</v>
      </c>
      <c r="AY172">
        <f t="shared" si="111"/>
        <v>3221355.0654973877</v>
      </c>
      <c r="AZ172">
        <f t="shared" si="111"/>
        <v>2647241.8466598899</v>
      </c>
      <c r="BA172">
        <f t="shared" si="111"/>
        <v>1383054.1543301849</v>
      </c>
      <c r="BB172">
        <f t="shared" si="111"/>
        <v>4030296.0009900751</v>
      </c>
      <c r="BC172">
        <f t="shared" si="111"/>
        <v>5519845.5146447774</v>
      </c>
      <c r="BD172">
        <f t="shared" si="110"/>
        <v>2883848.77808196</v>
      </c>
      <c r="BE172">
        <f t="shared" si="110"/>
        <v>8403694.2927267365</v>
      </c>
      <c r="BF172">
        <f t="shared" si="110"/>
        <v>1968150.2954599427</v>
      </c>
      <c r="BG172">
        <f t="shared" si="110"/>
        <v>1028262.1162632526</v>
      </c>
      <c r="BH172">
        <f t="shared" si="110"/>
        <v>2996412.5781916426</v>
      </c>
      <c r="BI172">
        <f t="shared" si="110"/>
        <v>2462388.7902864376</v>
      </c>
      <c r="BJ172">
        <f t="shared" si="110"/>
        <v>1286477.48451306</v>
      </c>
      <c r="BK172">
        <f t="shared" si="110"/>
        <v>3748866.2747994973</v>
      </c>
      <c r="BL172">
        <f t="shared" si="110"/>
        <v>31435189.05771048</v>
      </c>
      <c r="BM172" s="22">
        <f>-17.17-(0.1023*E172)+F172*(100-8.576-13.681)</f>
        <v>21.289592683453527</v>
      </c>
      <c r="BN172">
        <f>IF(AT172&lt;&gt;-999,AT172*$BM172, -999)</f>
        <v>126337206.9177704</v>
      </c>
      <c r="BO172">
        <f>IF(AU172&lt;&gt;-999,AU172*$BM172, -999)</f>
        <v>66005000.487304918</v>
      </c>
      <c r="BP172" s="25">
        <f>IF(AV172&lt;&gt;-999,AV172*$BM172, -999)</f>
        <v>192342207.40507531</v>
      </c>
      <c r="BQ172">
        <f>-19.943-(0.1023*E172)+F172*(100-8.576-13.681)</f>
        <v>18.516592683453531</v>
      </c>
      <c r="BR172">
        <f>IF(AW172&lt;&gt;-999,AW172*$BQ172, -999)</f>
        <v>39179271.379541203</v>
      </c>
      <c r="BS172">
        <f>IF(AX172&lt;&gt;-999,AX172*$BQ172, -999)</f>
        <v>20469248.257053696</v>
      </c>
      <c r="BT172" s="25">
        <f>IF(AY172&lt;&gt;-999,AY172*$BQ172, -999)</f>
        <v>59648519.636594899</v>
      </c>
      <c r="BU172">
        <f>-25.871-(0.1023*E172)+F172*(100-8.576-13.681)</f>
        <v>12.588592683453534</v>
      </c>
      <c r="BV172">
        <f>IF(AZ172&lt;&gt;-999,AZ172*$BU172, -999)</f>
        <v>33325049.342194714</v>
      </c>
      <c r="BW172">
        <f>IF(BA172&lt;&gt;-999,BA172*$BU172, -999)</f>
        <v>17410705.408020981</v>
      </c>
      <c r="BX172" s="25">
        <f>IF(BB172&lt;&gt;-999,BB172*$BU172, -999)</f>
        <v>50735754.750215694</v>
      </c>
      <c r="BY172">
        <f>-25.245-(0.1023*E172)+F172*(100-8.576-13.681)</f>
        <v>13.214592683453532</v>
      </c>
      <c r="BZ172">
        <f>IF(BC172&lt;&gt;-999,BC172*$BY172, -999)</f>
        <v>72942510.151618674</v>
      </c>
      <c r="CA172">
        <f>IF(BD172&lt;&gt;-999,BD172*$BY172, -999)</f>
        <v>38108886.963028274</v>
      </c>
      <c r="CB172" s="25">
        <f>IF(BE172&lt;&gt;-999,BE172*$BY172, -999)</f>
        <v>111051397.11464693</v>
      </c>
      <c r="CC172">
        <f>-29.317-(0.1023*E172)+F172*(100-8.576-13.681)</f>
        <v>9.142592683453536</v>
      </c>
      <c r="CD172">
        <f>IF(BF172&lt;&gt;-999,BF172*$CC172, -999)</f>
        <v>17993996.491208985</v>
      </c>
      <c r="CE172">
        <f>IF(BG172&lt;&gt;-999,BG172*$CC172, -999)</f>
        <v>9400981.7008208614</v>
      </c>
      <c r="CF172" s="25">
        <f>IF(BH172&lt;&gt;-999,BH172*$CC172, -999)</f>
        <v>27394979.713983059</v>
      </c>
      <c r="CG172">
        <f>-38.03-(0.1023*E172)+F172*(100-8.576-13.681)</f>
        <v>0.42959268345352797</v>
      </c>
      <c r="CH172">
        <f>IF(BI172&lt;&gt;-999,BI172*$CG172, -999)</f>
        <v>1057824.2081250371</v>
      </c>
      <c r="CI172">
        <f>IF(BJ172&lt;&gt;-999,BJ172*$CG172, -999)</f>
        <v>552661.31477450987</v>
      </c>
      <c r="CJ172" s="25">
        <f>IF(BK172&lt;&gt;-999,BK172*$CG172, -999)</f>
        <v>1610485.5228995471</v>
      </c>
      <c r="CK172" s="26">
        <f t="shared" si="84"/>
        <v>442783344.14341545</v>
      </c>
      <c r="CL172">
        <f t="shared" si="85"/>
        <v>-21.560260621510842</v>
      </c>
      <c r="CM172">
        <f t="shared" si="86"/>
        <v>37.031561082503877</v>
      </c>
      <c r="CN172">
        <f t="shared" si="87"/>
        <v>-79.139989025104157</v>
      </c>
      <c r="CO172" s="22">
        <f t="shared" si="88"/>
        <v>-40.08</v>
      </c>
      <c r="CP172">
        <f>IF(AT172&lt;&gt;-999,AT172*$CO172, -999)</f>
        <v>-237843688.63006532</v>
      </c>
      <c r="CQ172">
        <f>IF(AU172&lt;&gt;-999,AU172*$CO172, -999)</f>
        <v>-124261673.71380822</v>
      </c>
      <c r="CR172" s="27">
        <f>IF(AV172&lt;&gt;-999,AV172*$CO172, -999)</f>
        <v>-362105362.3438735</v>
      </c>
      <c r="CS172">
        <f t="shared" si="89"/>
        <v>-42.853000000000002</v>
      </c>
      <c r="CT172">
        <f>IF(AW172&lt;&gt;-999,AW172*$CS172, -999)</f>
        <v>-90672692.602229789</v>
      </c>
      <c r="CU172">
        <f>IF(AX172&lt;&gt;-999,AX172*$CS172, -999)</f>
        <v>-47372036.019529767</v>
      </c>
      <c r="CV172" s="27">
        <f>IF(AY172&lt;&gt;-999,AY172*$CS172, -999)</f>
        <v>-138044728.62175956</v>
      </c>
      <c r="CW172">
        <f t="shared" si="90"/>
        <v>-48.780999999999999</v>
      </c>
      <c r="CX172">
        <f>IF(AZ172&lt;&gt;-999,AZ172*$CO172, -999)</f>
        <v>-106101453.21412839</v>
      </c>
      <c r="CY172">
        <f>IF(BA172&lt;&gt;-999,BA172*$CO172, -999)</f>
        <v>-55432810.505553812</v>
      </c>
      <c r="CZ172" s="27">
        <f>IF(BB172&lt;&gt;-999,BB172*$CO172, -999)</f>
        <v>-161534263.71968219</v>
      </c>
      <c r="DA172">
        <f t="shared" si="91"/>
        <v>-48.155000000000001</v>
      </c>
      <c r="DB172">
        <f>IF(BC172&lt;&gt;-999,BC172*$DA172, -999)</f>
        <v>-265808160.75771925</v>
      </c>
      <c r="DC172">
        <f>IF(BD172&lt;&gt;-999,BD172*$DA172, -999)</f>
        <v>-138871737.90853679</v>
      </c>
      <c r="DD172" s="27">
        <f>IF(BE172&lt;&gt;-999,BE172*$DA172, -999)</f>
        <v>-404679898.66625601</v>
      </c>
      <c r="DE172">
        <f t="shared" si="92"/>
        <v>-52.227000000000004</v>
      </c>
      <c r="DF172">
        <f>IF(BF172&lt;&gt;-999,BF172*$DE172, -999)</f>
        <v>-102790585.48098643</v>
      </c>
      <c r="DG172">
        <f>IF(BG172&lt;&gt;-999,BG172*$DE172, -999)</f>
        <v>-53703045.546080895</v>
      </c>
      <c r="DH172" s="27">
        <f>IF(BH172&lt;&gt;-999,BH172*$DE172, -999)</f>
        <v>-156493639.72121492</v>
      </c>
      <c r="DI172">
        <f t="shared" si="93"/>
        <v>-60.94</v>
      </c>
      <c r="DJ172">
        <f>IF(BI172&lt;&gt;-999,BI172*$DI172, -999)</f>
        <v>-150057972.88005552</v>
      </c>
      <c r="DK172">
        <f>IF(BJ172&lt;&gt;-999,BJ172*$DI172, -999)</f>
        <v>-78397937.906225875</v>
      </c>
      <c r="DL172" s="27">
        <f>IF(BK172&lt;&gt;-999,BK172*$DI172, -999)</f>
        <v>-228455910.78628135</v>
      </c>
      <c r="DM172" s="28">
        <f t="shared" si="94"/>
        <v>-1451313803.8590677</v>
      </c>
      <c r="DN172" s="22">
        <f t="shared" si="95"/>
        <v>-17.170000000000002</v>
      </c>
      <c r="DO172">
        <f>IF(AT172&lt;&gt;-999,AT172*$DN172, -999)</f>
        <v>-101890622.10025504</v>
      </c>
      <c r="DP172">
        <f>IF(AU172&lt;&gt;-999,AU172*$DN172, -999)</f>
        <v>-53232857.726199783</v>
      </c>
      <c r="DQ172" s="24">
        <f>IF(AV172&lt;&gt;-999,AV172*$DN172, -999)</f>
        <v>-155123479.82645482</v>
      </c>
      <c r="DR172">
        <f t="shared" si="96"/>
        <v>-19.943000000000001</v>
      </c>
      <c r="DS172">
        <f>IF(AW172&lt;&gt;-999,AW172*$DR172, -999)</f>
        <v>-42197407.615949146</v>
      </c>
      <c r="DT172">
        <f>IF(AX172&lt;&gt;-999,AX172*$DR172, -999)</f>
        <v>-22046076.455265261</v>
      </c>
      <c r="DU172" s="24">
        <f>IF(AY172&lt;&gt;-999,AY172*$DR172, -999)</f>
        <v>-64243484.071214408</v>
      </c>
      <c r="DV172">
        <f t="shared" si="97"/>
        <v>-25.870999999999999</v>
      </c>
      <c r="DW172">
        <f>IF(AZ172&lt;&gt;-999,AZ172*$DV172, -999)</f>
        <v>-68486793.814938009</v>
      </c>
      <c r="DX172">
        <f>IF(BA172&lt;&gt;-999,BA172*$DV172, -999)</f>
        <v>-35780994.026676215</v>
      </c>
      <c r="DY172" s="24">
        <f>IF(BB172&lt;&gt;-999,BB172*$DV172, -999)</f>
        <v>-104267787.84161423</v>
      </c>
      <c r="DZ172">
        <f t="shared" si="98"/>
        <v>-25.245000000000001</v>
      </c>
      <c r="EA172">
        <f>IF(BC172&lt;&gt;-999, BC172*$DZ172, -999)</f>
        <v>-139348500.01720741</v>
      </c>
      <c r="EB172">
        <f>IF(BD172&lt;&gt;-999, BD172*$DZ172, -999)</f>
        <v>-72802762.402679086</v>
      </c>
      <c r="EC172" s="24">
        <f>IF(BE172&lt;&gt;-999, BE172*$DZ172, -999)</f>
        <v>-212151262.41988647</v>
      </c>
      <c r="ED172">
        <f t="shared" si="99"/>
        <v>-29.317</v>
      </c>
      <c r="EE172">
        <f>IF(BF172&lt;&gt;-999,BF172*$ED172, -999)</f>
        <v>-57700262.211999141</v>
      </c>
      <c r="EF172">
        <f>IF(BG172&lt;&gt;-999,BG172*$ED172, -999)</f>
        <v>-30145560.462489776</v>
      </c>
      <c r="EG172" s="24">
        <f>IF(BH172&lt;&gt;-999,BH172*$ED172, -999)</f>
        <v>-87845827.554844394</v>
      </c>
      <c r="EH172">
        <f t="shared" si="100"/>
        <v>-38.03</v>
      </c>
      <c r="EI172">
        <f>IF(BI172&lt;&gt;-999,BI172*$EH172, -999)</f>
        <v>-93644645.694593221</v>
      </c>
      <c r="EJ172">
        <f>IF(BJ172&lt;&gt;-999,BJ172*$EH172, -999)</f>
        <v>-48924738.736031674</v>
      </c>
      <c r="EK172" s="24">
        <f>IF(BK172&lt;&gt;-999,BK172*$EH172, -999)</f>
        <v>-142569384.4306249</v>
      </c>
      <c r="EL172" s="28">
        <f t="shared" si="101"/>
        <v>-766201226.14463925</v>
      </c>
      <c r="EM172" s="22">
        <f>-17.17-(0.1023*G172)+H172*(100+102.093-66.644-64.243)</f>
        <v>35.500381276139009</v>
      </c>
      <c r="EN172">
        <f>IF(AT172&lt;&gt;-999,AT172*$EM172, -999)</f>
        <v>210667206.34956607</v>
      </c>
      <c r="EO172">
        <f>IF(AU172&lt;&gt;-999,AU172*$EM172, -999)</f>
        <v>110063293.28471488</v>
      </c>
      <c r="EP172" s="23">
        <f>IF(AV172&lt;&gt;-999,AV172*$EM172, -999)</f>
        <v>320730499.63428092</v>
      </c>
      <c r="EQ172">
        <f>-19.943-(0.1023*G172)+H172*(100+102.093-66.644-64.243)</f>
        <v>32.727381276139013</v>
      </c>
      <c r="ER172">
        <f>IF(AW172&lt;&gt;-999,AW172*$EQ172, -999)</f>
        <v>69247888.878895849</v>
      </c>
      <c r="ES172">
        <f>IF(AX172&lt;&gt;-999,AX172*$EQ172, -999)</f>
        <v>36178626.575458929</v>
      </c>
      <c r="ET172" s="23">
        <f>IF(AY172&lt;&gt;-999,AY172*$EQ172, -999)</f>
        <v>105426515.45435476</v>
      </c>
      <c r="EU172">
        <f>-25.871-(0.1023*G172)+H172*(100+102.093-66.644-64.243)</f>
        <v>26.799381276139016</v>
      </c>
      <c r="EV172">
        <f>IF(AZ172&lt;&gt;-999,AZ172*$EU172, -999)</f>
        <v>70944443.578788728</v>
      </c>
      <c r="EW172">
        <f>IF(BA172&lt;&gt;-999,BA172*$EU172, -999)</f>
        <v>37064995.60744264</v>
      </c>
      <c r="EX172" s="23">
        <f>IF(BB172&lt;&gt;-999,BB172*$EU172, -999)</f>
        <v>108009439.18623137</v>
      </c>
      <c r="EY172">
        <f>-25.245-(0.1023*G172)+H172*(100+102.093-66.644-64.243)</f>
        <v>27.425381276139014</v>
      </c>
      <c r="EZ172">
        <f>IF(BC172&lt;&gt;-999, BC172*$EY172, -999)</f>
        <v>151383867.8245188</v>
      </c>
      <c r="FA172">
        <f>IF(BD172&lt;&gt;-999, BD172*$EY172, -999)</f>
        <v>79090652.28162536</v>
      </c>
      <c r="FB172" s="23">
        <f>IF(BE172&lt;&gt;-999, BE172*$EY172, -999)</f>
        <v>230474520.10614413</v>
      </c>
      <c r="FC172">
        <f>-29.317-(0.1023*G172)+H172*(100+102.093-66.644-64.243)</f>
        <v>23.353381276139011</v>
      </c>
      <c r="FD172">
        <f>IF(BF172&lt;&gt;-999,BF172*$FC172, -999)</f>
        <v>45962964.258621685</v>
      </c>
      <c r="FE172">
        <f>IF(BG172&lt;&gt;-999,BG172*$FC172, -999)</f>
        <v>24013397.252905317</v>
      </c>
      <c r="FF172" s="23">
        <f>IF(BH172&lt;&gt;-999,BH172*$FC172, -999)</f>
        <v>69976365.399128124</v>
      </c>
      <c r="FG172">
        <f>-38.03-(0.1023*G172)+H172*(100+102.093-66.644-64.243)</f>
        <v>14.64038127613901</v>
      </c>
      <c r="FH172">
        <f>IF(BI172&lt;&gt;-999,BI172*$FG172, -999)</f>
        <v>36050310.739884146</v>
      </c>
      <c r="FI172">
        <f>IF(BJ172&lt;&gt;-999,BJ172*$FG172, -999)</f>
        <v>18834520.876439415</v>
      </c>
      <c r="FJ172" s="23">
        <f>IF(BK172&lt;&gt;-999,BK172*$FG172, -999)</f>
        <v>54884831.61632356</v>
      </c>
      <c r="FK172" s="28">
        <f t="shared" si="102"/>
        <v>889502171.39646292</v>
      </c>
      <c r="FL172" s="22">
        <f t="shared" si="104"/>
        <v>10.012280000000011</v>
      </c>
      <c r="FM172">
        <f>IF(AT172&lt;&gt;-999,AT172*$FL172, -999)</f>
        <v>59415109.950025775</v>
      </c>
      <c r="FN172">
        <f>IF(AU172&lt;&gt;-999,AU172*$FL172, -999)</f>
        <v>31041483.794692844</v>
      </c>
      <c r="FO172" s="29">
        <f>IF(AV172&lt;&gt;-999,AV172*$FL172, -999)</f>
        <v>90456593.744718611</v>
      </c>
      <c r="FP172">
        <f t="shared" si="105"/>
        <v>7.2392800000000115</v>
      </c>
      <c r="FQ172">
        <f>IF(AW172&lt;&gt;-999,AW172*$FP172, -999)</f>
        <v>15317597.603469327</v>
      </c>
      <c r="FR172">
        <f>IF(AX172&lt;&gt;-999,AX172*$FP172, -999)</f>
        <v>8002693.695084638</v>
      </c>
      <c r="FS172" s="29">
        <f>IF(AY172&lt;&gt;-999,AY172*$FP172, -999)</f>
        <v>23320291.298553966</v>
      </c>
      <c r="FT172">
        <f t="shared" si="106"/>
        <v>1.3112800000000142</v>
      </c>
      <c r="FU172">
        <f>IF(AZ172&lt;&gt;-999,AZ172*$FT172, -999)</f>
        <v>3471275.2886882182</v>
      </c>
      <c r="FV172">
        <f>IF(BA172&lt;&gt;-999,BA172*$FT172, -999)</f>
        <v>1813571.2514901045</v>
      </c>
      <c r="FW172" s="29">
        <f>IF(BB172&lt;&gt;-999,BB172*$FT172, -999)</f>
        <v>5284846.5401783232</v>
      </c>
      <c r="FX172">
        <f t="shared" si="107"/>
        <v>1.9372800000000119</v>
      </c>
      <c r="FY172">
        <f>IF(BC172&lt;&gt;-999, BC172*$FX172, -999)</f>
        <v>10693486.3186111</v>
      </c>
      <c r="FZ172">
        <f>IF(BD172&lt;&gt;-999, BD172*$FX172, -999)</f>
        <v>5586822.5608026534</v>
      </c>
      <c r="GA172" s="29">
        <f>IF(BE172&lt;&gt;-999, BE172*$FX172, -999)</f>
        <v>16280308.879413752</v>
      </c>
      <c r="GB172">
        <f t="shared" si="108"/>
        <v>-2.1347199999999873</v>
      </c>
      <c r="GC172">
        <f>IF(BF172&lt;&gt;-999,BF172*$GB172, -999)</f>
        <v>-4201449.7987242239</v>
      </c>
      <c r="GD172">
        <f>IF(BG172&lt;&gt;-999,BG172*$GB172, -999)</f>
        <v>-2195051.7048294772</v>
      </c>
      <c r="GE172" s="29">
        <f>IF(BH172&lt;&gt;-999,BH172*$GB172, -999)</f>
        <v>-6396501.8589172252</v>
      </c>
      <c r="GF172">
        <f t="shared" si="109"/>
        <v>-10.847719999999988</v>
      </c>
      <c r="GG172">
        <f>IF(BI172&lt;&gt;-999,BI172*$GF172, -999)</f>
        <v>-26711304.128165968</v>
      </c>
      <c r="GH172">
        <f>IF(BJ172&lt;&gt;-999,BJ172*$GF172, -999)</f>
        <v>-13955347.538301995</v>
      </c>
      <c r="GI172" s="29">
        <f>IF(BK172&lt;&gt;-999,BK172*$GF172, -999)</f>
        <v>-40666651.666467957</v>
      </c>
      <c r="GJ172" s="30">
        <f t="shared" si="103"/>
        <v>88278886.937479496</v>
      </c>
    </row>
    <row r="173" spans="1:192">
      <c r="A173" s="48" t="s">
        <v>178</v>
      </c>
      <c r="B173" s="48" t="s">
        <v>300</v>
      </c>
      <c r="C173" s="49">
        <v>94</v>
      </c>
      <c r="D173" s="50">
        <v>0.40899999999999997</v>
      </c>
      <c r="E173" s="49">
        <v>187.38206592930001</v>
      </c>
      <c r="F173" s="49">
        <v>0.77746207384453803</v>
      </c>
      <c r="G173" s="49">
        <v>41.586494326998398</v>
      </c>
      <c r="H173" s="49">
        <v>0.82047058330070499</v>
      </c>
      <c r="I173" s="42">
        <v>61456.2</v>
      </c>
      <c r="J173" s="43">
        <v>-999</v>
      </c>
      <c r="K173" s="43">
        <f t="shared" si="78"/>
        <v>61456.2</v>
      </c>
      <c r="L173" s="43">
        <v>10390.299999999999</v>
      </c>
      <c r="M173" s="43">
        <v>-999</v>
      </c>
      <c r="N173" s="43">
        <f t="shared" si="79"/>
        <v>10390.299999999999</v>
      </c>
      <c r="O173" s="43">
        <v>43800.4</v>
      </c>
      <c r="P173" s="43">
        <v>-999</v>
      </c>
      <c r="Q173" s="43">
        <f t="shared" si="80"/>
        <v>43800.4</v>
      </c>
      <c r="R173" s="43">
        <v>22936.7</v>
      </c>
      <c r="S173" s="43">
        <v>-999</v>
      </c>
      <c r="T173" s="43">
        <f t="shared" si="81"/>
        <v>22936.7</v>
      </c>
      <c r="U173" s="43">
        <v>3877.9</v>
      </c>
      <c r="V173" s="43">
        <v>-999</v>
      </c>
      <c r="W173" s="43">
        <f t="shared" si="82"/>
        <v>3877.9</v>
      </c>
      <c r="X173" s="43">
        <v>16347.1</v>
      </c>
      <c r="Y173" s="43">
        <v>-999</v>
      </c>
      <c r="Z173" s="43">
        <f t="shared" si="83"/>
        <v>16347.1</v>
      </c>
      <c r="AA173" s="22">
        <v>600370.19999999995</v>
      </c>
      <c r="AB173">
        <v>-999</v>
      </c>
      <c r="AC173">
        <v>600370.19999999995</v>
      </c>
      <c r="AD173">
        <v>101503.3</v>
      </c>
      <c r="AE173">
        <v>-999</v>
      </c>
      <c r="AF173">
        <v>101503.3</v>
      </c>
      <c r="AG173">
        <v>427888.8</v>
      </c>
      <c r="AH173">
        <v>-999</v>
      </c>
      <c r="AI173">
        <v>427888.8</v>
      </c>
      <c r="AJ173">
        <v>224069.8</v>
      </c>
      <c r="AK173">
        <v>-999</v>
      </c>
      <c r="AL173">
        <v>224069.8</v>
      </c>
      <c r="AM173">
        <v>37883</v>
      </c>
      <c r="AN173">
        <v>-999</v>
      </c>
      <c r="AO173">
        <v>37883</v>
      </c>
      <c r="AP173">
        <v>159696.4</v>
      </c>
      <c r="AQ173">
        <v>-999</v>
      </c>
      <c r="AR173">
        <v>159696.4</v>
      </c>
      <c r="AS173">
        <v>1551411.47</v>
      </c>
      <c r="AT173" s="22">
        <f t="shared" si="111"/>
        <v>999426.95119264489</v>
      </c>
      <c r="AU173">
        <f t="shared" si="111"/>
        <v>-999</v>
      </c>
      <c r="AV173">
        <f t="shared" si="111"/>
        <v>999426.95119264489</v>
      </c>
      <c r="AW173">
        <f t="shared" si="111"/>
        <v>168970.96767126748</v>
      </c>
      <c r="AX173">
        <f t="shared" si="111"/>
        <v>-999</v>
      </c>
      <c r="AY173">
        <f t="shared" si="111"/>
        <v>168970.96767126748</v>
      </c>
      <c r="AZ173">
        <f t="shared" si="111"/>
        <v>712299.84238637995</v>
      </c>
      <c r="BA173">
        <f t="shared" si="111"/>
        <v>-999</v>
      </c>
      <c r="BB173">
        <f t="shared" si="111"/>
        <v>712299.84238637995</v>
      </c>
      <c r="BC173">
        <f t="shared" si="111"/>
        <v>373005.51737635501</v>
      </c>
      <c r="BD173">
        <f t="shared" si="110"/>
        <v>-999</v>
      </c>
      <c r="BE173">
        <f t="shared" si="110"/>
        <v>373005.51737635501</v>
      </c>
      <c r="BF173">
        <f t="shared" si="110"/>
        <v>63063.241966424997</v>
      </c>
      <c r="BG173">
        <f t="shared" si="110"/>
        <v>-999</v>
      </c>
      <c r="BH173">
        <f t="shared" si="110"/>
        <v>63063.241966424997</v>
      </c>
      <c r="BI173">
        <f t="shared" si="110"/>
        <v>265844.11779339</v>
      </c>
      <c r="BJ173">
        <f t="shared" si="110"/>
        <v>-999</v>
      </c>
      <c r="BK173">
        <f t="shared" si="110"/>
        <v>265844.11779339</v>
      </c>
      <c r="BL173">
        <f t="shared" si="110"/>
        <v>2582610.5884459284</v>
      </c>
      <c r="BM173" s="22">
        <f>-17.17-(0.1023*E173)+F173*(100-8.576-13.681)</f>
        <v>24.103048662328533</v>
      </c>
      <c r="BN173">
        <f>IF(AT173&lt;&gt;-999,AT173*$BM173, -999)</f>
        <v>24089236.439038962</v>
      </c>
      <c r="BO173">
        <f>IF(AU173&lt;&gt;-999,AU173*$BM173, -999)</f>
        <v>-999</v>
      </c>
      <c r="BP173" s="25">
        <f>IF(AV173&lt;&gt;-999,AV173*$BM173, -999)</f>
        <v>24089236.439038962</v>
      </c>
      <c r="BQ173">
        <f>-19.943-(0.1023*E173)+F173*(100-8.576-13.681)</f>
        <v>21.330048662328537</v>
      </c>
      <c r="BR173">
        <f>IF(AW173&lt;&gt;-999,AW173*$BQ173, -999)</f>
        <v>3604158.9629488774</v>
      </c>
      <c r="BS173">
        <f>IF(AX173&lt;&gt;-999,AX173*$BQ173, -999)</f>
        <v>-999</v>
      </c>
      <c r="BT173" s="25">
        <f>IF(AY173&lt;&gt;-999,AY173*$BQ173, -999)</f>
        <v>3604158.9629488774</v>
      </c>
      <c r="BU173">
        <f>-25.871-(0.1023*E173)+F173*(100-8.576-13.681)</f>
        <v>15.402048662328539</v>
      </c>
      <c r="BV173">
        <f>IF(AZ173&lt;&gt;-999,AZ173*$BU173, -999)</f>
        <v>10970876.834603973</v>
      </c>
      <c r="BW173">
        <f>IF(BA173&lt;&gt;-999,BA173*$BU173, -999)</f>
        <v>-999</v>
      </c>
      <c r="BX173" s="25">
        <f>IF(BB173&lt;&gt;-999,BB173*$BU173, -999)</f>
        <v>10970876.834603973</v>
      </c>
      <c r="BY173">
        <f>-25.245-(0.1023*E173)+F173*(100-8.576-13.681)</f>
        <v>16.028048662328537</v>
      </c>
      <c r="BZ173">
        <f>IF(BC173&lt;&gt;-999,BC173*$BY173, -999)</f>
        <v>5978550.5838252511</v>
      </c>
      <c r="CA173">
        <f>IF(BD173&lt;&gt;-999,BD173*$BY173, -999)</f>
        <v>-999</v>
      </c>
      <c r="CB173" s="25">
        <f>IF(BE173&lt;&gt;-999,BE173*$BY173, -999)</f>
        <v>5978550.5838252511</v>
      </c>
      <c r="CC173">
        <f>-29.317-(0.1023*E173)+F173*(100-8.576-13.681)</f>
        <v>11.956048662328541</v>
      </c>
      <c r="CD173">
        <f>IF(BF173&lt;&gt;-999,BF173*$CC173, -999)</f>
        <v>753987.18975477677</v>
      </c>
      <c r="CE173">
        <f>IF(BG173&lt;&gt;-999,BG173*$CC173, -999)</f>
        <v>-999</v>
      </c>
      <c r="CF173" s="25">
        <f>IF(BH173&lt;&gt;-999,BH173*$CC173, -999)</f>
        <v>753987.18975477677</v>
      </c>
      <c r="CG173">
        <f>-38.03-(0.1023*E173)+F173*(100-8.576-13.681)</f>
        <v>3.2430486623285333</v>
      </c>
      <c r="CH173">
        <f>IF(BI173&lt;&gt;-999,BI173*$CG173, -999)</f>
        <v>862145.41059776244</v>
      </c>
      <c r="CI173">
        <f>IF(BJ173&lt;&gt;-999,BJ173*$CG173, -999)</f>
        <v>-999</v>
      </c>
      <c r="CJ173" s="25">
        <f>IF(BK173&lt;&gt;-999,BK173*$CG173, -999)</f>
        <v>862145.41059776244</v>
      </c>
      <c r="CK173" s="26">
        <f t="shared" si="84"/>
        <v>46258955.42076961</v>
      </c>
      <c r="CL173">
        <f t="shared" si="85"/>
        <v>-24.891042185736687</v>
      </c>
      <c r="CM173">
        <f t="shared" si="86"/>
        <v>33.561969901753542</v>
      </c>
      <c r="CN173">
        <f t="shared" si="87"/>
        <v>-82.334358718409433</v>
      </c>
      <c r="CO173" s="22">
        <f t="shared" si="88"/>
        <v>-40.08</v>
      </c>
      <c r="CP173">
        <f>IF(AT173&lt;&gt;-999,AT173*$CO173, -999)</f>
        <v>-40057032.203801207</v>
      </c>
      <c r="CQ173">
        <f>IF(AU173&lt;&gt;-999,AU173*$CO173, -999)</f>
        <v>-999</v>
      </c>
      <c r="CR173" s="27">
        <f>IF(AV173&lt;&gt;-999,AV173*$CO173, -999)</f>
        <v>-40057032.203801207</v>
      </c>
      <c r="CS173">
        <f t="shared" si="89"/>
        <v>-42.853000000000002</v>
      </c>
      <c r="CT173">
        <f>IF(AW173&lt;&gt;-999,AW173*$CS173, -999)</f>
        <v>-7240912.8776168255</v>
      </c>
      <c r="CU173">
        <f>IF(AX173&lt;&gt;-999,AX173*$CS173, -999)</f>
        <v>-999</v>
      </c>
      <c r="CV173" s="27">
        <f>IF(AY173&lt;&gt;-999,AY173*$CS173, -999)</f>
        <v>-7240912.8776168255</v>
      </c>
      <c r="CW173">
        <f t="shared" si="90"/>
        <v>-48.780999999999999</v>
      </c>
      <c r="CX173">
        <f>IF(AZ173&lt;&gt;-999,AZ173*$CO173, -999)</f>
        <v>-28548977.682846107</v>
      </c>
      <c r="CY173">
        <f>IF(BA173&lt;&gt;-999,BA173*$CO173, -999)</f>
        <v>-999</v>
      </c>
      <c r="CZ173" s="27">
        <f>IF(BB173&lt;&gt;-999,BB173*$CO173, -999)</f>
        <v>-28548977.682846107</v>
      </c>
      <c r="DA173">
        <f t="shared" si="91"/>
        <v>-48.155000000000001</v>
      </c>
      <c r="DB173">
        <f>IF(BC173&lt;&gt;-999,BC173*$DA173, -999)</f>
        <v>-17962080.689258374</v>
      </c>
      <c r="DC173">
        <f>IF(BD173&lt;&gt;-999,BD173*$DA173, -999)</f>
        <v>-999</v>
      </c>
      <c r="DD173" s="27">
        <f>IF(BE173&lt;&gt;-999,BE173*$DA173, -999)</f>
        <v>-17962080.689258374</v>
      </c>
      <c r="DE173">
        <f t="shared" si="92"/>
        <v>-52.227000000000004</v>
      </c>
      <c r="DF173">
        <f>IF(BF173&lt;&gt;-999,BF173*$DE173, -999)</f>
        <v>-3293603.9381804788</v>
      </c>
      <c r="DG173">
        <f>IF(BG173&lt;&gt;-999,BG173*$DE173, -999)</f>
        <v>-999</v>
      </c>
      <c r="DH173" s="27">
        <f>IF(BH173&lt;&gt;-999,BH173*$DE173, -999)</f>
        <v>-3293603.9381804788</v>
      </c>
      <c r="DI173">
        <f t="shared" si="93"/>
        <v>-60.94</v>
      </c>
      <c r="DJ173">
        <f>IF(BI173&lt;&gt;-999,BI173*$DI173, -999)</f>
        <v>-16200540.538329186</v>
      </c>
      <c r="DK173">
        <f>IF(BJ173&lt;&gt;-999,BJ173*$DI173, -999)</f>
        <v>-999</v>
      </c>
      <c r="DL173" s="27">
        <f>IF(BK173&lt;&gt;-999,BK173*$DI173, -999)</f>
        <v>-16200540.538329186</v>
      </c>
      <c r="DM173" s="28">
        <f t="shared" si="94"/>
        <v>-113303147.93003216</v>
      </c>
      <c r="DN173" s="22">
        <f t="shared" si="95"/>
        <v>-17.170000000000002</v>
      </c>
      <c r="DO173">
        <f>IF(AT173&lt;&gt;-999,AT173*$DN173, -999)</f>
        <v>-17160160.751977716</v>
      </c>
      <c r="DP173">
        <f>IF(AU173&lt;&gt;-999,AU173*$DN173, -999)</f>
        <v>-999</v>
      </c>
      <c r="DQ173" s="24">
        <f>IF(AV173&lt;&gt;-999,AV173*$DN173, -999)</f>
        <v>-17160160.751977716</v>
      </c>
      <c r="DR173">
        <f t="shared" si="96"/>
        <v>-19.943000000000001</v>
      </c>
      <c r="DS173">
        <f>IF(AW173&lt;&gt;-999,AW173*$DR173, -999)</f>
        <v>-3369788.0082680876</v>
      </c>
      <c r="DT173">
        <f>IF(AX173&lt;&gt;-999,AX173*$DR173, -999)</f>
        <v>-999</v>
      </c>
      <c r="DU173" s="24">
        <f>IF(AY173&lt;&gt;-999,AY173*$DR173, -999)</f>
        <v>-3369788.0082680876</v>
      </c>
      <c r="DV173">
        <f t="shared" si="97"/>
        <v>-25.870999999999999</v>
      </c>
      <c r="DW173">
        <f>IF(AZ173&lt;&gt;-999,AZ173*$DV173, -999)</f>
        <v>-18427909.222378034</v>
      </c>
      <c r="DX173">
        <f>IF(BA173&lt;&gt;-999,BA173*$DV173, -999)</f>
        <v>-999</v>
      </c>
      <c r="DY173" s="24">
        <f>IF(BB173&lt;&gt;-999,BB173*$DV173, -999)</f>
        <v>-18427909.222378034</v>
      </c>
      <c r="DZ173">
        <f t="shared" si="98"/>
        <v>-25.245000000000001</v>
      </c>
      <c r="EA173">
        <f>IF(BC173&lt;&gt;-999, BC173*$DZ173, -999)</f>
        <v>-9416524.2861660831</v>
      </c>
      <c r="EB173">
        <f>IF(BD173&lt;&gt;-999, BD173*$DZ173, -999)</f>
        <v>-999</v>
      </c>
      <c r="EC173" s="24">
        <f>IF(BE173&lt;&gt;-999, BE173*$DZ173, -999)</f>
        <v>-9416524.2861660831</v>
      </c>
      <c r="ED173">
        <f t="shared" si="99"/>
        <v>-29.317</v>
      </c>
      <c r="EE173">
        <f>IF(BF173&lt;&gt;-999,BF173*$ED173, -999)</f>
        <v>-1848825.0647296817</v>
      </c>
      <c r="EF173">
        <f>IF(BG173&lt;&gt;-999,BG173*$ED173, -999)</f>
        <v>-999</v>
      </c>
      <c r="EG173" s="24">
        <f>IF(BH173&lt;&gt;-999,BH173*$ED173, -999)</f>
        <v>-1848825.0647296817</v>
      </c>
      <c r="EH173">
        <f t="shared" si="100"/>
        <v>-38.03</v>
      </c>
      <c r="EI173">
        <f>IF(BI173&lt;&gt;-999,BI173*$EH173, -999)</f>
        <v>-10110051.799682623</v>
      </c>
      <c r="EJ173">
        <f>IF(BJ173&lt;&gt;-999,BJ173*$EH173, -999)</f>
        <v>-999</v>
      </c>
      <c r="EK173" s="24">
        <f>IF(BK173&lt;&gt;-999,BK173*$EH173, -999)</f>
        <v>-10110051.799682623</v>
      </c>
      <c r="EL173" s="28">
        <f t="shared" si="101"/>
        <v>-60333259.133202225</v>
      </c>
      <c r="EM173" s="22">
        <f>-17.17-(0.1023*G173)+H173*(100+102.093-66.644-64.243)</f>
        <v>36.998129984858075</v>
      </c>
      <c r="EN173">
        <f>IF(AT173&lt;&gt;-999,AT173*$EM173, -999)</f>
        <v>36976928.250595883</v>
      </c>
      <c r="EO173">
        <f>IF(AU173&lt;&gt;-999,AU173*$EM173, -999)</f>
        <v>-999</v>
      </c>
      <c r="EP173" s="23">
        <f>IF(AV173&lt;&gt;-999,AV173*$EM173, -999)</f>
        <v>36976928.250595883</v>
      </c>
      <c r="EQ173">
        <f>-19.943-(0.1023*G173)+H173*(100+102.093-66.644-64.243)</f>
        <v>34.225129984858071</v>
      </c>
      <c r="ER173">
        <f>IF(AW173&lt;&gt;-999,AW173*$EQ173, -999)</f>
        <v>5783053.3322163802</v>
      </c>
      <c r="ES173">
        <f>IF(AX173&lt;&gt;-999,AX173*$EQ173, -999)</f>
        <v>-999</v>
      </c>
      <c r="ET173" s="23">
        <f>IF(AY173&lt;&gt;-999,AY173*$EQ173, -999)</f>
        <v>5783053.3322163802</v>
      </c>
      <c r="EU173">
        <f>-25.871-(0.1023*G173)+H173*(100+102.093-66.644-64.243)</f>
        <v>28.297129984858074</v>
      </c>
      <c r="EV173">
        <f>IF(AZ173&lt;&gt;-999,AZ173*$EU173, -999)</f>
        <v>20156041.228201311</v>
      </c>
      <c r="EW173">
        <f>IF(BA173&lt;&gt;-999,BA173*$EU173, -999)</f>
        <v>-999</v>
      </c>
      <c r="EX173" s="23">
        <f>IF(BB173&lt;&gt;-999,BB173*$EU173, -999)</f>
        <v>20156041.228201311</v>
      </c>
      <c r="EY173">
        <f>-25.245-(0.1023*G173)+H173*(100+102.093-66.644-64.243)</f>
        <v>28.923129984858072</v>
      </c>
      <c r="EZ173">
        <f>IF(BC173&lt;&gt;-999, BC173*$EY173, -999)</f>
        <v>10788487.064145552</v>
      </c>
      <c r="FA173">
        <f>IF(BD173&lt;&gt;-999, BD173*$EY173, -999)</f>
        <v>-999</v>
      </c>
      <c r="FB173" s="23">
        <f>IF(BE173&lt;&gt;-999, BE173*$EY173, -999)</f>
        <v>10788487.064145552</v>
      </c>
      <c r="FC173">
        <f>-29.317-(0.1023*G173)+H173*(100+102.093-66.644-64.243)</f>
        <v>24.851129984858076</v>
      </c>
      <c r="FD173">
        <f>IF(BF173&lt;&gt;-999,BF173*$FC173, -999)</f>
        <v>1567192.8233741845</v>
      </c>
      <c r="FE173">
        <f>IF(BG173&lt;&gt;-999,BG173*$FC173, -999)</f>
        <v>-999</v>
      </c>
      <c r="FF173" s="23">
        <f>IF(BH173&lt;&gt;-999,BH173*$FC173, -999)</f>
        <v>1567192.8233741845</v>
      </c>
      <c r="FG173">
        <f>-38.03-(0.1023*G173)+H173*(100+102.093-66.644-64.243)</f>
        <v>16.138129984858075</v>
      </c>
      <c r="FH173">
        <f>IF(BI173&lt;&gt;-999,BI173*$FG173, -999)</f>
        <v>4290226.9286596496</v>
      </c>
      <c r="FI173">
        <f>IF(BJ173&lt;&gt;-999,BJ173*$FG173, -999)</f>
        <v>-999</v>
      </c>
      <c r="FJ173" s="23">
        <f>IF(BK173&lt;&gt;-999,BK173*$FG173, -999)</f>
        <v>4290226.9286596496</v>
      </c>
      <c r="FK173" s="28">
        <f t="shared" si="102"/>
        <v>79561929.627192959</v>
      </c>
      <c r="FL173" s="22">
        <f t="shared" si="104"/>
        <v>10.012280000000011</v>
      </c>
      <c r="FM173">
        <f>IF(AT173&lt;&gt;-999,AT173*$FL173, -999)</f>
        <v>10006542.474887107</v>
      </c>
      <c r="FN173">
        <f>IF(AU173&lt;&gt;-999,AU173*$FL173, -999)</f>
        <v>-999</v>
      </c>
      <c r="FO173" s="29">
        <f>IF(AV173&lt;&gt;-999,AV173*$FL173, -999)</f>
        <v>10006542.474887107</v>
      </c>
      <c r="FP173">
        <f t="shared" si="105"/>
        <v>7.2392800000000115</v>
      </c>
      <c r="FQ173">
        <f>IF(AW173&lt;&gt;-999,AW173*$FP173, -999)</f>
        <v>1223228.1468432553</v>
      </c>
      <c r="FR173">
        <f>IF(AX173&lt;&gt;-999,AX173*$FP173, -999)</f>
        <v>-999</v>
      </c>
      <c r="FS173" s="29">
        <f>IF(AY173&lt;&gt;-999,AY173*$FP173, -999)</f>
        <v>1223228.1468432553</v>
      </c>
      <c r="FT173">
        <f t="shared" si="106"/>
        <v>1.3112800000000142</v>
      </c>
      <c r="FU173">
        <f>IF(AZ173&lt;&gt;-999,AZ173*$FT173, -999)</f>
        <v>934024.53732442239</v>
      </c>
      <c r="FV173">
        <f>IF(BA173&lt;&gt;-999,BA173*$FT173, -999)</f>
        <v>-999</v>
      </c>
      <c r="FW173" s="29">
        <f>IF(BB173&lt;&gt;-999,BB173*$FT173, -999)</f>
        <v>934024.53732442239</v>
      </c>
      <c r="FX173">
        <f t="shared" si="107"/>
        <v>1.9372800000000119</v>
      </c>
      <c r="FY173">
        <f>IF(BC173&lt;&gt;-999, BC173*$FX173, -999)</f>
        <v>722616.12870286952</v>
      </c>
      <c r="FZ173">
        <f>IF(BD173&lt;&gt;-999, BD173*$FX173, -999)</f>
        <v>-999</v>
      </c>
      <c r="GA173" s="29">
        <f>IF(BE173&lt;&gt;-999, BE173*$FX173, -999)</f>
        <v>722616.12870286952</v>
      </c>
      <c r="GB173">
        <f t="shared" si="108"/>
        <v>-2.1347199999999873</v>
      </c>
      <c r="GC173">
        <f>IF(BF173&lt;&gt;-999,BF173*$GB173, -999)</f>
        <v>-134622.36389056596</v>
      </c>
      <c r="GD173">
        <f>IF(BG173&lt;&gt;-999,BG173*$GB173, -999)</f>
        <v>-999</v>
      </c>
      <c r="GE173" s="29">
        <f>IF(BH173&lt;&gt;-999,BH173*$GB173, -999)</f>
        <v>-134622.36389056596</v>
      </c>
      <c r="GF173">
        <f t="shared" si="109"/>
        <v>-10.847719999999988</v>
      </c>
      <c r="GG173">
        <f>IF(BI173&lt;&gt;-999,BI173*$GF173, -999)</f>
        <v>-2883802.5534697096</v>
      </c>
      <c r="GH173">
        <f>IF(BJ173&lt;&gt;-999,BJ173*$GF173, -999)</f>
        <v>-999</v>
      </c>
      <c r="GI173" s="29">
        <f>IF(BK173&lt;&gt;-999,BK173*$GF173, -999)</f>
        <v>-2883802.5534697096</v>
      </c>
      <c r="GJ173" s="30">
        <f t="shared" si="103"/>
        <v>9867986.3703973778</v>
      </c>
    </row>
    <row r="174" spans="1:192">
      <c r="A174" s="48" t="s">
        <v>161</v>
      </c>
      <c r="B174" s="48" t="s">
        <v>301</v>
      </c>
      <c r="C174" s="49">
        <v>73</v>
      </c>
      <c r="D174" s="50">
        <v>0.40100000000000002</v>
      </c>
      <c r="E174" s="49">
        <v>79.117205431164194</v>
      </c>
      <c r="F174" s="49">
        <v>0.79362283601292405</v>
      </c>
      <c r="G174" s="49">
        <v>70.073844780319703</v>
      </c>
      <c r="H174" s="49">
        <v>0.81844488688179295</v>
      </c>
      <c r="I174" s="42">
        <v>22120.400000000001</v>
      </c>
      <c r="J174" s="43">
        <v>54879.7</v>
      </c>
      <c r="K174" s="43">
        <f t="shared" si="78"/>
        <v>77000.100000000006</v>
      </c>
      <c r="L174" s="43">
        <v>15734.9</v>
      </c>
      <c r="M174" s="43">
        <v>39037.4</v>
      </c>
      <c r="N174" s="43">
        <f t="shared" si="79"/>
        <v>54772.3</v>
      </c>
      <c r="O174" s="43">
        <v>52171.7</v>
      </c>
      <c r="P174" s="43">
        <v>129435.4</v>
      </c>
      <c r="Q174" s="43">
        <f t="shared" si="80"/>
        <v>181607.09999999998</v>
      </c>
      <c r="R174" s="43">
        <v>24217.7</v>
      </c>
      <c r="S174" s="43">
        <v>60082.9</v>
      </c>
      <c r="T174" s="43">
        <f t="shared" si="81"/>
        <v>84300.6</v>
      </c>
      <c r="U174" s="43">
        <v>17226.7</v>
      </c>
      <c r="V174" s="43">
        <v>42738.6</v>
      </c>
      <c r="W174" s="43">
        <f t="shared" si="82"/>
        <v>59965.3</v>
      </c>
      <c r="X174" s="43">
        <v>57118.1</v>
      </c>
      <c r="Y174" s="43">
        <v>141707.20000000001</v>
      </c>
      <c r="Z174" s="43">
        <f t="shared" si="83"/>
        <v>198825.30000000002</v>
      </c>
      <c r="AA174" s="22">
        <v>100433</v>
      </c>
      <c r="AB174">
        <v>283449.3</v>
      </c>
      <c r="AC174">
        <v>383882.4</v>
      </c>
      <c r="AD174">
        <v>71440.7</v>
      </c>
      <c r="AE174">
        <v>201625.1</v>
      </c>
      <c r="AF174">
        <v>273065.90000000002</v>
      </c>
      <c r="AG174">
        <v>236874.2</v>
      </c>
      <c r="AH174">
        <v>668523.30000000005</v>
      </c>
      <c r="AI174">
        <v>905397.4</v>
      </c>
      <c r="AJ174">
        <v>109955.1</v>
      </c>
      <c r="AK174">
        <v>310323.20000000001</v>
      </c>
      <c r="AL174">
        <v>420278.3</v>
      </c>
      <c r="AM174">
        <v>78214</v>
      </c>
      <c r="AN174">
        <v>220741.2</v>
      </c>
      <c r="AO174">
        <v>298955.3</v>
      </c>
      <c r="AP174">
        <v>259332.3</v>
      </c>
      <c r="AQ174">
        <v>731906</v>
      </c>
      <c r="AR174">
        <v>991238.3</v>
      </c>
      <c r="AS174">
        <v>3272817.54</v>
      </c>
      <c r="AT174" s="22">
        <f t="shared" si="111"/>
        <v>167189.25587767499</v>
      </c>
      <c r="AU174">
        <f t="shared" si="111"/>
        <v>471853.64915961749</v>
      </c>
      <c r="AV174">
        <f t="shared" si="111"/>
        <v>639043.07150574005</v>
      </c>
      <c r="AW174">
        <f t="shared" si="111"/>
        <v>118926.2241731325</v>
      </c>
      <c r="AX174">
        <f t="shared" si="111"/>
        <v>335642.17374032247</v>
      </c>
      <c r="AY174">
        <f t="shared" si="111"/>
        <v>454568.56438190257</v>
      </c>
      <c r="AZ174">
        <f t="shared" si="111"/>
        <v>394320.80326804501</v>
      </c>
      <c r="BA174">
        <f t="shared" si="111"/>
        <v>1112880.3586857675</v>
      </c>
      <c r="BB174">
        <f t="shared" si="111"/>
        <v>1507200.9954853652</v>
      </c>
      <c r="BC174">
        <f t="shared" si="111"/>
        <v>183040.54791707252</v>
      </c>
      <c r="BD174">
        <f t="shared" si="110"/>
        <v>516590.21327232005</v>
      </c>
      <c r="BE174">
        <f t="shared" si="110"/>
        <v>699630.76118939254</v>
      </c>
      <c r="BF174">
        <f t="shared" si="110"/>
        <v>130201.63152765001</v>
      </c>
      <c r="BG174">
        <f t="shared" si="110"/>
        <v>367464.44863287004</v>
      </c>
      <c r="BH174">
        <f t="shared" si="110"/>
        <v>497666.24662896746</v>
      </c>
      <c r="BI174">
        <f t="shared" si="110"/>
        <v>431706.4536760425</v>
      </c>
      <c r="BJ174">
        <f t="shared" si="110"/>
        <v>1218392.5553593501</v>
      </c>
      <c r="BK174">
        <f t="shared" si="110"/>
        <v>1650099.0090353927</v>
      </c>
      <c r="BL174">
        <f t="shared" si="110"/>
        <v>5448208.5483456915</v>
      </c>
      <c r="BM174" s="22">
        <f>-17.17-(0.1023*E174)+F174*(100-8.576-13.681)</f>
        <v>36.434930024544663</v>
      </c>
      <c r="BN174">
        <f>IF(AT174&lt;&gt;-999,AT174*$BM174, -999)</f>
        <v>6091528.8387587806</v>
      </c>
      <c r="BO174">
        <f>IF(AU174&lt;&gt;-999,AU174*$BM174, -999)</f>
        <v>17191954.688956711</v>
      </c>
      <c r="BP174" s="25">
        <f>IF(AV174&lt;&gt;-999,AV174*$BM174, -999)</f>
        <v>23283489.59298173</v>
      </c>
      <c r="BQ174">
        <f>-19.943-(0.1023*E174)+F174*(100-8.576-13.681)</f>
        <v>33.66193002454466</v>
      </c>
      <c r="BR174">
        <f>IF(AW174&lt;&gt;-999,AW174*$BQ174, -999)</f>
        <v>4003286.2361992979</v>
      </c>
      <c r="BS174">
        <f>IF(AX174&lt;&gt;-999,AX174*$BQ174, -999)</f>
        <v>11298363.365732796</v>
      </c>
      <c r="BT174" s="25">
        <f>IF(AY174&lt;&gt;-999,AY174*$BQ174, -999)</f>
        <v>15301655.205581328</v>
      </c>
      <c r="BU174">
        <f>-25.871-(0.1023*E174)+F174*(100-8.576-13.681)</f>
        <v>27.733930024544669</v>
      </c>
      <c r="BV174">
        <f>IF(AZ174&lt;&gt;-999,AZ174*$BU174, -999)</f>
        <v>10936065.565058205</v>
      </c>
      <c r="BW174">
        <f>IF(BA174&lt;&gt;-999,BA174*$BU174, -999)</f>
        <v>30864545.993481249</v>
      </c>
      <c r="BX174" s="25">
        <f>IF(BB174&lt;&gt;-999,BB174*$BU174, -999)</f>
        <v>41800606.941715181</v>
      </c>
      <c r="BY174">
        <f>-25.245-(0.1023*E174)+F174*(100-8.576-13.681)</f>
        <v>28.35993002454466</v>
      </c>
      <c r="BZ174">
        <f>IF(BC174&lt;&gt;-999,BC174*$BY174, -999)</f>
        <v>5191017.13058249</v>
      </c>
      <c r="CA174">
        <f>IF(BD174&lt;&gt;-999,BD174*$BY174, -999)</f>
        <v>14650462.299767599</v>
      </c>
      <c r="CB174" s="25">
        <f>IF(BE174&lt;&gt;-999,BE174*$BY174, -999)</f>
        <v>19841479.430350088</v>
      </c>
      <c r="CC174">
        <f>-29.317-(0.1023*E174)+F174*(100-8.576-13.681)</f>
        <v>24.287930024544664</v>
      </c>
      <c r="CD174">
        <f>IF(BF174&lt;&gt;-999,BF174*$CC174, -999)</f>
        <v>3162328.1156251119</v>
      </c>
      <c r="CE174">
        <f>IF(BG174&lt;&gt;-999,BG174*$CC174, -999)</f>
        <v>8924950.8149030358</v>
      </c>
      <c r="CF174" s="25">
        <f>IF(BH174&lt;&gt;-999,BH174*$CC174, -999)</f>
        <v>12087282.973702149</v>
      </c>
      <c r="CG174">
        <f>-38.03-(0.1023*E174)+F174*(100-8.576-13.681)</f>
        <v>15.574930024544663</v>
      </c>
      <c r="CH174">
        <f>IF(BI174&lt;&gt;-999,BI174*$CG174, -999)</f>
        <v>6723797.8071486941</v>
      </c>
      <c r="CI174">
        <f>IF(BJ174&lt;&gt;-999,BJ174*$CG174, -999)</f>
        <v>18976378.792148039</v>
      </c>
      <c r="CJ174" s="25">
        <f>IF(BK174&lt;&gt;-999,BK174*$CG174, -999)</f>
        <v>25700176.599296734</v>
      </c>
      <c r="CK174" s="26">
        <f t="shared" si="84"/>
        <v>138014690.74362722</v>
      </c>
      <c r="CL174">
        <f t="shared" si="85"/>
        <v>-37.886569109211734</v>
      </c>
      <c r="CM174">
        <f t="shared" si="86"/>
        <v>19.376148062979034</v>
      </c>
      <c r="CN174">
        <f t="shared" si="87"/>
        <v>-94.160151437521549</v>
      </c>
      <c r="CO174" s="22">
        <f t="shared" si="88"/>
        <v>-40.08</v>
      </c>
      <c r="CP174">
        <f>IF(AT174&lt;&gt;-999,AT174*$CO174, -999)</f>
        <v>-6700945.3755772132</v>
      </c>
      <c r="CQ174">
        <f>IF(AU174&lt;&gt;-999,AU174*$CO174, -999)</f>
        <v>-18911894.258317467</v>
      </c>
      <c r="CR174" s="27">
        <f>IF(AV174&lt;&gt;-999,AV174*$CO174, -999)</f>
        <v>-25612846.30595006</v>
      </c>
      <c r="CS174">
        <f t="shared" si="89"/>
        <v>-42.853000000000002</v>
      </c>
      <c r="CT174">
        <f>IF(AW174&lt;&gt;-999,AW174*$CS174, -999)</f>
        <v>-5096345.4844912477</v>
      </c>
      <c r="CU174">
        <f>IF(AX174&lt;&gt;-999,AX174*$CS174, -999)</f>
        <v>-14383274.071294039</v>
      </c>
      <c r="CV174" s="27">
        <f>IF(AY174&lt;&gt;-999,AY174*$CS174, -999)</f>
        <v>-19479626.68945767</v>
      </c>
      <c r="CW174">
        <f t="shared" si="90"/>
        <v>-48.780999999999999</v>
      </c>
      <c r="CX174">
        <f>IF(AZ174&lt;&gt;-999,AZ174*$CO174, -999)</f>
        <v>-15804377.794983244</v>
      </c>
      <c r="CY174">
        <f>IF(BA174&lt;&gt;-999,BA174*$CO174, -999)</f>
        <v>-44604244.776125558</v>
      </c>
      <c r="CZ174" s="27">
        <f>IF(BB174&lt;&gt;-999,BB174*$CO174, -999)</f>
        <v>-60408615.899053432</v>
      </c>
      <c r="DA174">
        <f t="shared" si="91"/>
        <v>-48.155000000000001</v>
      </c>
      <c r="DB174">
        <f>IF(BC174&lt;&gt;-999,BC174*$DA174, -999)</f>
        <v>-8814317.5849466268</v>
      </c>
      <c r="DC174">
        <f>IF(BD174&lt;&gt;-999,BD174*$DA174, -999)</f>
        <v>-24876401.720128573</v>
      </c>
      <c r="DD174" s="27">
        <f>IF(BE174&lt;&gt;-999,BE174*$DA174, -999)</f>
        <v>-33690719.305075198</v>
      </c>
      <c r="DE174">
        <f t="shared" si="92"/>
        <v>-52.227000000000004</v>
      </c>
      <c r="DF174">
        <f>IF(BF174&lt;&gt;-999,BF174*$DE174, -999)</f>
        <v>-6800040.6097945776</v>
      </c>
      <c r="DG174">
        <f>IF(BG174&lt;&gt;-999,BG174*$DE174, -999)</f>
        <v>-19191565.758748904</v>
      </c>
      <c r="DH174" s="27">
        <f>IF(BH174&lt;&gt;-999,BH174*$DE174, -999)</f>
        <v>-25991615.062691085</v>
      </c>
      <c r="DI174">
        <f t="shared" si="93"/>
        <v>-60.94</v>
      </c>
      <c r="DJ174">
        <f>IF(BI174&lt;&gt;-999,BI174*$DI174, -999)</f>
        <v>-26308191.287018027</v>
      </c>
      <c r="DK174">
        <f>IF(BJ174&lt;&gt;-999,BJ174*$DI174, -999)</f>
        <v>-74248842.323598787</v>
      </c>
      <c r="DL174" s="27">
        <f>IF(BK174&lt;&gt;-999,BK174*$DI174, -999)</f>
        <v>-100557033.61061682</v>
      </c>
      <c r="DM174" s="28">
        <f t="shared" si="94"/>
        <v>-265740456.87284428</v>
      </c>
      <c r="DN174" s="22">
        <f t="shared" si="95"/>
        <v>-17.170000000000002</v>
      </c>
      <c r="DO174">
        <f>IF(AT174&lt;&gt;-999,AT174*$DN174, -999)</f>
        <v>-2870639.5234196801</v>
      </c>
      <c r="DP174">
        <f>IF(AU174&lt;&gt;-999,AU174*$DN174, -999)</f>
        <v>-8101727.1560706329</v>
      </c>
      <c r="DQ174" s="24">
        <f>IF(AV174&lt;&gt;-999,AV174*$DN174, -999)</f>
        <v>-10972369.537753558</v>
      </c>
      <c r="DR174">
        <f t="shared" si="96"/>
        <v>-19.943000000000001</v>
      </c>
      <c r="DS174">
        <f>IF(AW174&lt;&gt;-999,AW174*$DR174, -999)</f>
        <v>-2371745.6886847815</v>
      </c>
      <c r="DT174">
        <f>IF(AX174&lt;&gt;-999,AX174*$DR174, -999)</f>
        <v>-6693711.8709032517</v>
      </c>
      <c r="DU174" s="24">
        <f>IF(AY174&lt;&gt;-999,AY174*$DR174, -999)</f>
        <v>-9065460.8794682845</v>
      </c>
      <c r="DV174">
        <f t="shared" si="97"/>
        <v>-25.870999999999999</v>
      </c>
      <c r="DW174">
        <f>IF(AZ174&lt;&gt;-999,AZ174*$DV174, -999)</f>
        <v>-10201473.501347592</v>
      </c>
      <c r="DX174">
        <f>IF(BA174&lt;&gt;-999,BA174*$DV174, -999)</f>
        <v>-28791327.75955949</v>
      </c>
      <c r="DY174" s="24">
        <f>IF(BB174&lt;&gt;-999,BB174*$DV174, -999)</f>
        <v>-38992796.954201877</v>
      </c>
      <c r="DZ174">
        <f t="shared" si="98"/>
        <v>-25.245000000000001</v>
      </c>
      <c r="EA174">
        <f>IF(BC174&lt;&gt;-999, BC174*$DZ174, -999)</f>
        <v>-4620858.6321664955</v>
      </c>
      <c r="EB174">
        <f>IF(BD174&lt;&gt;-999, BD174*$DZ174, -999)</f>
        <v>-13041319.93405972</v>
      </c>
      <c r="EC174" s="24">
        <f>IF(BE174&lt;&gt;-999, BE174*$DZ174, -999)</f>
        <v>-17662178.566226214</v>
      </c>
      <c r="ED174">
        <f t="shared" si="99"/>
        <v>-29.317</v>
      </c>
      <c r="EE174">
        <f>IF(BF174&lt;&gt;-999,BF174*$ED174, -999)</f>
        <v>-3817121.2314961152</v>
      </c>
      <c r="EF174">
        <f>IF(BG174&lt;&gt;-999,BG174*$ED174, -999)</f>
        <v>-10772955.24056985</v>
      </c>
      <c r="EG174" s="24">
        <f>IF(BH174&lt;&gt;-999,BH174*$ED174, -999)</f>
        <v>-14590081.352421438</v>
      </c>
      <c r="EH174">
        <f t="shared" si="100"/>
        <v>-38.03</v>
      </c>
      <c r="EI174">
        <f>IF(BI174&lt;&gt;-999,BI174*$EH174, -999)</f>
        <v>-16417796.433299897</v>
      </c>
      <c r="EJ174">
        <f>IF(BJ174&lt;&gt;-999,BJ174*$EH174, -999)</f>
        <v>-46335468.880316086</v>
      </c>
      <c r="EK174" s="24">
        <f>IF(BK174&lt;&gt;-999,BK174*$EH174, -999)</f>
        <v>-62753265.313615985</v>
      </c>
      <c r="EL174" s="28">
        <f t="shared" si="101"/>
        <v>-154036152.60368735</v>
      </c>
      <c r="EM174" s="22">
        <f>-17.17-(0.1023*G174)+H174*(100+102.093-66.644-64.243)</f>
        <v>33.939632294278255</v>
      </c>
      <c r="EN174">
        <f>IF(AT174&lt;&gt;-999,AT174*$EM174, -999)</f>
        <v>5674341.8680422883</v>
      </c>
      <c r="EO174">
        <f>IF(AU174&lt;&gt;-999,AU174*$EM174, -999)</f>
        <v>16014539.349190796</v>
      </c>
      <c r="EP174" s="23">
        <f>IF(AV174&lt;&gt;-999,AV174*$EM174, -999)</f>
        <v>21688886.867110983</v>
      </c>
      <c r="EQ174">
        <f>-19.943-(0.1023*G174)+H174*(100+102.093-66.644-64.243)</f>
        <v>31.166632294278251</v>
      </c>
      <c r="ER174">
        <f>IF(AW174&lt;&gt;-999,AW174*$EQ174, -999)</f>
        <v>3706529.8989509265</v>
      </c>
      <c r="ES174">
        <f>IF(AX174&lt;&gt;-999,AX174*$EQ174, -999)</f>
        <v>10460836.211416885</v>
      </c>
      <c r="ET174" s="23">
        <f>IF(AY174&lt;&gt;-999,AY174*$EQ174, -999)</f>
        <v>14167371.298628706</v>
      </c>
      <c r="EU174">
        <f>-25.871-(0.1023*G174)+H174*(100+102.093-66.644-64.243)</f>
        <v>25.238632294278254</v>
      </c>
      <c r="EV174">
        <f>IF(AZ174&lt;&gt;-999,AZ174*$EU174, -999)</f>
        <v>9952117.7596666235</v>
      </c>
      <c r="EW174">
        <f>IF(BA174&lt;&gt;-999,BA174*$EU174, -999)</f>
        <v>28087578.160394579</v>
      </c>
      <c r="EX174" s="23">
        <f>IF(BB174&lt;&gt;-999,BB174*$EU174, -999)</f>
        <v>38039691.71862527</v>
      </c>
      <c r="EY174">
        <f>-25.245-(0.1023*G174)+H174*(100+102.093-66.644-64.243)</f>
        <v>25.864632294278252</v>
      </c>
      <c r="EZ174">
        <f>IF(BC174&lt;&gt;-999, BC174*$EY174, -999)</f>
        <v>4734276.4668182991</v>
      </c>
      <c r="FA174">
        <f>IF(BD174&lt;&gt;-999, BD174*$EY174, -999)</f>
        <v>13361415.913111338</v>
      </c>
      <c r="FB174" s="23">
        <f>IF(BE174&lt;&gt;-999, BE174*$EY174, -999)</f>
        <v>18095692.379929639</v>
      </c>
      <c r="FC174">
        <f>-29.317-(0.1023*G174)+H174*(100+102.093-66.644-64.243)</f>
        <v>21.792632294278256</v>
      </c>
      <c r="FD174">
        <f>IF(BF174&lt;&gt;-999,BF174*$FC174, -999)</f>
        <v>2837436.2799971835</v>
      </c>
      <c r="FE174">
        <f>IF(BG174&lt;&gt;-999,BG174*$FC174, -999)</f>
        <v>8008017.6102758376</v>
      </c>
      <c r="FF174" s="23">
        <f>IF(BH174&lt;&gt;-999,BH174*$FC174, -999)</f>
        <v>10845457.518058684</v>
      </c>
      <c r="FG174">
        <f>-38.03-(0.1023*G174)+H174*(100+102.093-66.644-64.243)</f>
        <v>13.079632294278255</v>
      </c>
      <c r="FH174">
        <f>IF(BI174&lt;&gt;-999,BI174*$FG174, -999)</f>
        <v>5646561.6731495047</v>
      </c>
      <c r="FI174">
        <f>IF(BJ174&lt;&gt;-999,BJ174*$FG174, -999)</f>
        <v>15936126.614186361</v>
      </c>
      <c r="FJ174" s="23">
        <f>IF(BK174&lt;&gt;-999,BK174*$FG174, -999)</f>
        <v>21582688.287335869</v>
      </c>
      <c r="FK174" s="28">
        <f t="shared" si="102"/>
        <v>124419788.06968915</v>
      </c>
      <c r="FL174" s="22">
        <f t="shared" si="104"/>
        <v>10.012280000000011</v>
      </c>
      <c r="FM174">
        <f>IF(AT174&lt;&gt;-999,AT174*$FL174, -999)</f>
        <v>1673945.6428389295</v>
      </c>
      <c r="FN174">
        <f>IF(AU174&lt;&gt;-999,AU174*$FL174, -999)</f>
        <v>4724330.85440786</v>
      </c>
      <c r="FO174" s="29">
        <f>IF(AV174&lt;&gt;-999,AV174*$FL174, -999)</f>
        <v>6398278.1639754977</v>
      </c>
      <c r="FP174">
        <f t="shared" si="105"/>
        <v>7.2392800000000115</v>
      </c>
      <c r="FQ174">
        <f>IF(AW174&lt;&gt;-999,AW174*$FP174, -999)</f>
        <v>860940.23613207601</v>
      </c>
      <c r="FR174">
        <f>IF(AX174&lt;&gt;-999,AX174*$FP174, -999)</f>
        <v>2429807.6755148456</v>
      </c>
      <c r="FS174" s="29">
        <f>IF(AY174&lt;&gt;-999,AY174*$FP174, -999)</f>
        <v>3290749.116758625</v>
      </c>
      <c r="FT174">
        <f t="shared" si="106"/>
        <v>1.3112800000000142</v>
      </c>
      <c r="FU174">
        <f>IF(AZ174&lt;&gt;-999,AZ174*$FT174, -999)</f>
        <v>517064.98290932766</v>
      </c>
      <c r="FV174">
        <f>IF(BA174&lt;&gt;-999,BA174*$FT174, -999)</f>
        <v>1459297.756737489</v>
      </c>
      <c r="FW174" s="29">
        <f>IF(BB174&lt;&gt;-999,BB174*$FT174, -999)</f>
        <v>1976362.5213600711</v>
      </c>
      <c r="FX174">
        <f t="shared" si="107"/>
        <v>1.9372800000000119</v>
      </c>
      <c r="FY174">
        <f>IF(BC174&lt;&gt;-999, BC174*$FX174, -999)</f>
        <v>354600.7926687884</v>
      </c>
      <c r="FZ174">
        <f>IF(BD174&lt;&gt;-999, BD174*$FX174, -999)</f>
        <v>1000779.8883682063</v>
      </c>
      <c r="GA174" s="29">
        <f>IF(BE174&lt;&gt;-999, BE174*$FX174, -999)</f>
        <v>1355380.6810369948</v>
      </c>
      <c r="GB174">
        <f t="shared" si="108"/>
        <v>-2.1347199999999873</v>
      </c>
      <c r="GC174">
        <f>IF(BF174&lt;&gt;-999,BF174*$GB174, -999)</f>
        <v>-277944.02685470338</v>
      </c>
      <c r="GD174">
        <f>IF(BG174&lt;&gt;-999,BG174*$GB174, -999)</f>
        <v>-784433.70778555563</v>
      </c>
      <c r="GE174" s="29">
        <f>IF(BH174&lt;&gt;-999,BH174*$GB174, -999)</f>
        <v>-1062378.0900037831</v>
      </c>
      <c r="GF174">
        <f t="shared" si="109"/>
        <v>-10.847719999999988</v>
      </c>
      <c r="GG174">
        <f>IF(BI174&lt;&gt;-999,BI174*$GF174, -999)</f>
        <v>-4683030.7316706749</v>
      </c>
      <c r="GH174">
        <f>IF(BJ174&lt;&gt;-999,BJ174*$GF174, -999)</f>
        <v>-13216781.290622715</v>
      </c>
      <c r="GI174" s="29">
        <f>IF(BK174&lt;&gt;-999,BK174*$GF174, -999)</f>
        <v>-17899812.022293389</v>
      </c>
      <c r="GJ174" s="30">
        <f t="shared" si="103"/>
        <v>-5941419.6291659828</v>
      </c>
    </row>
    <row r="175" spans="1:192" s="31" customFormat="1">
      <c r="A175" s="47"/>
      <c r="B175" s="47"/>
      <c r="C175" s="47"/>
      <c r="D175" s="51"/>
      <c r="E175" s="47"/>
      <c r="F175" s="47"/>
      <c r="G175" s="47"/>
      <c r="H175" s="47"/>
      <c r="I175" s="44"/>
      <c r="J175" s="45"/>
      <c r="K175" s="46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32"/>
      <c r="AT175" s="32"/>
      <c r="BM175" s="32"/>
      <c r="BP175" s="34"/>
      <c r="BT175" s="34"/>
      <c r="BX175" s="34"/>
      <c r="CB175" s="34"/>
      <c r="CF175" s="34"/>
      <c r="CJ175" s="34"/>
      <c r="CK175" s="35"/>
      <c r="CO175" s="32"/>
      <c r="CR175" s="36"/>
      <c r="CV175" s="36"/>
      <c r="CZ175" s="36"/>
      <c r="DD175" s="36"/>
      <c r="DH175" s="36"/>
      <c r="DL175" s="36"/>
      <c r="DM175" s="37"/>
      <c r="DN175" s="32"/>
      <c r="DQ175" s="33"/>
      <c r="DU175" s="33"/>
      <c r="DY175" s="33"/>
      <c r="EC175" s="33"/>
      <c r="EG175" s="33"/>
      <c r="EK175" s="33"/>
      <c r="EL175" s="37"/>
      <c r="EM175" s="32"/>
      <c r="EP175" s="38"/>
      <c r="ET175" s="38"/>
      <c r="EX175" s="38"/>
      <c r="FB175" s="38"/>
      <c r="FF175" s="38"/>
      <c r="FJ175" s="38"/>
      <c r="FK175" s="35"/>
      <c r="FL175" s="32"/>
      <c r="FO175" s="39"/>
      <c r="FS175" s="39"/>
      <c r="FW175" s="39"/>
      <c r="GA175" s="39"/>
      <c r="GE175" s="39"/>
      <c r="GI175" s="39"/>
      <c r="GJ175" s="40"/>
    </row>
  </sheetData>
  <conditionalFormatting sqref="D1:D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D835D-6725-364D-A2DB-145310D8FA89}">
  <dimension ref="A1:AT175"/>
  <sheetViews>
    <sheetView workbookViewId="0">
      <pane ySplit="1" topLeftCell="A2" activePane="bottomLeft" state="frozen"/>
      <selection activeCell="X1" sqref="X1"/>
      <selection pane="bottomLeft" activeCell="AN11" sqref="AN11"/>
    </sheetView>
  </sheetViews>
  <sheetFormatPr baseColWidth="10" defaultRowHeight="16"/>
  <cols>
    <col min="1" max="3" width="10.83203125" style="49"/>
    <col min="4" max="4" width="10.83203125" style="50"/>
    <col min="5" max="10" width="10.83203125" style="49"/>
    <col min="11" max="11" width="10.83203125" style="25"/>
    <col min="12" max="13" width="10.83203125" style="49"/>
    <col min="14" max="14" width="10.83203125" style="25"/>
    <col min="15" max="16" width="10.83203125" style="49"/>
    <col min="17" max="17" width="10.83203125" style="25"/>
    <col min="18" max="19" width="10.83203125" style="49"/>
    <col min="20" max="20" width="10.83203125" style="25"/>
    <col min="21" max="22" width="10.83203125" style="49"/>
    <col min="23" max="23" width="10.83203125" style="25"/>
    <col min="24" max="25" width="10.83203125" style="49"/>
    <col min="26" max="26" width="10.83203125" style="25"/>
    <col min="27" max="27" width="10.83203125" style="49"/>
    <col min="28" max="28" width="10.83203125" style="22"/>
    <col min="30" max="30" width="10.83203125" style="23"/>
    <col min="33" max="33" width="10.83203125" style="23"/>
    <col min="36" max="36" width="10.83203125" style="23"/>
    <col min="39" max="39" width="10.83203125" style="23"/>
    <col min="42" max="42" width="10.83203125" style="23"/>
    <col min="45" max="45" width="10.83203125" style="23"/>
  </cols>
  <sheetData>
    <row r="1" spans="1:46" s="6" customFormat="1">
      <c r="A1" s="1" t="s">
        <v>0</v>
      </c>
      <c r="B1" s="1" t="s">
        <v>1</v>
      </c>
      <c r="C1" s="1" t="s">
        <v>2</v>
      </c>
      <c r="D1" s="5" t="s">
        <v>302</v>
      </c>
      <c r="E1" s="1" t="s">
        <v>3</v>
      </c>
      <c r="F1" s="1" t="s">
        <v>4</v>
      </c>
      <c r="G1" s="1" t="s">
        <v>5</v>
      </c>
      <c r="H1" s="1" t="s">
        <v>6</v>
      </c>
      <c r="I1" s="65" t="s">
        <v>63</v>
      </c>
      <c r="J1" s="8" t="s">
        <v>64</v>
      </c>
      <c r="K1" s="8" t="s">
        <v>65</v>
      </c>
      <c r="L1" s="8" t="s">
        <v>66</v>
      </c>
      <c r="M1" s="8" t="s">
        <v>67</v>
      </c>
      <c r="N1" s="8" t="s">
        <v>68</v>
      </c>
      <c r="O1" s="8" t="s">
        <v>69</v>
      </c>
      <c r="P1" s="8" t="s">
        <v>70</v>
      </c>
      <c r="Q1" s="8" t="s">
        <v>71</v>
      </c>
      <c r="R1" s="8" t="s">
        <v>72</v>
      </c>
      <c r="S1" s="8" t="s">
        <v>73</v>
      </c>
      <c r="T1" s="8" t="s">
        <v>74</v>
      </c>
      <c r="U1" s="8" t="s">
        <v>75</v>
      </c>
      <c r="V1" s="8" t="s">
        <v>76</v>
      </c>
      <c r="W1" s="8" t="s">
        <v>77</v>
      </c>
      <c r="X1" s="8" t="s">
        <v>78</v>
      </c>
      <c r="Y1" s="8" t="s">
        <v>79</v>
      </c>
      <c r="Z1" s="8" t="s">
        <v>80</v>
      </c>
      <c r="AA1" s="8" t="s">
        <v>331</v>
      </c>
      <c r="AB1" s="68" t="s">
        <v>63</v>
      </c>
      <c r="AC1" s="38" t="s">
        <v>64</v>
      </c>
      <c r="AD1" s="38" t="s">
        <v>65</v>
      </c>
      <c r="AE1" s="38" t="s">
        <v>66</v>
      </c>
      <c r="AF1" s="38" t="s">
        <v>67</v>
      </c>
      <c r="AG1" s="38" t="s">
        <v>68</v>
      </c>
      <c r="AH1" s="38" t="s">
        <v>69</v>
      </c>
      <c r="AI1" s="38" t="s">
        <v>70</v>
      </c>
      <c r="AJ1" s="38" t="s">
        <v>71</v>
      </c>
      <c r="AK1" s="38" t="s">
        <v>72</v>
      </c>
      <c r="AL1" s="38" t="s">
        <v>73</v>
      </c>
      <c r="AM1" s="38" t="s">
        <v>74</v>
      </c>
      <c r="AN1" s="38" t="s">
        <v>75</v>
      </c>
      <c r="AO1" s="38" t="s">
        <v>76</v>
      </c>
      <c r="AP1" s="38" t="s">
        <v>77</v>
      </c>
      <c r="AQ1" s="38" t="s">
        <v>78</v>
      </c>
      <c r="AR1" s="38" t="s">
        <v>79</v>
      </c>
      <c r="AS1" s="38" t="s">
        <v>80</v>
      </c>
      <c r="AT1" s="38" t="s">
        <v>332</v>
      </c>
    </row>
    <row r="2" spans="1:46">
      <c r="A2" s="48" t="s">
        <v>136</v>
      </c>
      <c r="B2" s="48" t="s">
        <v>137</v>
      </c>
      <c r="C2" s="49">
        <v>51</v>
      </c>
      <c r="D2" s="50">
        <v>1</v>
      </c>
      <c r="E2" s="49">
        <v>168.917298493381</v>
      </c>
      <c r="F2" s="49">
        <v>0.78545937881514205</v>
      </c>
      <c r="G2" s="49">
        <v>303.45157008702</v>
      </c>
      <c r="H2" s="49">
        <v>0.80084971102139701</v>
      </c>
      <c r="I2" s="61">
        <v>120161.413</v>
      </c>
      <c r="J2" s="62">
        <v>93926.497499999998</v>
      </c>
      <c r="K2" s="66">
        <v>214088.041</v>
      </c>
      <c r="L2" s="62">
        <v>13458.3994</v>
      </c>
      <c r="M2" s="62">
        <v>10519.9602</v>
      </c>
      <c r="N2" s="66">
        <v>23978.3596</v>
      </c>
      <c r="O2" s="62">
        <v>116147.39</v>
      </c>
      <c r="P2" s="62">
        <v>90788.919599999994</v>
      </c>
      <c r="Q2" s="66">
        <v>206936.30900000001</v>
      </c>
      <c r="R2" s="62">
        <v>208011.50099999999</v>
      </c>
      <c r="S2" s="62">
        <v>162596.12100000001</v>
      </c>
      <c r="T2" s="66">
        <v>370607.62199999997</v>
      </c>
      <c r="U2" s="62">
        <v>23297.784</v>
      </c>
      <c r="V2" s="62">
        <v>18211.1839</v>
      </c>
      <c r="W2" s="66">
        <v>41508.967900000003</v>
      </c>
      <c r="X2" s="62">
        <v>201062.83100000001</v>
      </c>
      <c r="Y2" s="62">
        <v>157164.59099999999</v>
      </c>
      <c r="Z2" s="66">
        <v>358227.42200000002</v>
      </c>
      <c r="AA2" s="62">
        <v>1215346.81</v>
      </c>
      <c r="AB2" s="22">
        <v>122515.86210981163</v>
      </c>
      <c r="AC2">
        <v>95766.898173108566</v>
      </c>
      <c r="AD2" s="23">
        <v>218282.89359912832</v>
      </c>
      <c r="AE2">
        <v>13722.103980905933</v>
      </c>
      <c r="AF2">
        <v>10726.088836846444</v>
      </c>
      <c r="AG2" s="23">
        <v>24448.192817752381</v>
      </c>
      <c r="AH2">
        <v>118423.18783813083</v>
      </c>
      <c r="AI2">
        <v>92567.842444151538</v>
      </c>
      <c r="AJ2" s="23">
        <v>210991.03028228239</v>
      </c>
      <c r="AK2">
        <v>212087.28946127943</v>
      </c>
      <c r="AL2">
        <v>165782.03764591177</v>
      </c>
      <c r="AM2" s="23">
        <v>377869.32710719126</v>
      </c>
      <c r="AN2">
        <v>23754.281954724316</v>
      </c>
      <c r="AO2">
        <v>18568.014828207954</v>
      </c>
      <c r="AP2" s="23">
        <v>42322.296782932273</v>
      </c>
      <c r="AQ2">
        <v>205002.46621557334</v>
      </c>
      <c r="AR2">
        <v>160244.08236249469</v>
      </c>
      <c r="AS2" s="23">
        <v>365246.54857806797</v>
      </c>
      <c r="AT2">
        <v>1239160.3824887003</v>
      </c>
    </row>
    <row r="3" spans="1:46">
      <c r="A3" s="48" t="s">
        <v>138</v>
      </c>
      <c r="B3" s="48" t="s">
        <v>139</v>
      </c>
      <c r="C3" s="49">
        <v>125</v>
      </c>
      <c r="D3" s="50">
        <v>0.996</v>
      </c>
      <c r="E3" s="49">
        <v>268.86478976825299</v>
      </c>
      <c r="F3" s="49">
        <v>0.77833747071663495</v>
      </c>
      <c r="G3" s="49">
        <v>69.855029339671503</v>
      </c>
      <c r="H3" s="49">
        <v>0.81849499006538595</v>
      </c>
      <c r="I3" s="61">
        <v>3610600.53</v>
      </c>
      <c r="J3" s="62">
        <v>530739.54200000002</v>
      </c>
      <c r="K3" s="66">
        <v>4141340.07</v>
      </c>
      <c r="L3" s="62">
        <v>1798747.52</v>
      </c>
      <c r="M3" s="62">
        <v>264406.55800000002</v>
      </c>
      <c r="N3" s="66">
        <v>2063154.08</v>
      </c>
      <c r="O3" s="62">
        <v>3120736.78</v>
      </c>
      <c r="P3" s="62">
        <v>458732.16399999999</v>
      </c>
      <c r="Q3" s="66">
        <v>3579468.94</v>
      </c>
      <c r="R3" s="62">
        <v>3800234.19</v>
      </c>
      <c r="S3" s="62">
        <v>558614.80799999996</v>
      </c>
      <c r="T3" s="66">
        <v>4358848.87</v>
      </c>
      <c r="U3" s="62">
        <v>1893220.16</v>
      </c>
      <c r="V3" s="62">
        <v>278293.59399999998</v>
      </c>
      <c r="W3" s="66">
        <v>2171513.75</v>
      </c>
      <c r="X3" s="62">
        <v>3284642.13</v>
      </c>
      <c r="Y3" s="62">
        <v>482825.451</v>
      </c>
      <c r="Z3" s="66">
        <v>3767467.58</v>
      </c>
      <c r="AA3" s="62">
        <v>20081793.300000001</v>
      </c>
      <c r="AB3" s="22">
        <v>3796885.7392061921</v>
      </c>
      <c r="AC3">
        <v>558122.50153040898</v>
      </c>
      <c r="AD3" s="23">
        <v>4355008.2407366009</v>
      </c>
      <c r="AE3">
        <v>1891552.0486549337</v>
      </c>
      <c r="AF3">
        <v>278048.34157504281</v>
      </c>
      <c r="AG3" s="23">
        <v>2169600.3902299763</v>
      </c>
      <c r="AH3">
        <v>3281747.9753238121</v>
      </c>
      <c r="AI3">
        <v>482399.97749156231</v>
      </c>
      <c r="AJ3" s="23">
        <v>3764147.9528153748</v>
      </c>
      <c r="AK3">
        <v>3996303.3601113944</v>
      </c>
      <c r="AL3">
        <v>587435.96269024152</v>
      </c>
      <c r="AM3" s="23">
        <v>4583739.1865480458</v>
      </c>
      <c r="AN3">
        <v>1990898.9014449483</v>
      </c>
      <c r="AO3">
        <v>292651.8651279537</v>
      </c>
      <c r="AP3" s="23">
        <v>2283550.766572902</v>
      </c>
      <c r="AQ3">
        <v>3454109.857060167</v>
      </c>
      <c r="AR3">
        <v>507736.33260463271</v>
      </c>
      <c r="AS3" s="23">
        <v>3961846.1896647993</v>
      </c>
      <c r="AT3">
        <v>21117892.740193058</v>
      </c>
    </row>
    <row r="4" spans="1:46">
      <c r="A4" s="48" t="s">
        <v>138</v>
      </c>
      <c r="B4" s="48" t="s">
        <v>140</v>
      </c>
      <c r="C4" s="49">
        <v>130</v>
      </c>
      <c r="D4" s="50">
        <v>0.995</v>
      </c>
      <c r="E4" s="49">
        <v>212.827863308497</v>
      </c>
      <c r="F4" s="49">
        <v>0.78156642748877103</v>
      </c>
      <c r="G4" s="49">
        <v>55.152122161857903</v>
      </c>
      <c r="H4" s="49">
        <v>0.81927916900289899</v>
      </c>
      <c r="I4" s="61">
        <v>247467.75200000001</v>
      </c>
      <c r="J4" s="62">
        <v>77638.763200000001</v>
      </c>
      <c r="K4" s="66">
        <v>325106.64500000002</v>
      </c>
      <c r="L4" s="62">
        <v>45631.479399999997</v>
      </c>
      <c r="M4" s="62">
        <v>14316.1001</v>
      </c>
      <c r="N4" s="66">
        <v>59947.5795</v>
      </c>
      <c r="O4" s="62">
        <v>465953.70799999998</v>
      </c>
      <c r="P4" s="62">
        <v>146185.05799999999</v>
      </c>
      <c r="Q4" s="66">
        <v>612138.89599999995</v>
      </c>
      <c r="R4" s="62">
        <v>135226.99799999999</v>
      </c>
      <c r="S4" s="62">
        <v>42425.143400000001</v>
      </c>
      <c r="T4" s="66">
        <v>177652.141</v>
      </c>
      <c r="U4" s="62">
        <v>24934.973699999999</v>
      </c>
      <c r="V4" s="62">
        <v>7822.8924699999998</v>
      </c>
      <c r="W4" s="66">
        <v>32757.8662</v>
      </c>
      <c r="X4" s="62">
        <v>254616.95499999999</v>
      </c>
      <c r="Y4" s="62">
        <v>79881.7932</v>
      </c>
      <c r="Z4" s="66">
        <v>334498.74800000002</v>
      </c>
      <c r="AA4" s="62">
        <v>1542101.81</v>
      </c>
      <c r="AB4" s="22">
        <v>259408.75508128115</v>
      </c>
      <c r="AC4">
        <v>81385.04822686805</v>
      </c>
      <c r="AD4" s="23">
        <v>340793.93969228055</v>
      </c>
      <c r="AE4">
        <v>47833.324461767377</v>
      </c>
      <c r="AF4">
        <v>15006.891507095621</v>
      </c>
      <c r="AG4" s="23">
        <v>62840.215968863005</v>
      </c>
      <c r="AH4">
        <v>488437.26298747933</v>
      </c>
      <c r="AI4">
        <v>153238.89143552919</v>
      </c>
      <c r="AJ4" s="23">
        <v>641676.29080713983</v>
      </c>
      <c r="AK4">
        <v>141752.07435813837</v>
      </c>
      <c r="AL4">
        <v>44472.273929196861</v>
      </c>
      <c r="AM4" s="23">
        <v>186224.34828733522</v>
      </c>
      <c r="AN4">
        <v>26138.1551541013</v>
      </c>
      <c r="AO4">
        <v>8200.3686646594542</v>
      </c>
      <c r="AP4" s="23">
        <v>34338.523818760761</v>
      </c>
      <c r="AQ4">
        <v>266902.92671389831</v>
      </c>
      <c r="AR4">
        <v>83736.310651049018</v>
      </c>
      <c r="AS4" s="23">
        <v>350639.23736494733</v>
      </c>
      <c r="AT4">
        <v>1616512.4877472611</v>
      </c>
    </row>
    <row r="5" spans="1:46">
      <c r="A5" s="48" t="s">
        <v>138</v>
      </c>
      <c r="B5" s="48" t="s">
        <v>141</v>
      </c>
      <c r="C5" s="49">
        <v>146</v>
      </c>
      <c r="D5" s="50">
        <v>0.995</v>
      </c>
      <c r="E5" s="49">
        <v>242.067256158775</v>
      </c>
      <c r="F5" s="49">
        <v>0.78017396088743596</v>
      </c>
      <c r="G5" s="49">
        <v>117.42988330155001</v>
      </c>
      <c r="H5" s="49">
        <v>0.81487386964989805</v>
      </c>
      <c r="I5" s="61">
        <v>152371.44200000001</v>
      </c>
      <c r="J5" s="62">
        <v>68441.183900000004</v>
      </c>
      <c r="K5" s="66">
        <v>220812.62599999999</v>
      </c>
      <c r="L5" s="62">
        <v>45863.827299999997</v>
      </c>
      <c r="M5" s="62">
        <v>20600.798999999999</v>
      </c>
      <c r="N5" s="66">
        <v>66464.626199999999</v>
      </c>
      <c r="O5" s="62">
        <v>177710.31700000001</v>
      </c>
      <c r="P5" s="62">
        <v>79822.722399999999</v>
      </c>
      <c r="Q5" s="66">
        <v>257532.91</v>
      </c>
      <c r="R5" s="62">
        <v>306688.66200000001</v>
      </c>
      <c r="S5" s="62">
        <v>137756.29199999999</v>
      </c>
      <c r="T5" s="66">
        <v>444444.95500000002</v>
      </c>
      <c r="U5" s="62">
        <v>92313.387799999997</v>
      </c>
      <c r="V5" s="62">
        <v>41464.723400000003</v>
      </c>
      <c r="W5" s="66">
        <v>133778.111</v>
      </c>
      <c r="X5" s="62">
        <v>357689.929</v>
      </c>
      <c r="Y5" s="62">
        <v>160664.69899999999</v>
      </c>
      <c r="Z5" s="66">
        <v>518354.62800000003</v>
      </c>
      <c r="AA5" s="62">
        <v>1641387.84</v>
      </c>
      <c r="AB5" s="22">
        <v>159148.48878595536</v>
      </c>
      <c r="AC5">
        <v>71485.252254409454</v>
      </c>
      <c r="AD5" s="23">
        <v>230633.74104036481</v>
      </c>
      <c r="AE5">
        <v>47903.719270412825</v>
      </c>
      <c r="AF5">
        <v>21517.063641592998</v>
      </c>
      <c r="AG5" s="23">
        <v>69420.782912005816</v>
      </c>
      <c r="AH5">
        <v>185614.36447496069</v>
      </c>
      <c r="AI5">
        <v>83373.009059819844</v>
      </c>
      <c r="AJ5" s="23">
        <v>268987.23788399255</v>
      </c>
      <c r="AK5">
        <v>320329.29767756094</v>
      </c>
      <c r="AL5">
        <v>143883.29866119643</v>
      </c>
      <c r="AM5" s="23">
        <v>464212.59633875737</v>
      </c>
      <c r="AN5">
        <v>96419.223594655748</v>
      </c>
      <c r="AO5">
        <v>43308.955779651587</v>
      </c>
      <c r="AP5" s="23">
        <v>139728.17937430734</v>
      </c>
      <c r="AQ5">
        <v>373598.95516845206</v>
      </c>
      <c r="AR5">
        <v>167810.60550377684</v>
      </c>
      <c r="AS5" s="23">
        <v>541409.56067222892</v>
      </c>
      <c r="AT5">
        <v>1714392.0846565783</v>
      </c>
    </row>
    <row r="6" spans="1:46">
      <c r="A6" s="48" t="s">
        <v>142</v>
      </c>
      <c r="B6" s="48" t="s">
        <v>143</v>
      </c>
      <c r="C6" s="49">
        <v>42</v>
      </c>
      <c r="D6" s="50">
        <v>0.99399999999999999</v>
      </c>
      <c r="E6" s="49">
        <v>106.944160354197</v>
      </c>
      <c r="F6" s="49">
        <v>0.79255076784558698</v>
      </c>
      <c r="G6" s="49">
        <v>190.75651069472201</v>
      </c>
      <c r="H6" s="49">
        <v>0.80920111592049604</v>
      </c>
      <c r="I6" s="61">
        <v>538772.48199999996</v>
      </c>
      <c r="J6" s="62">
        <v>48185.189599999998</v>
      </c>
      <c r="K6" s="66">
        <v>586957.67200000002</v>
      </c>
      <c r="L6" s="62">
        <v>324329.522</v>
      </c>
      <c r="M6" s="62">
        <v>29006.5026</v>
      </c>
      <c r="N6" s="66">
        <v>353335.89199999999</v>
      </c>
      <c r="O6" s="62">
        <v>389025.679</v>
      </c>
      <c r="P6" s="62">
        <v>34792.630599999997</v>
      </c>
      <c r="Q6" s="66">
        <v>423818.30900000001</v>
      </c>
      <c r="R6" s="62">
        <v>1768411.24</v>
      </c>
      <c r="S6" s="62">
        <v>158158.29999999999</v>
      </c>
      <c r="T6" s="66">
        <v>1926569.4</v>
      </c>
      <c r="U6" s="62">
        <v>1064545.57</v>
      </c>
      <c r="V6" s="62">
        <v>95207.902700000006</v>
      </c>
      <c r="W6" s="66">
        <v>1159753.47</v>
      </c>
      <c r="X6" s="62">
        <v>1276897.76</v>
      </c>
      <c r="Y6" s="62">
        <v>114199.63800000001</v>
      </c>
      <c r="Z6" s="66">
        <v>1391097.4</v>
      </c>
      <c r="AA6" s="62">
        <v>5841532.2800000003</v>
      </c>
      <c r="AB6" s="22">
        <v>550091.31463495595</v>
      </c>
      <c r="AC6">
        <v>49197.49094089782</v>
      </c>
      <c r="AD6" s="23">
        <v>599288.80557585368</v>
      </c>
      <c r="AE6">
        <v>331143.21692511259</v>
      </c>
      <c r="AF6">
        <v>29615.887330406582</v>
      </c>
      <c r="AG6" s="23">
        <v>360758.96954906569</v>
      </c>
      <c r="AH6">
        <v>397198.54698708438</v>
      </c>
      <c r="AI6">
        <v>35523.573554337403</v>
      </c>
      <c r="AJ6" s="23">
        <v>432722.12054142187</v>
      </c>
      <c r="AK6">
        <v>1805563.0046537404</v>
      </c>
      <c r="AL6">
        <v>161480.97758965162</v>
      </c>
      <c r="AM6" s="23">
        <v>1967043.8475369383</v>
      </c>
      <c r="AN6">
        <v>1086910.1371147295</v>
      </c>
      <c r="AO6">
        <v>97208.083320160877</v>
      </c>
      <c r="AP6" s="23">
        <v>1184118.2204348904</v>
      </c>
      <c r="AQ6">
        <v>1303723.5416562348</v>
      </c>
      <c r="AR6">
        <v>116598.80788606736</v>
      </c>
      <c r="AS6" s="23">
        <v>1420322.3495423021</v>
      </c>
      <c r="AT6">
        <v>5964254.4478869252</v>
      </c>
    </row>
    <row r="7" spans="1:46">
      <c r="A7" s="48" t="s">
        <v>138</v>
      </c>
      <c r="B7" s="48" t="s">
        <v>144</v>
      </c>
      <c r="C7" s="49">
        <v>89</v>
      </c>
      <c r="D7" s="50">
        <v>0.99399999999999999</v>
      </c>
      <c r="E7" s="49">
        <v>206.44376062076</v>
      </c>
      <c r="F7" s="49">
        <v>0.78203523332181402</v>
      </c>
      <c r="G7" s="49">
        <v>64.585431500446603</v>
      </c>
      <c r="H7" s="49">
        <v>0.81896260883448202</v>
      </c>
      <c r="I7" s="61">
        <v>976617.97900000005</v>
      </c>
      <c r="J7" s="62">
        <v>1079224.6000000001</v>
      </c>
      <c r="K7" s="66">
        <v>2055842.58</v>
      </c>
      <c r="L7" s="62">
        <v>639620.18700000003</v>
      </c>
      <c r="M7" s="62">
        <v>706820.74600000004</v>
      </c>
      <c r="N7" s="66">
        <v>1346440.93</v>
      </c>
      <c r="O7" s="62">
        <v>1860039.05</v>
      </c>
      <c r="P7" s="62">
        <v>2055460.75</v>
      </c>
      <c r="Q7" s="66">
        <v>3915499.8</v>
      </c>
      <c r="R7" s="62">
        <v>1188471.92</v>
      </c>
      <c r="S7" s="62">
        <v>1313336.6599999999</v>
      </c>
      <c r="T7" s="66">
        <v>2501808.58</v>
      </c>
      <c r="U7" s="62">
        <v>778370.49800000002</v>
      </c>
      <c r="V7" s="62">
        <v>860148.69200000004</v>
      </c>
      <c r="W7" s="66">
        <v>1638519.32</v>
      </c>
      <c r="X7" s="62">
        <v>2263530.2400000002</v>
      </c>
      <c r="Y7" s="62">
        <v>2501344.08</v>
      </c>
      <c r="Z7" s="66">
        <v>4764874.1900000004</v>
      </c>
      <c r="AA7" s="62">
        <v>16222985.4</v>
      </c>
      <c r="AB7" s="22">
        <v>1022733.4696148697</v>
      </c>
      <c r="AC7">
        <v>1130185.1343354306</v>
      </c>
      <c r="AD7" s="23">
        <v>2152918.6039503003</v>
      </c>
      <c r="AE7">
        <v>669822.78380170569</v>
      </c>
      <c r="AF7">
        <v>740196.5247342448</v>
      </c>
      <c r="AG7" s="23">
        <v>1410019.3085359505</v>
      </c>
      <c r="AH7">
        <v>1947869.3105625454</v>
      </c>
      <c r="AI7">
        <v>2152518.7438542224</v>
      </c>
      <c r="AJ7" s="23">
        <v>4100388.0544167683</v>
      </c>
      <c r="AK7">
        <v>1244591.0655070464</v>
      </c>
      <c r="AL7">
        <v>1375351.8608334237</v>
      </c>
      <c r="AM7" s="23">
        <v>2619942.9263404701</v>
      </c>
      <c r="AN7">
        <v>815124.82621563401</v>
      </c>
      <c r="AO7">
        <v>900764.55213915103</v>
      </c>
      <c r="AP7" s="23">
        <v>1715889.5146862192</v>
      </c>
      <c r="AQ7">
        <v>2370413.1849584719</v>
      </c>
      <c r="AR7">
        <v>2619456.4957837681</v>
      </c>
      <c r="AS7" s="23">
        <v>4989869.5444108061</v>
      </c>
      <c r="AT7">
        <v>16989027.93870737</v>
      </c>
    </row>
    <row r="8" spans="1:46">
      <c r="A8" s="48" t="s">
        <v>138</v>
      </c>
      <c r="B8" s="48" t="s">
        <v>145</v>
      </c>
      <c r="C8" s="49">
        <v>134</v>
      </c>
      <c r="D8" s="50">
        <v>0.99399999999999999</v>
      </c>
      <c r="E8" s="49">
        <v>203.86674799688501</v>
      </c>
      <c r="F8" s="49">
        <v>0.78413210782355602</v>
      </c>
      <c r="G8" s="49">
        <v>118.91093694593501</v>
      </c>
      <c r="H8" s="49">
        <v>0.81503164997253696</v>
      </c>
      <c r="I8" s="61">
        <v>76216.148300000001</v>
      </c>
      <c r="J8" s="62">
        <v>16867.5072</v>
      </c>
      <c r="K8" s="66">
        <v>93083.655499999993</v>
      </c>
      <c r="L8" s="62">
        <v>82090.405799999993</v>
      </c>
      <c r="M8" s="62">
        <v>18167.618399999999</v>
      </c>
      <c r="N8" s="66">
        <v>100258.024</v>
      </c>
      <c r="O8" s="62">
        <v>363792.39500000002</v>
      </c>
      <c r="P8" s="62">
        <v>80511.606100000005</v>
      </c>
      <c r="Q8" s="66">
        <v>444304.00099999999</v>
      </c>
      <c r="R8" s="62">
        <v>80721.373099999997</v>
      </c>
      <c r="S8" s="62">
        <v>17864.650699999998</v>
      </c>
      <c r="T8" s="66">
        <v>98586.023799999995</v>
      </c>
      <c r="U8" s="62">
        <v>86942.979600000006</v>
      </c>
      <c r="V8" s="62">
        <v>19241.515500000001</v>
      </c>
      <c r="W8" s="66">
        <v>106184.495</v>
      </c>
      <c r="X8" s="62">
        <v>385296.83500000002</v>
      </c>
      <c r="Y8" s="62">
        <v>85270.848599999998</v>
      </c>
      <c r="Z8" s="66">
        <v>470567.68400000001</v>
      </c>
      <c r="AA8" s="62">
        <v>1312983.8999999999</v>
      </c>
      <c r="AB8" s="22">
        <v>79219.524990374513</v>
      </c>
      <c r="AC8">
        <v>17532.188844779168</v>
      </c>
      <c r="AD8" s="23">
        <v>96751.713835153671</v>
      </c>
      <c r="AE8">
        <v>85325.263749024496</v>
      </c>
      <c r="AF8">
        <v>18883.532296984711</v>
      </c>
      <c r="AG8" s="23">
        <v>104208.79604600921</v>
      </c>
      <c r="AH8">
        <v>378128.01328682119</v>
      </c>
      <c r="AI8">
        <v>83684.249787736742</v>
      </c>
      <c r="AJ8" s="23">
        <v>461812.26307455794</v>
      </c>
      <c r="AK8">
        <v>83902.282812605641</v>
      </c>
      <c r="AL8">
        <v>18568.625855963721</v>
      </c>
      <c r="AM8" s="23">
        <v>102470.90866856938</v>
      </c>
      <c r="AN8">
        <v>90369.058210444287</v>
      </c>
      <c r="AO8">
        <v>19999.74741558863</v>
      </c>
      <c r="AP8" s="23">
        <v>110368.8056260329</v>
      </c>
      <c r="AQ8">
        <v>400479.85810074682</v>
      </c>
      <c r="AR8">
        <v>88631.035155951016</v>
      </c>
      <c r="AS8" s="23">
        <v>489110.8932566978</v>
      </c>
      <c r="AT8">
        <v>1364723.3940747262</v>
      </c>
    </row>
    <row r="9" spans="1:46">
      <c r="A9" s="49" t="s">
        <v>146</v>
      </c>
      <c r="B9" s="49" t="s">
        <v>147</v>
      </c>
      <c r="C9" s="49">
        <v>18</v>
      </c>
      <c r="D9" s="50">
        <v>0.99299999999999999</v>
      </c>
      <c r="E9" s="49">
        <v>47.864016762288301</v>
      </c>
      <c r="F9" s="49">
        <v>0.79262082801697398</v>
      </c>
      <c r="G9" s="49">
        <v>112.03261319945901</v>
      </c>
      <c r="H9" s="49">
        <v>0.81549102779068205</v>
      </c>
      <c r="I9" s="61">
        <v>347710.32199999999</v>
      </c>
      <c r="J9" s="62">
        <v>432628.09600000002</v>
      </c>
      <c r="K9" s="66">
        <v>780338.55</v>
      </c>
      <c r="L9" s="62">
        <v>321482.685</v>
      </c>
      <c r="M9" s="62">
        <v>399995.12199999997</v>
      </c>
      <c r="N9" s="66">
        <v>721477.67500000005</v>
      </c>
      <c r="O9" s="62">
        <v>534370.48199999996</v>
      </c>
      <c r="P9" s="62">
        <v>664874.27099999995</v>
      </c>
      <c r="Q9" s="66">
        <v>1199244.75</v>
      </c>
      <c r="R9" s="62">
        <v>402615.84100000001</v>
      </c>
      <c r="S9" s="62">
        <v>500942.663</v>
      </c>
      <c r="T9" s="66">
        <v>903558.50399999996</v>
      </c>
      <c r="U9" s="62">
        <v>372246.67099999997</v>
      </c>
      <c r="V9" s="62">
        <v>463156.65700000001</v>
      </c>
      <c r="W9" s="66">
        <v>835403.196</v>
      </c>
      <c r="X9" s="62">
        <v>618750.70600000001</v>
      </c>
      <c r="Y9" s="62">
        <v>769861.87699999998</v>
      </c>
      <c r="Z9" s="66">
        <v>1388612.45</v>
      </c>
      <c r="AA9" s="62">
        <v>5828635.25</v>
      </c>
      <c r="AB9" s="22">
        <v>357743.12013409537</v>
      </c>
      <c r="AC9">
        <v>445111.10246954148</v>
      </c>
      <c r="AD9" s="23">
        <v>802854.3583571621</v>
      </c>
      <c r="AE9">
        <v>330758.713133346</v>
      </c>
      <c r="AF9">
        <v>411536.54058084637</v>
      </c>
      <c r="AG9" s="23">
        <v>742295.117960667</v>
      </c>
      <c r="AH9">
        <v>549789.15257544431</v>
      </c>
      <c r="AI9">
        <v>684058.48462932534</v>
      </c>
      <c r="AJ9" s="23">
        <v>1233847.6372047695</v>
      </c>
      <c r="AK9">
        <v>414232.87710127851</v>
      </c>
      <c r="AL9">
        <v>515396.81145006203</v>
      </c>
      <c r="AM9" s="23">
        <v>929629.68855134048</v>
      </c>
      <c r="AN9">
        <v>382987.43844695337</v>
      </c>
      <c r="AO9">
        <v>476520.53138248512</v>
      </c>
      <c r="AP9" s="23">
        <v>859507.83407591318</v>
      </c>
      <c r="AQ9">
        <v>636604.07504862873</v>
      </c>
      <c r="AR9">
        <v>792075.39269112516</v>
      </c>
      <c r="AS9" s="23">
        <v>1428679.3319862285</v>
      </c>
      <c r="AT9">
        <v>5996814.0903142532</v>
      </c>
    </row>
    <row r="10" spans="1:46">
      <c r="A10" s="48" t="s">
        <v>146</v>
      </c>
      <c r="B10" s="48" t="s">
        <v>148</v>
      </c>
      <c r="C10" s="49">
        <v>46</v>
      </c>
      <c r="D10" s="50">
        <v>0.99299999999999999</v>
      </c>
      <c r="E10" s="49">
        <v>184.77445374546701</v>
      </c>
      <c r="F10" s="49">
        <v>0.78322481157020996</v>
      </c>
      <c r="G10" s="49">
        <v>105.81618909859201</v>
      </c>
      <c r="H10" s="49">
        <v>0.81582587330225897</v>
      </c>
      <c r="I10" s="61">
        <v>147871.29800000001</v>
      </c>
      <c r="J10" s="62">
        <v>-999</v>
      </c>
      <c r="K10" s="66">
        <v>147871.29800000001</v>
      </c>
      <c r="L10" s="62">
        <v>16153.5746</v>
      </c>
      <c r="M10" s="62">
        <v>-999</v>
      </c>
      <c r="N10" s="66">
        <v>16153.5746</v>
      </c>
      <c r="O10" s="62">
        <v>287782.24</v>
      </c>
      <c r="P10" s="62">
        <v>-999</v>
      </c>
      <c r="Q10" s="66">
        <v>287782.24</v>
      </c>
      <c r="R10" s="62">
        <v>294260.54100000003</v>
      </c>
      <c r="S10" s="62">
        <v>-999</v>
      </c>
      <c r="T10" s="66">
        <v>294260.54100000003</v>
      </c>
      <c r="U10" s="62">
        <v>32145.214400000001</v>
      </c>
      <c r="V10" s="62">
        <v>-999</v>
      </c>
      <c r="W10" s="66">
        <v>32145.214400000001</v>
      </c>
      <c r="X10" s="62">
        <v>572680.03399999999</v>
      </c>
      <c r="Y10" s="62">
        <v>-999</v>
      </c>
      <c r="Z10" s="66">
        <v>572680.03399999999</v>
      </c>
      <c r="AA10" s="62">
        <v>1350892.72</v>
      </c>
      <c r="AB10" s="22">
        <v>154026.31414737779</v>
      </c>
      <c r="AC10">
        <v>-999</v>
      </c>
      <c r="AD10" s="23">
        <v>154026.31414737779</v>
      </c>
      <c r="AE10">
        <v>16825.953271055638</v>
      </c>
      <c r="AF10">
        <v>-999</v>
      </c>
      <c r="AG10" s="23">
        <v>16825.953271055638</v>
      </c>
      <c r="AH10">
        <v>299760.92933426495</v>
      </c>
      <c r="AI10">
        <v>-999</v>
      </c>
      <c r="AJ10" s="23">
        <v>299760.92933426495</v>
      </c>
      <c r="AK10">
        <v>306508.88436177996</v>
      </c>
      <c r="AL10">
        <v>-999</v>
      </c>
      <c r="AM10" s="23">
        <v>306508.88436177996</v>
      </c>
      <c r="AN10">
        <v>33483.231433045046</v>
      </c>
      <c r="AO10">
        <v>-999</v>
      </c>
      <c r="AP10" s="23">
        <v>33483.231433045046</v>
      </c>
      <c r="AQ10">
        <v>596517.35026444599</v>
      </c>
      <c r="AR10">
        <v>-999</v>
      </c>
      <c r="AS10" s="23">
        <v>596517.35026444599</v>
      </c>
      <c r="AT10">
        <v>1407122.4726789959</v>
      </c>
    </row>
    <row r="11" spans="1:46">
      <c r="A11" s="48" t="s">
        <v>138</v>
      </c>
      <c r="B11" s="48" t="s">
        <v>149</v>
      </c>
      <c r="C11" s="49">
        <v>165</v>
      </c>
      <c r="D11" s="50">
        <v>0.99299999999999999</v>
      </c>
      <c r="E11" s="49">
        <v>222.492942615342</v>
      </c>
      <c r="F11" s="49">
        <v>0.77859423884988099</v>
      </c>
      <c r="G11" s="49">
        <v>86.597348166153694</v>
      </c>
      <c r="H11" s="49">
        <v>0.816895232671354</v>
      </c>
      <c r="I11" s="61">
        <v>172281.90100000001</v>
      </c>
      <c r="J11" s="62">
        <v>-999</v>
      </c>
      <c r="K11" s="66">
        <v>172281.90100000001</v>
      </c>
      <c r="L11" s="62">
        <v>106697.25</v>
      </c>
      <c r="M11" s="62">
        <v>-999</v>
      </c>
      <c r="N11" s="66">
        <v>106697.25</v>
      </c>
      <c r="O11" s="62">
        <v>793141.64</v>
      </c>
      <c r="P11" s="62">
        <v>-999</v>
      </c>
      <c r="Q11" s="66">
        <v>793141.64</v>
      </c>
      <c r="R11" s="62">
        <v>133529.91500000001</v>
      </c>
      <c r="S11" s="62">
        <v>-999</v>
      </c>
      <c r="T11" s="66">
        <v>133529.91500000001</v>
      </c>
      <c r="U11" s="62">
        <v>82697.500400000004</v>
      </c>
      <c r="V11" s="62">
        <v>-999</v>
      </c>
      <c r="W11" s="66">
        <v>82697.500400000004</v>
      </c>
      <c r="X11" s="62">
        <v>614737.67500000005</v>
      </c>
      <c r="Y11" s="62">
        <v>-999</v>
      </c>
      <c r="Z11" s="66">
        <v>614737.67500000005</v>
      </c>
      <c r="AA11" s="62">
        <v>1903085.84</v>
      </c>
      <c r="AB11" s="22">
        <v>180756.87786684514</v>
      </c>
      <c r="AC11">
        <v>-999</v>
      </c>
      <c r="AD11" s="23">
        <v>180756.87786684514</v>
      </c>
      <c r="AE11">
        <v>111945.9537306401</v>
      </c>
      <c r="AF11">
        <v>-999</v>
      </c>
      <c r="AG11" s="23">
        <v>111945.9537306401</v>
      </c>
      <c r="AH11">
        <v>832158.25650359236</v>
      </c>
      <c r="AI11">
        <v>-999</v>
      </c>
      <c r="AJ11" s="23">
        <v>832158.25650359236</v>
      </c>
      <c r="AK11">
        <v>140098.58462404876</v>
      </c>
      <c r="AL11">
        <v>-999</v>
      </c>
      <c r="AM11" s="23">
        <v>140098.58462404876</v>
      </c>
      <c r="AN11">
        <v>86765.596841391525</v>
      </c>
      <c r="AO11">
        <v>-999</v>
      </c>
      <c r="AP11" s="23">
        <v>86765.596841391525</v>
      </c>
      <c r="AQ11">
        <v>644978.15539876861</v>
      </c>
      <c r="AR11">
        <v>-999</v>
      </c>
      <c r="AS11" s="23">
        <v>644978.15539876861</v>
      </c>
      <c r="AT11">
        <v>1996703.3841691022</v>
      </c>
    </row>
    <row r="12" spans="1:46">
      <c r="A12" s="48" t="s">
        <v>138</v>
      </c>
      <c r="B12" s="48" t="s">
        <v>150</v>
      </c>
      <c r="C12" s="49">
        <v>166</v>
      </c>
      <c r="D12" s="50">
        <v>0.99299999999999999</v>
      </c>
      <c r="E12" s="49">
        <v>237.19994892012701</v>
      </c>
      <c r="F12" s="49">
        <v>0.75769113513563702</v>
      </c>
      <c r="G12" s="49">
        <v>99.766734477332307</v>
      </c>
      <c r="H12" s="49">
        <v>0.81636338447765699</v>
      </c>
      <c r="I12" s="61">
        <v>4761.8488200000002</v>
      </c>
      <c r="J12" s="62">
        <v>365979.73499999999</v>
      </c>
      <c r="K12" s="66">
        <v>370741.58399999997</v>
      </c>
      <c r="L12" s="62">
        <v>2572.0769500000001</v>
      </c>
      <c r="M12" s="62">
        <v>197680.10699999999</v>
      </c>
      <c r="N12" s="66">
        <v>200252.18400000001</v>
      </c>
      <c r="O12" s="62">
        <v>14721.2052</v>
      </c>
      <c r="P12" s="62">
        <v>1131405.21</v>
      </c>
      <c r="Q12" s="66">
        <v>1146126.29</v>
      </c>
      <c r="R12" s="62">
        <v>2260.4056</v>
      </c>
      <c r="S12" s="62">
        <v>173724.677</v>
      </c>
      <c r="T12" s="66">
        <v>175985.08199999999</v>
      </c>
      <c r="U12" s="62">
        <v>1220.95454</v>
      </c>
      <c r="V12" s="62">
        <v>93835.527499999997</v>
      </c>
      <c r="W12" s="66">
        <v>95056.482000000004</v>
      </c>
      <c r="X12" s="62">
        <v>6987.94661</v>
      </c>
      <c r="Y12" s="62">
        <v>537059.80900000001</v>
      </c>
      <c r="Z12" s="66">
        <v>544047.755</v>
      </c>
      <c r="AA12" s="62">
        <v>2532209.39</v>
      </c>
      <c r="AB12" s="22">
        <v>5130.5853279071334</v>
      </c>
      <c r="AC12">
        <v>394319.58623977361</v>
      </c>
      <c r="AD12" s="23">
        <v>399450.17156768078</v>
      </c>
      <c r="AE12">
        <v>2771.2472123190805</v>
      </c>
      <c r="AF12">
        <v>212987.580227614</v>
      </c>
      <c r="AG12" s="23">
        <v>215758.82743993308</v>
      </c>
      <c r="AH12">
        <v>15861.15024967619</v>
      </c>
      <c r="AI12">
        <v>1219016.2291908672</v>
      </c>
      <c r="AJ12" s="23">
        <v>1234877.2435417981</v>
      </c>
      <c r="AK12">
        <v>2435.4414129055631</v>
      </c>
      <c r="AL12">
        <v>187177.14694238009</v>
      </c>
      <c r="AM12" s="23">
        <v>189612.58835528564</v>
      </c>
      <c r="AN12">
        <v>1315.4998536312623</v>
      </c>
      <c r="AO12">
        <v>101101.73560011612</v>
      </c>
      <c r="AP12" s="23">
        <v>102417.23545374737</v>
      </c>
      <c r="AQ12">
        <v>7529.0622821156194</v>
      </c>
      <c r="AR12">
        <v>578647.34419133898</v>
      </c>
      <c r="AS12" s="23">
        <v>586176.40647345455</v>
      </c>
      <c r="AT12">
        <v>2728292.4864217741</v>
      </c>
    </row>
    <row r="13" spans="1:46">
      <c r="A13" s="48" t="s">
        <v>151</v>
      </c>
      <c r="B13" s="48" t="s">
        <v>152</v>
      </c>
      <c r="C13" s="49">
        <v>84</v>
      </c>
      <c r="D13" s="50">
        <v>0.99199999999999999</v>
      </c>
      <c r="E13" s="49">
        <v>220.92871056845499</v>
      </c>
      <c r="F13" s="49">
        <v>0.78570732478584804</v>
      </c>
      <c r="G13" s="49">
        <v>170.72524486873999</v>
      </c>
      <c r="H13" s="49">
        <v>0.81095882547563303</v>
      </c>
      <c r="I13" s="61">
        <v>291761.41899999999</v>
      </c>
      <c r="J13" s="62">
        <v>28609.287400000001</v>
      </c>
      <c r="K13" s="66">
        <v>320370.70699999999</v>
      </c>
      <c r="L13" s="62">
        <v>106648.01700000001</v>
      </c>
      <c r="M13" s="62">
        <v>10457.6217</v>
      </c>
      <c r="N13" s="66">
        <v>117105.639</v>
      </c>
      <c r="O13" s="62">
        <v>205898.766</v>
      </c>
      <c r="P13" s="62">
        <v>20189.851699999999</v>
      </c>
      <c r="Q13" s="66">
        <v>226088.617</v>
      </c>
      <c r="R13" s="62">
        <v>178887.53700000001</v>
      </c>
      <c r="S13" s="62">
        <v>17541.243200000001</v>
      </c>
      <c r="T13" s="66">
        <v>196428.78</v>
      </c>
      <c r="U13" s="62">
        <v>65389.106800000001</v>
      </c>
      <c r="V13" s="62">
        <v>6411.8559500000001</v>
      </c>
      <c r="W13" s="66">
        <v>71800.962700000004</v>
      </c>
      <c r="X13" s="62">
        <v>126242.61900000001</v>
      </c>
      <c r="Y13" s="62">
        <v>12379.007299999999</v>
      </c>
      <c r="Z13" s="66">
        <v>138621.62599999999</v>
      </c>
      <c r="AA13" s="62">
        <v>1070416.27</v>
      </c>
      <c r="AB13" s="22">
        <v>301138.21072818292</v>
      </c>
      <c r="AC13">
        <v>29528.748661144989</v>
      </c>
      <c r="AD13" s="23">
        <v>330666.95938932791</v>
      </c>
      <c r="AE13">
        <v>110075.53082216403</v>
      </c>
      <c r="AF13">
        <v>10793.714576461653</v>
      </c>
      <c r="AG13" s="23">
        <v>120869.24539862567</v>
      </c>
      <c r="AH13">
        <v>212516.05499567551</v>
      </c>
      <c r="AI13">
        <v>20838.724384668352</v>
      </c>
      <c r="AJ13" s="23">
        <v>233354.77938034385</v>
      </c>
      <c r="AK13">
        <v>184636.72480884334</v>
      </c>
      <c r="AL13">
        <v>18104.993487235475</v>
      </c>
      <c r="AM13" s="23">
        <v>202741.71829607885</v>
      </c>
      <c r="AN13">
        <v>67490.618393936253</v>
      </c>
      <c r="AO13">
        <v>6617.9237557508459</v>
      </c>
      <c r="AP13" s="23">
        <v>74108.542149687099</v>
      </c>
      <c r="AQ13">
        <v>130299.87449995747</v>
      </c>
      <c r="AR13">
        <v>12776.850718846294</v>
      </c>
      <c r="AS13" s="23">
        <v>143076.72521880377</v>
      </c>
      <c r="AT13">
        <v>1104817.9023333387</v>
      </c>
    </row>
    <row r="14" spans="1:46">
      <c r="A14" s="48" t="s">
        <v>153</v>
      </c>
      <c r="B14" s="48" t="s">
        <v>154</v>
      </c>
      <c r="C14" s="49">
        <v>115</v>
      </c>
      <c r="D14" s="50">
        <v>0.98699999999999999</v>
      </c>
      <c r="E14" s="49">
        <v>210.714439230311</v>
      </c>
      <c r="F14" s="49">
        <v>0.77890145478620898</v>
      </c>
      <c r="G14" s="49">
        <v>78.484003699111</v>
      </c>
      <c r="H14" s="49">
        <v>0.81682775538095598</v>
      </c>
      <c r="I14" s="61">
        <v>327060.86</v>
      </c>
      <c r="J14" s="62">
        <v>-999</v>
      </c>
      <c r="K14" s="66">
        <v>327060.86</v>
      </c>
      <c r="L14" s="62">
        <v>292940.03899999999</v>
      </c>
      <c r="M14" s="62">
        <v>-999</v>
      </c>
      <c r="N14" s="66">
        <v>292940.03899999999</v>
      </c>
      <c r="O14" s="62">
        <v>534022.98100000003</v>
      </c>
      <c r="P14" s="62">
        <v>-999</v>
      </c>
      <c r="Q14" s="66">
        <v>534022.98100000003</v>
      </c>
      <c r="R14" s="62">
        <v>198150.25700000001</v>
      </c>
      <c r="S14" s="62">
        <v>-999</v>
      </c>
      <c r="T14" s="66">
        <v>198150.25700000001</v>
      </c>
      <c r="U14" s="62">
        <v>177478.03200000001</v>
      </c>
      <c r="V14" s="62">
        <v>-999</v>
      </c>
      <c r="W14" s="66">
        <v>177478.03200000001</v>
      </c>
      <c r="X14" s="62">
        <v>323538.44799999997</v>
      </c>
      <c r="Y14" s="62">
        <v>-999</v>
      </c>
      <c r="Z14" s="66">
        <v>323538.44799999997</v>
      </c>
      <c r="AA14" s="62">
        <v>1853190.7</v>
      </c>
      <c r="AB14" s="22">
        <v>342986.1202412073</v>
      </c>
      <c r="AC14">
        <v>-999</v>
      </c>
      <c r="AD14" s="23">
        <v>342986.1202412073</v>
      </c>
      <c r="AE14">
        <v>307203.88715154631</v>
      </c>
      <c r="AF14">
        <v>-999</v>
      </c>
      <c r="AG14" s="23">
        <v>307203.88715154631</v>
      </c>
      <c r="AH14">
        <v>560025.64951676864</v>
      </c>
      <c r="AI14">
        <v>-999</v>
      </c>
      <c r="AJ14" s="23">
        <v>560025.64951676864</v>
      </c>
      <c r="AK14">
        <v>207798.5970321979</v>
      </c>
      <c r="AL14">
        <v>-999</v>
      </c>
      <c r="AM14" s="23">
        <v>207798.5970321979</v>
      </c>
      <c r="AN14">
        <v>186119.79967357966</v>
      </c>
      <c r="AO14">
        <v>-999</v>
      </c>
      <c r="AP14" s="23">
        <v>186119.79967357966</v>
      </c>
      <c r="AQ14">
        <v>339292.19491273153</v>
      </c>
      <c r="AR14">
        <v>-999</v>
      </c>
      <c r="AS14" s="23">
        <v>339292.19491273153</v>
      </c>
      <c r="AT14">
        <v>1943426.3301136603</v>
      </c>
    </row>
    <row r="15" spans="1:46">
      <c r="A15" s="48" t="s">
        <v>142</v>
      </c>
      <c r="B15" s="48" t="s">
        <v>155</v>
      </c>
      <c r="C15" s="49">
        <v>121</v>
      </c>
      <c r="D15" s="50">
        <v>0.98699999999999999</v>
      </c>
      <c r="E15" s="49">
        <v>134.73416450378099</v>
      </c>
      <c r="F15" s="49">
        <v>0.78782918795068302</v>
      </c>
      <c r="G15" s="49">
        <v>171.84503235867101</v>
      </c>
      <c r="H15" s="49">
        <v>0.81115696719958297</v>
      </c>
      <c r="I15" s="61">
        <v>1568508.57</v>
      </c>
      <c r="J15" s="62">
        <v>378181.70799999998</v>
      </c>
      <c r="K15" s="66">
        <v>1946690.28</v>
      </c>
      <c r="L15" s="62">
        <v>648110.26100000006</v>
      </c>
      <c r="M15" s="62">
        <v>156265.25200000001</v>
      </c>
      <c r="N15" s="66">
        <v>804375.51300000004</v>
      </c>
      <c r="O15" s="62">
        <v>1643224.38</v>
      </c>
      <c r="P15" s="62">
        <v>396196.42499999999</v>
      </c>
      <c r="Q15" s="66">
        <v>2039420.67</v>
      </c>
      <c r="R15" s="62">
        <v>1937910.4</v>
      </c>
      <c r="S15" s="62">
        <v>467247.93900000001</v>
      </c>
      <c r="T15" s="66">
        <v>2405158.34</v>
      </c>
      <c r="U15" s="62">
        <v>800747.67799999996</v>
      </c>
      <c r="V15" s="62">
        <v>193067.54500000001</v>
      </c>
      <c r="W15" s="66">
        <v>993815.223</v>
      </c>
      <c r="X15" s="62">
        <v>2030222.69</v>
      </c>
      <c r="Y15" s="62">
        <v>489505.185</v>
      </c>
      <c r="Z15" s="66">
        <v>2519727.88</v>
      </c>
      <c r="AA15" s="62">
        <v>10709188</v>
      </c>
      <c r="AB15" s="22">
        <v>1614952.4231565851</v>
      </c>
      <c r="AC15">
        <v>389379.74377258698</v>
      </c>
      <c r="AD15" s="23">
        <v>2004332.1669291724</v>
      </c>
      <c r="AE15">
        <v>667300.93515979592</v>
      </c>
      <c r="AF15">
        <v>160892.29724614724</v>
      </c>
      <c r="AG15" s="23">
        <v>828193.23240594321</v>
      </c>
      <c r="AH15">
        <v>1691880.5820152636</v>
      </c>
      <c r="AI15">
        <v>407927.87995755865</v>
      </c>
      <c r="AJ15" s="23">
        <v>2099808.3269407814</v>
      </c>
      <c r="AK15">
        <v>1995292.3119118155</v>
      </c>
      <c r="AL15">
        <v>481083.24359045923</v>
      </c>
      <c r="AM15" s="23">
        <v>2476375.5555022745</v>
      </c>
      <c r="AN15">
        <v>824457.97608756518</v>
      </c>
      <c r="AO15">
        <v>198784.31343375397</v>
      </c>
      <c r="AP15" s="23">
        <v>1023242.2895213194</v>
      </c>
      <c r="AQ15">
        <v>2090337.9897766898</v>
      </c>
      <c r="AR15">
        <v>503999.53127001564</v>
      </c>
      <c r="AS15" s="23">
        <v>2594337.5210467051</v>
      </c>
      <c r="AT15">
        <v>11026289.159862217</v>
      </c>
    </row>
    <row r="16" spans="1:46">
      <c r="A16" s="48" t="s">
        <v>138</v>
      </c>
      <c r="B16" s="48" t="s">
        <v>156</v>
      </c>
      <c r="C16" s="49">
        <v>169</v>
      </c>
      <c r="D16" s="50">
        <v>0.98699999999999999</v>
      </c>
      <c r="E16" s="49">
        <v>107.566428927467</v>
      </c>
      <c r="F16" s="49">
        <v>0.77358599621081803</v>
      </c>
      <c r="G16" s="49">
        <v>14.334619329953901</v>
      </c>
      <c r="H16" s="49">
        <v>0.82211757583827805</v>
      </c>
      <c r="I16" s="61">
        <v>173385.85500000001</v>
      </c>
      <c r="J16" s="62">
        <v>-999</v>
      </c>
      <c r="K16" s="66">
        <v>173385.85500000001</v>
      </c>
      <c r="L16" s="62">
        <v>183202.962</v>
      </c>
      <c r="M16" s="62">
        <v>-999</v>
      </c>
      <c r="N16" s="66">
        <v>183202.962</v>
      </c>
      <c r="O16" s="62">
        <v>402087.25199999998</v>
      </c>
      <c r="P16" s="62">
        <v>-999</v>
      </c>
      <c r="Q16" s="66">
        <v>402087.25199999998</v>
      </c>
      <c r="R16" s="62">
        <v>302333.24400000001</v>
      </c>
      <c r="S16" s="62">
        <v>-999</v>
      </c>
      <c r="T16" s="66">
        <v>302333.24400000001</v>
      </c>
      <c r="U16" s="62">
        <v>319451.40000000002</v>
      </c>
      <c r="V16" s="62">
        <v>-999</v>
      </c>
      <c r="W16" s="66">
        <v>319451.40000000002</v>
      </c>
      <c r="X16" s="62">
        <v>701120.31</v>
      </c>
      <c r="Y16" s="62">
        <v>-999</v>
      </c>
      <c r="Z16" s="66">
        <v>701120.31</v>
      </c>
      <c r="AA16" s="62">
        <v>2081580.98</v>
      </c>
      <c r="AB16" s="22">
        <v>184263.36483019957</v>
      </c>
      <c r="AC16">
        <v>-999</v>
      </c>
      <c r="AD16" s="23">
        <v>184263.36483019957</v>
      </c>
      <c r="AE16">
        <v>194696.35680143879</v>
      </c>
      <c r="AF16">
        <v>-999</v>
      </c>
      <c r="AG16" s="23">
        <v>194696.35680143879</v>
      </c>
      <c r="AH16">
        <v>427312.53987778554</v>
      </c>
      <c r="AI16">
        <v>-999</v>
      </c>
      <c r="AJ16" s="23">
        <v>427312.53987778554</v>
      </c>
      <c r="AK16">
        <v>321300.37838938442</v>
      </c>
      <c r="AL16">
        <v>-999</v>
      </c>
      <c r="AM16" s="23">
        <v>321300.37838938442</v>
      </c>
      <c r="AN16">
        <v>339492.45736768626</v>
      </c>
      <c r="AO16">
        <v>-999</v>
      </c>
      <c r="AP16" s="23">
        <v>339492.45736768626</v>
      </c>
      <c r="AQ16">
        <v>745105.69324327016</v>
      </c>
      <c r="AR16">
        <v>-999</v>
      </c>
      <c r="AS16" s="23">
        <v>745105.69324327016</v>
      </c>
      <c r="AT16">
        <v>2212170.7494527739</v>
      </c>
    </row>
    <row r="17" spans="1:46">
      <c r="A17" s="48" t="s">
        <v>138</v>
      </c>
      <c r="B17" s="48" t="s">
        <v>157</v>
      </c>
      <c r="C17" s="49">
        <v>158</v>
      </c>
      <c r="D17" s="50">
        <v>0.98399999999999999</v>
      </c>
      <c r="E17" s="49">
        <v>207.35586114709901</v>
      </c>
      <c r="F17" s="49">
        <v>0.78143280599489096</v>
      </c>
      <c r="G17" s="49">
        <v>63.532029264821198</v>
      </c>
      <c r="H17" s="49">
        <v>0.81839225377450997</v>
      </c>
      <c r="I17" s="61">
        <v>1736998.82</v>
      </c>
      <c r="J17" s="62">
        <v>1666906.36</v>
      </c>
      <c r="K17" s="66">
        <v>3403905.18</v>
      </c>
      <c r="L17" s="62">
        <v>834192.446</v>
      </c>
      <c r="M17" s="62">
        <v>800530.63399999996</v>
      </c>
      <c r="N17" s="66">
        <v>1634723.08</v>
      </c>
      <c r="O17" s="62">
        <v>1097090.98</v>
      </c>
      <c r="P17" s="62">
        <v>1052820.56</v>
      </c>
      <c r="Q17" s="66">
        <v>2149911.54</v>
      </c>
      <c r="R17" s="62">
        <v>2515646.35</v>
      </c>
      <c r="S17" s="62">
        <v>2414133.29</v>
      </c>
      <c r="T17" s="66">
        <v>4929779.6399999997</v>
      </c>
      <c r="U17" s="62">
        <v>1208137.3700000001</v>
      </c>
      <c r="V17" s="62">
        <v>1159385.82</v>
      </c>
      <c r="W17" s="66">
        <v>2367523.19</v>
      </c>
      <c r="X17" s="62">
        <v>1588885.93</v>
      </c>
      <c r="Y17" s="62">
        <v>1524770.18</v>
      </c>
      <c r="Z17" s="66">
        <v>3113656.11</v>
      </c>
      <c r="AA17" s="62">
        <v>17599498.699999999</v>
      </c>
      <c r="AB17" s="22">
        <v>1819153.6983068169</v>
      </c>
      <c r="AC17">
        <v>1745746.0726969275</v>
      </c>
      <c r="AD17" s="23">
        <v>3564899.7710037441</v>
      </c>
      <c r="AE17">
        <v>873647.26830938051</v>
      </c>
      <c r="AF17">
        <v>838393.35232725099</v>
      </c>
      <c r="AG17" s="23">
        <v>1712040.6206366315</v>
      </c>
      <c r="AH17">
        <v>1148980.1205277839</v>
      </c>
      <c r="AI17">
        <v>1102615.8464818343</v>
      </c>
      <c r="AJ17" s="23">
        <v>2251595.9670096179</v>
      </c>
      <c r="AK17">
        <v>2634628.9399247048</v>
      </c>
      <c r="AL17">
        <v>2528314.6167832641</v>
      </c>
      <c r="AM17" s="23">
        <v>5162943.5567079689</v>
      </c>
      <c r="AN17">
        <v>1265278.6709237993</v>
      </c>
      <c r="AO17">
        <v>1214221.322341573</v>
      </c>
      <c r="AP17" s="23">
        <v>2479499.9932653722</v>
      </c>
      <c r="AQ17">
        <v>1664035.5143300307</v>
      </c>
      <c r="AR17">
        <v>1596887.2741581711</v>
      </c>
      <c r="AS17" s="23">
        <v>3260922.7884882023</v>
      </c>
      <c r="AT17">
        <v>18431902.65624059</v>
      </c>
    </row>
    <row r="18" spans="1:46">
      <c r="A18" s="49" t="s">
        <v>136</v>
      </c>
      <c r="B18" s="49" t="s">
        <v>158</v>
      </c>
      <c r="C18" s="49">
        <v>17</v>
      </c>
      <c r="D18" s="50">
        <v>0.98299999999999998</v>
      </c>
      <c r="E18" s="49">
        <v>195.52301524071001</v>
      </c>
      <c r="F18" s="49">
        <v>0.78767624833970895</v>
      </c>
      <c r="G18" s="49">
        <v>346.08081895271602</v>
      </c>
      <c r="H18" s="49">
        <v>0.79694965793733397</v>
      </c>
      <c r="I18" s="61">
        <v>231188.633</v>
      </c>
      <c r="J18" s="62">
        <v>-999</v>
      </c>
      <c r="K18" s="66">
        <v>231188.633</v>
      </c>
      <c r="L18" s="62">
        <v>80690.489700000006</v>
      </c>
      <c r="M18" s="62">
        <v>-999</v>
      </c>
      <c r="N18" s="66">
        <v>80690.489700000006</v>
      </c>
      <c r="O18" s="62">
        <v>274883.48700000002</v>
      </c>
      <c r="P18" s="62">
        <v>-999</v>
      </c>
      <c r="Q18" s="66">
        <v>274883.48700000002</v>
      </c>
      <c r="R18" s="62">
        <v>160819.641</v>
      </c>
      <c r="S18" s="62">
        <v>-999</v>
      </c>
      <c r="T18" s="66">
        <v>160819.641</v>
      </c>
      <c r="U18" s="62">
        <v>56129.926299999999</v>
      </c>
      <c r="V18" s="62">
        <v>-999</v>
      </c>
      <c r="W18" s="66">
        <v>56129.926299999999</v>
      </c>
      <c r="X18" s="62">
        <v>191214.533</v>
      </c>
      <c r="Y18" s="62">
        <v>-999</v>
      </c>
      <c r="Z18" s="66">
        <v>191214.533</v>
      </c>
      <c r="AA18" s="62">
        <v>994926.81400000001</v>
      </c>
      <c r="AB18" s="22">
        <v>233910.44552777029</v>
      </c>
      <c r="AC18">
        <v>-999</v>
      </c>
      <c r="AD18" s="23">
        <v>233910.44552777029</v>
      </c>
      <c r="AE18">
        <v>81640.468742376528</v>
      </c>
      <c r="AF18">
        <v>-999</v>
      </c>
      <c r="AG18" s="23">
        <v>81640.468742376528</v>
      </c>
      <c r="AH18">
        <v>278119.72403965623</v>
      </c>
      <c r="AI18">
        <v>-999</v>
      </c>
      <c r="AJ18" s="23">
        <v>278119.72403965623</v>
      </c>
      <c r="AK18">
        <v>162712.99017636897</v>
      </c>
      <c r="AL18">
        <v>-999</v>
      </c>
      <c r="AM18" s="23">
        <v>162712.99017636897</v>
      </c>
      <c r="AN18">
        <v>56790.750829243647</v>
      </c>
      <c r="AO18">
        <v>-999</v>
      </c>
      <c r="AP18" s="23">
        <v>56790.750829243647</v>
      </c>
      <c r="AQ18">
        <v>193465.72502165593</v>
      </c>
      <c r="AR18">
        <v>-999</v>
      </c>
      <c r="AS18" s="23">
        <v>193465.72502165593</v>
      </c>
      <c r="AT18">
        <v>1006640.2104706494</v>
      </c>
    </row>
    <row r="19" spans="1:46">
      <c r="A19" s="48" t="s">
        <v>138</v>
      </c>
      <c r="B19" s="48" t="s">
        <v>136</v>
      </c>
      <c r="C19" s="49">
        <v>138</v>
      </c>
      <c r="D19" s="50">
        <v>0.98299999999999998</v>
      </c>
      <c r="E19" s="49">
        <v>229.75576777612599</v>
      </c>
      <c r="F19" s="49">
        <v>0.78068710137530795</v>
      </c>
      <c r="G19" s="49">
        <v>125.04871270606201</v>
      </c>
      <c r="H19" s="49">
        <v>0.81436505399763004</v>
      </c>
      <c r="I19" s="61">
        <v>198558.90400000001</v>
      </c>
      <c r="J19" s="62">
        <v>8567.4678600000007</v>
      </c>
      <c r="K19" s="66">
        <v>207126.372</v>
      </c>
      <c r="L19" s="62">
        <v>135660.715</v>
      </c>
      <c r="M19" s="62">
        <v>5853.5179900000003</v>
      </c>
      <c r="N19" s="66">
        <v>141514.23300000001</v>
      </c>
      <c r="O19" s="62">
        <v>413706.913</v>
      </c>
      <c r="P19" s="62">
        <v>17850.624199999998</v>
      </c>
      <c r="Q19" s="66">
        <v>431557.53700000001</v>
      </c>
      <c r="R19" s="62">
        <v>212791.18900000001</v>
      </c>
      <c r="S19" s="62">
        <v>9181.5277700000006</v>
      </c>
      <c r="T19" s="66">
        <v>221972.84599999999</v>
      </c>
      <c r="U19" s="62">
        <v>145384.565</v>
      </c>
      <c r="V19" s="62">
        <v>6273.0281299999997</v>
      </c>
      <c r="W19" s="66">
        <v>151657.59299999999</v>
      </c>
      <c r="X19" s="62">
        <v>443360.614</v>
      </c>
      <c r="Y19" s="62">
        <v>19130.2081</v>
      </c>
      <c r="Z19" s="66">
        <v>462490.82199999999</v>
      </c>
      <c r="AA19" s="62">
        <v>1616319.35</v>
      </c>
      <c r="AB19" s="22">
        <v>207124.5092914796</v>
      </c>
      <c r="AC19">
        <v>8937.0586691037515</v>
      </c>
      <c r="AD19" s="23">
        <v>216061.56796058331</v>
      </c>
      <c r="AE19">
        <v>141512.96374220809</v>
      </c>
      <c r="AF19">
        <v>6106.032090211489</v>
      </c>
      <c r="AG19" s="23">
        <v>147618.9958324196</v>
      </c>
      <c r="AH19">
        <v>431553.75835897017</v>
      </c>
      <c r="AI19">
        <v>18620.679775115979</v>
      </c>
      <c r="AJ19" s="23">
        <v>450174.43813408626</v>
      </c>
      <c r="AK19">
        <v>221970.75809357836</v>
      </c>
      <c r="AL19">
        <v>9577.6084265747086</v>
      </c>
      <c r="AM19" s="23">
        <v>231548.50208623928</v>
      </c>
      <c r="AN19">
        <v>151656.2894466508</v>
      </c>
      <c r="AO19">
        <v>6543.6394165852953</v>
      </c>
      <c r="AP19" s="23">
        <v>158199.92886323613</v>
      </c>
      <c r="AQ19">
        <v>462486.68565223861</v>
      </c>
      <c r="AR19">
        <v>19955.46346020784</v>
      </c>
      <c r="AS19" s="23">
        <v>482442.14911244635</v>
      </c>
      <c r="AT19">
        <v>1686045.5277625767</v>
      </c>
    </row>
    <row r="20" spans="1:46">
      <c r="A20" s="48" t="s">
        <v>138</v>
      </c>
      <c r="B20" s="48" t="s">
        <v>159</v>
      </c>
      <c r="C20" s="49">
        <v>144</v>
      </c>
      <c r="D20" s="50">
        <v>0.98</v>
      </c>
      <c r="E20" s="49">
        <v>191.22312498203999</v>
      </c>
      <c r="F20" s="49">
        <v>0.777802740032149</v>
      </c>
      <c r="G20" s="49">
        <v>59.442699337319098</v>
      </c>
      <c r="H20" s="49">
        <v>0.818460065797048</v>
      </c>
      <c r="I20" s="61">
        <v>448225.79700000002</v>
      </c>
      <c r="J20" s="62">
        <v>-999</v>
      </c>
      <c r="K20" s="66">
        <v>448225.79700000002</v>
      </c>
      <c r="L20" s="62">
        <v>177163.97899999999</v>
      </c>
      <c r="M20" s="62">
        <v>-999</v>
      </c>
      <c r="N20" s="66">
        <v>177163.97899999999</v>
      </c>
      <c r="O20" s="62">
        <v>611811.11899999995</v>
      </c>
      <c r="P20" s="62">
        <v>-999</v>
      </c>
      <c r="Q20" s="66">
        <v>611811.11899999995</v>
      </c>
      <c r="R20" s="62">
        <v>270830.43800000002</v>
      </c>
      <c r="S20" s="62">
        <v>-999</v>
      </c>
      <c r="T20" s="66">
        <v>270830.43800000002</v>
      </c>
      <c r="U20" s="62">
        <v>107047.401</v>
      </c>
      <c r="V20" s="62">
        <v>-999</v>
      </c>
      <c r="W20" s="66">
        <v>107047.401</v>
      </c>
      <c r="X20" s="62">
        <v>369673.234</v>
      </c>
      <c r="Y20" s="62">
        <v>-999</v>
      </c>
      <c r="Z20" s="66">
        <v>369673.234</v>
      </c>
      <c r="AA20" s="62">
        <v>1984751.95</v>
      </c>
      <c r="AB20" s="22">
        <v>471655.46778249065</v>
      </c>
      <c r="AC20">
        <v>-999</v>
      </c>
      <c r="AD20" s="23">
        <v>471655.46778249065</v>
      </c>
      <c r="AE20">
        <v>186424.6988778568</v>
      </c>
      <c r="AF20">
        <v>-999</v>
      </c>
      <c r="AG20" s="23">
        <v>186424.6988778568</v>
      </c>
      <c r="AH20">
        <v>643791.72609164706</v>
      </c>
      <c r="AI20">
        <v>-999</v>
      </c>
      <c r="AJ20" s="23">
        <v>643791.72609164706</v>
      </c>
      <c r="AK20">
        <v>284987.29412803915</v>
      </c>
      <c r="AL20">
        <v>-999</v>
      </c>
      <c r="AM20" s="23">
        <v>284987.29412803915</v>
      </c>
      <c r="AN20">
        <v>112642.98546417648</v>
      </c>
      <c r="AO20">
        <v>-999</v>
      </c>
      <c r="AP20" s="23">
        <v>112642.98546417648</v>
      </c>
      <c r="AQ20">
        <v>388996.80298689794</v>
      </c>
      <c r="AR20">
        <v>-999</v>
      </c>
      <c r="AS20" s="23">
        <v>388996.80298689794</v>
      </c>
      <c r="AT20">
        <v>2088498.9617063308</v>
      </c>
    </row>
    <row r="21" spans="1:46">
      <c r="A21" s="48" t="s">
        <v>146</v>
      </c>
      <c r="B21" s="48" t="s">
        <v>160</v>
      </c>
      <c r="C21" s="49">
        <v>37</v>
      </c>
      <c r="D21" s="50">
        <v>0.97899999999999998</v>
      </c>
      <c r="E21" s="49">
        <v>152.33915864515299</v>
      </c>
      <c r="F21" s="49">
        <v>0.78560240032795903</v>
      </c>
      <c r="G21" s="49">
        <v>277.15572642670497</v>
      </c>
      <c r="H21" s="49">
        <v>0.80249848675440305</v>
      </c>
      <c r="I21" s="61">
        <v>129665.353</v>
      </c>
      <c r="J21" s="62">
        <v>-999</v>
      </c>
      <c r="K21" s="66">
        <v>129665.353</v>
      </c>
      <c r="L21" s="62">
        <v>57428.5484</v>
      </c>
      <c r="M21" s="62">
        <v>-999</v>
      </c>
      <c r="N21" s="66">
        <v>57428.5484</v>
      </c>
      <c r="O21" s="62">
        <v>423152.52799999999</v>
      </c>
      <c r="P21" s="62">
        <v>-999</v>
      </c>
      <c r="Q21" s="66">
        <v>423152.52799999999</v>
      </c>
      <c r="R21" s="62">
        <v>122664.02099999999</v>
      </c>
      <c r="S21" s="62">
        <v>-999</v>
      </c>
      <c r="T21" s="66">
        <v>122664.02099999999</v>
      </c>
      <c r="U21" s="62">
        <v>54327.670899999997</v>
      </c>
      <c r="V21" s="62">
        <v>-999</v>
      </c>
      <c r="W21" s="66">
        <v>54327.670899999997</v>
      </c>
      <c r="X21" s="62">
        <v>400304.43300000002</v>
      </c>
      <c r="Y21" s="62">
        <v>-999</v>
      </c>
      <c r="Z21" s="66">
        <v>400304.43300000002</v>
      </c>
      <c r="AA21" s="62">
        <v>1187542.6100000001</v>
      </c>
      <c r="AB21" s="22">
        <v>132454.08772939269</v>
      </c>
      <c r="AC21">
        <v>-999</v>
      </c>
      <c r="AD21" s="23">
        <v>132454.08772939269</v>
      </c>
      <c r="AE21">
        <v>58663.674083712445</v>
      </c>
      <c r="AF21">
        <v>-999</v>
      </c>
      <c r="AG21" s="23">
        <v>58663.674083712445</v>
      </c>
      <c r="AH21">
        <v>432253.34267149732</v>
      </c>
      <c r="AI21">
        <v>-999</v>
      </c>
      <c r="AJ21" s="23">
        <v>432253.34267149732</v>
      </c>
      <c r="AK21">
        <v>125302.17723421902</v>
      </c>
      <c r="AL21">
        <v>-999</v>
      </c>
      <c r="AM21" s="23">
        <v>125302.17723421902</v>
      </c>
      <c r="AN21">
        <v>55496.105536359944</v>
      </c>
      <c r="AO21">
        <v>-999</v>
      </c>
      <c r="AP21" s="23">
        <v>55496.105536359944</v>
      </c>
      <c r="AQ21">
        <v>408913.84904662229</v>
      </c>
      <c r="AR21">
        <v>-999</v>
      </c>
      <c r="AS21" s="23">
        <v>408913.84904662229</v>
      </c>
      <c r="AT21">
        <v>1213083.2897380744</v>
      </c>
    </row>
    <row r="22" spans="1:46">
      <c r="A22" s="48" t="s">
        <v>161</v>
      </c>
      <c r="B22" s="48" t="s">
        <v>162</v>
      </c>
      <c r="C22" s="49">
        <v>55</v>
      </c>
      <c r="D22" s="50">
        <v>0.97799999999999998</v>
      </c>
      <c r="E22" s="49">
        <v>129.452871312024</v>
      </c>
      <c r="F22" s="49">
        <v>0.79271193117327599</v>
      </c>
      <c r="G22" s="49">
        <v>99.149325473754104</v>
      </c>
      <c r="H22" s="49">
        <v>0.81641659995881199</v>
      </c>
      <c r="I22" s="61">
        <v>40063.650800000003</v>
      </c>
      <c r="J22" s="62">
        <v>-999</v>
      </c>
      <c r="K22" s="66">
        <v>40063.650800000003</v>
      </c>
      <c r="L22" s="62">
        <v>8689.1385399999999</v>
      </c>
      <c r="M22" s="62">
        <v>-999</v>
      </c>
      <c r="N22" s="66">
        <v>8689.1385399999999</v>
      </c>
      <c r="O22" s="62">
        <v>55274.591800000002</v>
      </c>
      <c r="P22" s="62">
        <v>-999</v>
      </c>
      <c r="Q22" s="66">
        <v>55274.591800000002</v>
      </c>
      <c r="R22" s="62">
        <v>91752.584099999993</v>
      </c>
      <c r="S22" s="62">
        <v>-999</v>
      </c>
      <c r="T22" s="66">
        <v>91752.584099999993</v>
      </c>
      <c r="U22" s="62">
        <v>19899.534</v>
      </c>
      <c r="V22" s="62">
        <v>-999</v>
      </c>
      <c r="W22" s="66">
        <v>19899.534</v>
      </c>
      <c r="X22" s="62">
        <v>126588.183</v>
      </c>
      <c r="Y22" s="62">
        <v>-999</v>
      </c>
      <c r="Z22" s="66">
        <v>126588.183</v>
      </c>
      <c r="AA22" s="62">
        <v>342267.65600000002</v>
      </c>
      <c r="AB22" s="22">
        <v>41261.684454185648</v>
      </c>
      <c r="AC22">
        <v>-999</v>
      </c>
      <c r="AD22" s="23">
        <v>41261.684454185648</v>
      </c>
      <c r="AE22">
        <v>8948.9720869506637</v>
      </c>
      <c r="AF22">
        <v>-999</v>
      </c>
      <c r="AG22" s="23">
        <v>8948.9720869506637</v>
      </c>
      <c r="AH22">
        <v>56927.482141495871</v>
      </c>
      <c r="AI22">
        <v>-999</v>
      </c>
      <c r="AJ22" s="23">
        <v>56927.482141495871</v>
      </c>
      <c r="AK22">
        <v>94496.285182283245</v>
      </c>
      <c r="AL22">
        <v>-999</v>
      </c>
      <c r="AM22" s="23">
        <v>94496.285182283245</v>
      </c>
      <c r="AN22">
        <v>20494.59485417468</v>
      </c>
      <c r="AO22">
        <v>-999</v>
      </c>
      <c r="AP22" s="23">
        <v>20494.59485417468</v>
      </c>
      <c r="AQ22">
        <v>130373.58218482703</v>
      </c>
      <c r="AR22">
        <v>-999</v>
      </c>
      <c r="AS22" s="23">
        <v>130373.58218482703</v>
      </c>
      <c r="AT22">
        <v>352502.57372239634</v>
      </c>
    </row>
    <row r="23" spans="1:46">
      <c r="A23" s="48" t="s">
        <v>138</v>
      </c>
      <c r="B23" s="48" t="s">
        <v>163</v>
      </c>
      <c r="C23" s="49">
        <v>127</v>
      </c>
      <c r="D23" s="50">
        <v>0.97799999999999998</v>
      </c>
      <c r="E23" s="49">
        <v>118.263319577589</v>
      </c>
      <c r="F23" s="49">
        <v>0.78274439920932104</v>
      </c>
      <c r="G23" s="49">
        <v>53.308737391140603</v>
      </c>
      <c r="H23" s="49">
        <v>0.81964307257555602</v>
      </c>
      <c r="I23" s="61">
        <v>993036.27500000002</v>
      </c>
      <c r="J23" s="62">
        <v>289747.49900000001</v>
      </c>
      <c r="K23" s="66">
        <v>1282783.8999999999</v>
      </c>
      <c r="L23" s="62">
        <v>1368803.32</v>
      </c>
      <c r="M23" s="62">
        <v>399388.62900000002</v>
      </c>
      <c r="N23" s="66">
        <v>1768191.95</v>
      </c>
      <c r="O23" s="62">
        <v>2547788.7200000002</v>
      </c>
      <c r="P23" s="62">
        <v>743392.28899999999</v>
      </c>
      <c r="Q23" s="66">
        <v>3291181.01</v>
      </c>
      <c r="R23" s="62">
        <v>1254325.76</v>
      </c>
      <c r="S23" s="62">
        <v>365986.43</v>
      </c>
      <c r="T23" s="66">
        <v>1620312.19</v>
      </c>
      <c r="U23" s="62">
        <v>1728965.24</v>
      </c>
      <c r="V23" s="62">
        <v>504476.478</v>
      </c>
      <c r="W23" s="66">
        <v>2233441.7200000002</v>
      </c>
      <c r="X23" s="62">
        <v>3218167.32</v>
      </c>
      <c r="Y23" s="62">
        <v>938994.98300000001</v>
      </c>
      <c r="Z23" s="66">
        <v>4157162.3</v>
      </c>
      <c r="AA23" s="62">
        <v>14353073.1</v>
      </c>
      <c r="AB23" s="22">
        <v>1039848.1351372747</v>
      </c>
      <c r="AC23">
        <v>303406.23405036068</v>
      </c>
      <c r="AD23" s="23">
        <v>1343254.5056323456</v>
      </c>
      <c r="AE23">
        <v>1433328.8901381607</v>
      </c>
      <c r="AF23">
        <v>418215.86132679461</v>
      </c>
      <c r="AG23" s="23">
        <v>1851544.751464955</v>
      </c>
      <c r="AH23">
        <v>2667891.8128366051</v>
      </c>
      <c r="AI23">
        <v>778435.89875489182</v>
      </c>
      <c r="AJ23" s="23">
        <v>3446327.7115914966</v>
      </c>
      <c r="AK23">
        <v>1313454.8445682367</v>
      </c>
      <c r="AL23">
        <v>383239.0786389045</v>
      </c>
      <c r="AM23" s="23">
        <v>1696693.923207141</v>
      </c>
      <c r="AN23">
        <v>1810468.8902491936</v>
      </c>
      <c r="AO23">
        <v>528257.56466412474</v>
      </c>
      <c r="AP23" s="23">
        <v>2338726.4549133186</v>
      </c>
      <c r="AQ23">
        <v>3369872.1464598188</v>
      </c>
      <c r="AR23">
        <v>983259.32908599172</v>
      </c>
      <c r="AS23" s="23">
        <v>4353131.4755458096</v>
      </c>
      <c r="AT23">
        <v>15029678.822355065</v>
      </c>
    </row>
    <row r="24" spans="1:46">
      <c r="A24" s="48" t="s">
        <v>153</v>
      </c>
      <c r="B24" s="48" t="s">
        <v>164</v>
      </c>
      <c r="C24" s="49">
        <v>111</v>
      </c>
      <c r="D24" s="50">
        <v>0.97699999999999998</v>
      </c>
      <c r="E24" s="49">
        <v>143.12862552990899</v>
      </c>
      <c r="F24" s="49">
        <v>0.78544217408066097</v>
      </c>
      <c r="G24" s="49">
        <v>127.456622818044</v>
      </c>
      <c r="H24" s="49">
        <v>0.81462616378712105</v>
      </c>
      <c r="I24" s="61">
        <v>65125.411599999999</v>
      </c>
      <c r="J24" s="62">
        <v>639539.71100000001</v>
      </c>
      <c r="K24" s="66">
        <v>704665.12300000002</v>
      </c>
      <c r="L24" s="62">
        <v>3217.1367</v>
      </c>
      <c r="M24" s="62">
        <v>31592.530900000002</v>
      </c>
      <c r="N24" s="66">
        <v>34809.667600000001</v>
      </c>
      <c r="O24" s="62">
        <v>9244.9042000000009</v>
      </c>
      <c r="P24" s="62">
        <v>90785.754199999996</v>
      </c>
      <c r="Q24" s="66">
        <v>100030.658</v>
      </c>
      <c r="R24" s="62">
        <v>29870.5357</v>
      </c>
      <c r="S24" s="62">
        <v>293332.65399999998</v>
      </c>
      <c r="T24" s="66">
        <v>323203.19</v>
      </c>
      <c r="U24" s="62">
        <v>1475.5288599999999</v>
      </c>
      <c r="V24" s="62">
        <v>14490.2557</v>
      </c>
      <c r="W24" s="66">
        <v>15965.915300000001</v>
      </c>
      <c r="X24" s="62">
        <v>4240.2659299999996</v>
      </c>
      <c r="Y24" s="62">
        <v>41639.986799999999</v>
      </c>
      <c r="Z24" s="66">
        <v>45880.252699999997</v>
      </c>
      <c r="AA24" s="62">
        <v>1224554.81</v>
      </c>
      <c r="AB24" s="22">
        <v>67545.219705243289</v>
      </c>
      <c r="AC24">
        <v>663302.53039034677</v>
      </c>
      <c r="AD24" s="23">
        <v>730847.75009559002</v>
      </c>
      <c r="AE24">
        <v>3336.6730461155526</v>
      </c>
      <c r="AF24">
        <v>32766.386971005002</v>
      </c>
      <c r="AG24" s="23">
        <v>36103.060017120551</v>
      </c>
      <c r="AH24">
        <v>9588.409038758231</v>
      </c>
      <c r="AI24">
        <v>94159.001266686711</v>
      </c>
      <c r="AJ24" s="23">
        <v>103747.41030544495</v>
      </c>
      <c r="AK24">
        <v>30980.409160911859</v>
      </c>
      <c r="AL24">
        <v>304231.75947589637</v>
      </c>
      <c r="AM24" s="23">
        <v>335212.16863680817</v>
      </c>
      <c r="AN24">
        <v>1530.3538031056294</v>
      </c>
      <c r="AO24">
        <v>15028.657467574227</v>
      </c>
      <c r="AP24" s="23">
        <v>16559.146880232634</v>
      </c>
      <c r="AQ24">
        <v>4397.8177966074927</v>
      </c>
      <c r="AR24">
        <v>43187.167444717808</v>
      </c>
      <c r="AS24" s="23">
        <v>47584.985241325303</v>
      </c>
      <c r="AT24">
        <v>1270054.5211765217</v>
      </c>
    </row>
    <row r="25" spans="1:46">
      <c r="A25" s="48" t="s">
        <v>153</v>
      </c>
      <c r="B25" s="48" t="s">
        <v>165</v>
      </c>
      <c r="C25" s="49">
        <v>62</v>
      </c>
      <c r="D25" s="50">
        <v>0.96699999999999997</v>
      </c>
      <c r="E25" s="49">
        <v>137.45463299291001</v>
      </c>
      <c r="F25" s="49">
        <v>0.78551581436134899</v>
      </c>
      <c r="G25" s="49">
        <v>229.78169106563499</v>
      </c>
      <c r="H25" s="49">
        <v>0.80649605758814003</v>
      </c>
      <c r="I25" s="61">
        <v>5006655.59</v>
      </c>
      <c r="J25" s="62">
        <v>573458.13699999999</v>
      </c>
      <c r="K25" s="66">
        <v>5580113.7300000004</v>
      </c>
      <c r="L25" s="62">
        <v>1898439.52</v>
      </c>
      <c r="M25" s="62">
        <v>217445.61</v>
      </c>
      <c r="N25" s="66">
        <v>2115885.2599999998</v>
      </c>
      <c r="O25" s="62">
        <v>2788266.97</v>
      </c>
      <c r="P25" s="62">
        <v>319365.766</v>
      </c>
      <c r="Q25" s="66">
        <v>3107632.74</v>
      </c>
      <c r="R25" s="62">
        <v>543381.201</v>
      </c>
      <c r="S25" s="62">
        <v>62238.372900000002</v>
      </c>
      <c r="T25" s="66">
        <v>605619.57400000002</v>
      </c>
      <c r="U25" s="62">
        <v>206041.06299999999</v>
      </c>
      <c r="V25" s="62">
        <v>23599.821899999999</v>
      </c>
      <c r="W25" s="66">
        <v>229640.75399999999</v>
      </c>
      <c r="X25" s="62">
        <v>302615.603</v>
      </c>
      <c r="Y25" s="62">
        <v>34661.376199999999</v>
      </c>
      <c r="Z25" s="66">
        <v>337276.84899999999</v>
      </c>
      <c r="AA25" s="62">
        <v>11976169</v>
      </c>
      <c r="AB25" s="22">
        <v>5140377.7266069986</v>
      </c>
      <c r="AC25">
        <v>588774.55799458292</v>
      </c>
      <c r="AD25" s="23">
        <v>5729152.2846015813</v>
      </c>
      <c r="AE25">
        <v>1949144.6992911764</v>
      </c>
      <c r="AF25">
        <v>223253.33791168628</v>
      </c>
      <c r="AG25" s="23">
        <v>2172398.1714590099</v>
      </c>
      <c r="AH25">
        <v>2862738.4441658352</v>
      </c>
      <c r="AI25">
        <v>327895.66647990886</v>
      </c>
      <c r="AJ25" s="23">
        <v>3190634.110645744</v>
      </c>
      <c r="AK25">
        <v>557894.30171015603</v>
      </c>
      <c r="AL25">
        <v>63900.689802148256</v>
      </c>
      <c r="AM25" s="23">
        <v>621794.99151230429</v>
      </c>
      <c r="AN25">
        <v>211544.18808408623</v>
      </c>
      <c r="AO25">
        <v>24230.146573820777</v>
      </c>
      <c r="AP25" s="23">
        <v>235774.20040176035</v>
      </c>
      <c r="AQ25">
        <v>310698.12537841906</v>
      </c>
      <c r="AR25">
        <v>35587.142528832483</v>
      </c>
      <c r="AS25" s="23">
        <v>346285.13365110493</v>
      </c>
      <c r="AT25">
        <v>12296039.013102036</v>
      </c>
    </row>
    <row r="26" spans="1:46">
      <c r="A26" s="48" t="s">
        <v>138</v>
      </c>
      <c r="B26" s="48" t="s">
        <v>166</v>
      </c>
      <c r="C26" s="49">
        <v>145</v>
      </c>
      <c r="D26" s="50">
        <v>0.96699999999999997</v>
      </c>
      <c r="E26" s="49">
        <v>236.12772772268301</v>
      </c>
      <c r="F26" s="49">
        <v>0.76392523775557597</v>
      </c>
      <c r="G26" s="49">
        <v>107.440505505945</v>
      </c>
      <c r="H26" s="49">
        <v>0.81598828647606103</v>
      </c>
      <c r="I26" s="61">
        <v>187224.20300000001</v>
      </c>
      <c r="J26" s="62">
        <v>539234.83100000001</v>
      </c>
      <c r="K26" s="66">
        <v>726459.03399999999</v>
      </c>
      <c r="L26" s="62">
        <v>16795.904900000001</v>
      </c>
      <c r="M26" s="62">
        <v>48375.003799999999</v>
      </c>
      <c r="N26" s="66">
        <v>65170.9087</v>
      </c>
      <c r="O26" s="62">
        <v>108639.461</v>
      </c>
      <c r="P26" s="62">
        <v>312898.647</v>
      </c>
      <c r="Q26" s="66">
        <v>421538.23499999999</v>
      </c>
      <c r="R26" s="62">
        <v>205861.77600000001</v>
      </c>
      <c r="S26" s="62">
        <v>592914.19999999995</v>
      </c>
      <c r="T26" s="66">
        <v>798775.97600000002</v>
      </c>
      <c r="U26" s="62">
        <v>18467.928800000002</v>
      </c>
      <c r="V26" s="62">
        <v>53190.529300000002</v>
      </c>
      <c r="W26" s="66">
        <v>71658.458100000003</v>
      </c>
      <c r="X26" s="62">
        <v>119454.205</v>
      </c>
      <c r="Y26" s="62">
        <v>344046.89600000001</v>
      </c>
      <c r="Z26" s="66">
        <v>463501.10100000002</v>
      </c>
      <c r="AA26" s="62">
        <v>2547103.7400000002</v>
      </c>
      <c r="AB26" s="22">
        <v>199983.9107367839</v>
      </c>
      <c r="AC26">
        <v>575984.77486882894</v>
      </c>
      <c r="AD26" s="23">
        <v>775968.68560561282</v>
      </c>
      <c r="AE26">
        <v>17940.579748818967</v>
      </c>
      <c r="AF26">
        <v>51671.858075269643</v>
      </c>
      <c r="AG26" s="23">
        <v>69612.4378240886</v>
      </c>
      <c r="AH26">
        <v>116043.45964822113</v>
      </c>
      <c r="AI26">
        <v>334223.32238389231</v>
      </c>
      <c r="AJ26" s="23">
        <v>450266.9178684167</v>
      </c>
      <c r="AK26">
        <v>219891.67182894866</v>
      </c>
      <c r="AL26">
        <v>633322.50098803558</v>
      </c>
      <c r="AM26" s="23">
        <v>853214.17281698412</v>
      </c>
      <c r="AN26">
        <v>19726.555463658802</v>
      </c>
      <c r="AO26">
        <v>56815.571369598831</v>
      </c>
      <c r="AP26" s="23">
        <v>76542.126833257644</v>
      </c>
      <c r="AQ26">
        <v>127595.25054732439</v>
      </c>
      <c r="AR26">
        <v>367494.38731500698</v>
      </c>
      <c r="AS26" s="23">
        <v>495089.63786233147</v>
      </c>
      <c r="AT26">
        <v>2720694.0059779519</v>
      </c>
    </row>
    <row r="27" spans="1:46">
      <c r="A27" s="48" t="s">
        <v>138</v>
      </c>
      <c r="B27" s="48" t="s">
        <v>167</v>
      </c>
      <c r="C27" s="49">
        <v>109</v>
      </c>
      <c r="D27" s="50">
        <v>0.96599999999999997</v>
      </c>
      <c r="E27" s="49">
        <v>221.34398592963399</v>
      </c>
      <c r="F27" s="49">
        <v>0.75575554137672396</v>
      </c>
      <c r="G27" s="49">
        <v>85.686789230314901</v>
      </c>
      <c r="H27" s="49">
        <v>0.81735758444404305</v>
      </c>
      <c r="I27" s="61">
        <v>8751482.4700000007</v>
      </c>
      <c r="J27" s="62">
        <v>-999</v>
      </c>
      <c r="K27" s="66">
        <v>8751482.4700000007</v>
      </c>
      <c r="L27" s="62">
        <v>4937823.58</v>
      </c>
      <c r="M27" s="62">
        <v>-999</v>
      </c>
      <c r="N27" s="66">
        <v>4937823.58</v>
      </c>
      <c r="O27" s="62">
        <v>6903507.9500000002</v>
      </c>
      <c r="P27" s="62">
        <v>-999</v>
      </c>
      <c r="Q27" s="66">
        <v>6903507.9500000002</v>
      </c>
      <c r="R27" s="62">
        <v>11879877.4</v>
      </c>
      <c r="S27" s="62">
        <v>-999</v>
      </c>
      <c r="T27" s="66">
        <v>11879877.4</v>
      </c>
      <c r="U27" s="62">
        <v>6702948.8099999996</v>
      </c>
      <c r="V27" s="62">
        <v>-999</v>
      </c>
      <c r="W27" s="66">
        <v>6702948.8099999996</v>
      </c>
      <c r="X27" s="62">
        <v>9371306.8900000006</v>
      </c>
      <c r="Y27" s="62">
        <v>-999</v>
      </c>
      <c r="Z27" s="66">
        <v>9371306.8900000006</v>
      </c>
      <c r="AA27" s="62">
        <v>48546947.200000003</v>
      </c>
      <c r="AB27" s="22">
        <v>9464820.5426503345</v>
      </c>
      <c r="AC27">
        <v>-999</v>
      </c>
      <c r="AD27" s="23">
        <v>9464820.5426503345</v>
      </c>
      <c r="AE27">
        <v>5340308.2544836132</v>
      </c>
      <c r="AF27">
        <v>-999</v>
      </c>
      <c r="AG27" s="23">
        <v>5340308.2544836132</v>
      </c>
      <c r="AH27">
        <v>7466216.6144868918</v>
      </c>
      <c r="AI27">
        <v>-999</v>
      </c>
      <c r="AJ27" s="23">
        <v>7466216.6144868918</v>
      </c>
      <c r="AK27">
        <v>12848212.641506776</v>
      </c>
      <c r="AL27">
        <v>-999</v>
      </c>
      <c r="AM27" s="23">
        <v>12848212.641506776</v>
      </c>
      <c r="AN27">
        <v>7249309.7933228817</v>
      </c>
      <c r="AO27">
        <v>-999</v>
      </c>
      <c r="AP27" s="23">
        <v>7249309.7933228817</v>
      </c>
      <c r="AQ27">
        <v>10135167.185421824</v>
      </c>
      <c r="AR27">
        <v>-999</v>
      </c>
      <c r="AS27" s="23">
        <v>10135167.185421824</v>
      </c>
      <c r="AT27">
        <v>52504035.086298026</v>
      </c>
    </row>
    <row r="28" spans="1:46">
      <c r="A28" s="48" t="s">
        <v>146</v>
      </c>
      <c r="B28" s="48" t="s">
        <v>168</v>
      </c>
      <c r="C28" s="49">
        <v>61</v>
      </c>
      <c r="D28" s="50">
        <v>0.96299999999999997</v>
      </c>
      <c r="E28" s="49">
        <v>80.087918706316401</v>
      </c>
      <c r="F28" s="49">
        <v>0.78697517626763103</v>
      </c>
      <c r="G28" s="49">
        <v>339.57073442351702</v>
      </c>
      <c r="H28" s="49">
        <v>0.79924512453026297</v>
      </c>
      <c r="I28" s="61">
        <v>93790.330100000006</v>
      </c>
      <c r="J28" s="62">
        <v>78654.358999999997</v>
      </c>
      <c r="K28" s="66">
        <v>172444.55799999999</v>
      </c>
      <c r="L28" s="62">
        <v>84301.395699999994</v>
      </c>
      <c r="M28" s="62">
        <v>70696.759999999995</v>
      </c>
      <c r="N28" s="66">
        <v>154998.02499999999</v>
      </c>
      <c r="O28" s="62">
        <v>115900.827</v>
      </c>
      <c r="P28" s="62">
        <v>97196.631099999999</v>
      </c>
      <c r="Q28" s="66">
        <v>213097.58900000001</v>
      </c>
      <c r="R28" s="62">
        <v>88554.784899999999</v>
      </c>
      <c r="S28" s="62">
        <v>74263.805999999997</v>
      </c>
      <c r="T28" s="66">
        <v>162818.59099999999</v>
      </c>
      <c r="U28" s="62">
        <v>79595.509999999995</v>
      </c>
      <c r="V28" s="62">
        <v>66750.319099999993</v>
      </c>
      <c r="W28" s="66">
        <v>146345.96</v>
      </c>
      <c r="X28" s="62">
        <v>109431.2</v>
      </c>
      <c r="Y28" s="62">
        <v>91770.9954</v>
      </c>
      <c r="Z28" s="66">
        <v>201202.196</v>
      </c>
      <c r="AA28" s="62">
        <v>1050906.8700000001</v>
      </c>
      <c r="AB28" s="22">
        <v>95252.641179078753</v>
      </c>
      <c r="AC28">
        <v>79880.680933093434</v>
      </c>
      <c r="AD28" s="23">
        <v>175133.18906307712</v>
      </c>
      <c r="AE28">
        <v>85615.762175331314</v>
      </c>
      <c r="AF28">
        <v>71799.012801414676</v>
      </c>
      <c r="AG28" s="23">
        <v>157414.64192765093</v>
      </c>
      <c r="AH28">
        <v>117707.86914746888</v>
      </c>
      <c r="AI28">
        <v>98712.050699538726</v>
      </c>
      <c r="AJ28" s="23">
        <v>216420.05289610266</v>
      </c>
      <c r="AK28">
        <v>89935.46714440074</v>
      </c>
      <c r="AL28">
        <v>75421.673561504052</v>
      </c>
      <c r="AM28" s="23">
        <v>165357.14070590481</v>
      </c>
      <c r="AN28">
        <v>80836.505631950582</v>
      </c>
      <c r="AO28">
        <v>67791.041862053244</v>
      </c>
      <c r="AP28" s="23">
        <v>148627.68054309886</v>
      </c>
      <c r="AQ28">
        <v>111137.37263739636</v>
      </c>
      <c r="AR28">
        <v>93201.822427939551</v>
      </c>
      <c r="AS28" s="23">
        <v>204339.19506533587</v>
      </c>
      <c r="AT28">
        <v>1067291.8469815322</v>
      </c>
    </row>
    <row r="29" spans="1:46">
      <c r="A29" s="48" t="s">
        <v>151</v>
      </c>
      <c r="B29" s="48" t="s">
        <v>169</v>
      </c>
      <c r="C29" s="49">
        <v>150</v>
      </c>
      <c r="D29" s="50">
        <v>0.96299999999999997</v>
      </c>
      <c r="E29" s="49">
        <v>89.605552943342005</v>
      </c>
      <c r="F29" s="49">
        <v>0.78986997443433804</v>
      </c>
      <c r="G29" s="49">
        <v>303.60144294653998</v>
      </c>
      <c r="H29" s="49">
        <v>0.80178680115718004</v>
      </c>
      <c r="I29" s="61">
        <v>20871.289700000001</v>
      </c>
      <c r="J29" s="62">
        <v>76183.080499999996</v>
      </c>
      <c r="K29" s="66">
        <v>97054.370200000005</v>
      </c>
      <c r="L29" s="62">
        <v>7212.5347599999996</v>
      </c>
      <c r="M29" s="62">
        <v>26326.744600000002</v>
      </c>
      <c r="N29" s="66">
        <v>33539.279399999999</v>
      </c>
      <c r="O29" s="62">
        <v>22562.099399999999</v>
      </c>
      <c r="P29" s="62">
        <v>82354.752900000007</v>
      </c>
      <c r="Q29" s="66">
        <v>104916.72100000001</v>
      </c>
      <c r="R29" s="62">
        <v>39964.724399999999</v>
      </c>
      <c r="S29" s="62">
        <v>145876.94399999999</v>
      </c>
      <c r="T29" s="66">
        <v>185841.66899999999</v>
      </c>
      <c r="U29" s="62">
        <v>13810.7556</v>
      </c>
      <c r="V29" s="62">
        <v>50410.954100000003</v>
      </c>
      <c r="W29" s="66">
        <v>64221.709699999999</v>
      </c>
      <c r="X29" s="62">
        <v>43202.232499999998</v>
      </c>
      <c r="Y29" s="62">
        <v>157694.467</v>
      </c>
      <c r="Z29" s="66">
        <v>200896.69899999999</v>
      </c>
      <c r="AA29" s="62">
        <v>686470.5</v>
      </c>
      <c r="AB29" s="22">
        <v>21186.176415445756</v>
      </c>
      <c r="AC29">
        <v>77332.460284034722</v>
      </c>
      <c r="AD29" s="23">
        <v>98518.63669948047</v>
      </c>
      <c r="AE29">
        <v>7321.3508068143319</v>
      </c>
      <c r="AF29">
        <v>26723.938160012625</v>
      </c>
      <c r="AG29" s="23">
        <v>34045.288966826964</v>
      </c>
      <c r="AH29">
        <v>22902.495486869841</v>
      </c>
      <c r="AI29">
        <v>83597.245123869259</v>
      </c>
      <c r="AJ29" s="23">
        <v>106499.6071385351</v>
      </c>
      <c r="AK29">
        <v>40567.675160409737</v>
      </c>
      <c r="AL29">
        <v>148077.80035553957</v>
      </c>
      <c r="AM29" s="23">
        <v>188645.47551594928</v>
      </c>
      <c r="AN29">
        <v>14019.119476472328</v>
      </c>
      <c r="AO29">
        <v>51171.507880555786</v>
      </c>
      <c r="AP29" s="23">
        <v>65190.627357028112</v>
      </c>
      <c r="AQ29">
        <v>43854.027767657884</v>
      </c>
      <c r="AR29">
        <v>160073.61469135416</v>
      </c>
      <c r="AS29" s="23">
        <v>203927.64245901204</v>
      </c>
      <c r="AT29">
        <v>696827.33152571355</v>
      </c>
    </row>
    <row r="30" spans="1:46">
      <c r="A30" s="48" t="s">
        <v>153</v>
      </c>
      <c r="B30" s="48" t="s">
        <v>153</v>
      </c>
      <c r="C30" s="49">
        <v>160</v>
      </c>
      <c r="D30" s="50">
        <v>0.96299999999999997</v>
      </c>
      <c r="E30" s="49">
        <v>179.30157468856899</v>
      </c>
      <c r="F30" s="49">
        <v>0.77447986075917097</v>
      </c>
      <c r="G30" s="49">
        <v>258.15435741768999</v>
      </c>
      <c r="H30" s="49">
        <v>0.80519558280719705</v>
      </c>
      <c r="I30" s="61">
        <v>221210.215</v>
      </c>
      <c r="J30" s="62">
        <v>315618.163</v>
      </c>
      <c r="K30" s="66">
        <v>536828.24899999995</v>
      </c>
      <c r="L30" s="62">
        <v>115234.083</v>
      </c>
      <c r="M30" s="62">
        <v>164413.726</v>
      </c>
      <c r="N30" s="66">
        <v>279647.80900000001</v>
      </c>
      <c r="O30" s="62">
        <v>117637.53</v>
      </c>
      <c r="P30" s="62">
        <v>167842.783</v>
      </c>
      <c r="Q30" s="66">
        <v>285480.44199999998</v>
      </c>
      <c r="R30" s="62">
        <v>196658.62</v>
      </c>
      <c r="S30" s="62">
        <v>280588.45699999999</v>
      </c>
      <c r="T30" s="66">
        <v>477247.07699999999</v>
      </c>
      <c r="U30" s="62">
        <v>102444.57799999999</v>
      </c>
      <c r="V30" s="62">
        <v>146165.86199999999</v>
      </c>
      <c r="W30" s="66">
        <v>248610.44</v>
      </c>
      <c r="X30" s="62">
        <v>104581.277</v>
      </c>
      <c r="Y30" s="62">
        <v>149214.32800000001</v>
      </c>
      <c r="Z30" s="66">
        <v>253795.73300000001</v>
      </c>
      <c r="AA30" s="62">
        <v>2081609.71</v>
      </c>
      <c r="AB30" s="22">
        <v>229983.36967713121</v>
      </c>
      <c r="AC30">
        <v>328135.5181656463</v>
      </c>
      <c r="AD30" s="23">
        <v>558118.75380311895</v>
      </c>
      <c r="AE30">
        <v>119804.24474107541</v>
      </c>
      <c r="AF30">
        <v>170934.34271377718</v>
      </c>
      <c r="AG30" s="23">
        <v>290738.58745485259</v>
      </c>
      <c r="AH30">
        <v>122303.01205676692</v>
      </c>
      <c r="AI30">
        <v>174499.39551366167</v>
      </c>
      <c r="AJ30" s="23">
        <v>296802.54161008721</v>
      </c>
      <c r="AK30">
        <v>204458.06344955633</v>
      </c>
      <c r="AL30">
        <v>291716.54080402572</v>
      </c>
      <c r="AM30" s="23">
        <v>496174.60425358196</v>
      </c>
      <c r="AN30">
        <v>106507.51060758124</v>
      </c>
      <c r="AO30">
        <v>151962.77155397512</v>
      </c>
      <c r="AP30" s="23">
        <v>258470.28216155642</v>
      </c>
      <c r="AQ30">
        <v>108728.94986962156</v>
      </c>
      <c r="AR30">
        <v>155132.13928166131</v>
      </c>
      <c r="AS30" s="23">
        <v>263861.2231909415</v>
      </c>
      <c r="AT30">
        <v>2164165.9522622414</v>
      </c>
    </row>
    <row r="31" spans="1:46">
      <c r="A31" s="48" t="s">
        <v>161</v>
      </c>
      <c r="B31" s="48" t="s">
        <v>170</v>
      </c>
      <c r="C31" s="49">
        <v>92</v>
      </c>
      <c r="D31" s="50">
        <v>0.96199999999999997</v>
      </c>
      <c r="E31" s="49">
        <v>184.298422373953</v>
      </c>
      <c r="F31" s="49">
        <v>0.78883163056746997</v>
      </c>
      <c r="G31" s="49">
        <v>47.7293372727814</v>
      </c>
      <c r="H31" s="49">
        <v>0.82003771725918395</v>
      </c>
      <c r="I31" s="61">
        <v>56110.620699999999</v>
      </c>
      <c r="J31" s="62">
        <v>-999</v>
      </c>
      <c r="K31" s="66">
        <v>56110.620699999999</v>
      </c>
      <c r="L31" s="62">
        <v>89983.342499999999</v>
      </c>
      <c r="M31" s="62">
        <v>-999</v>
      </c>
      <c r="N31" s="66">
        <v>89983.342499999999</v>
      </c>
      <c r="O31" s="62">
        <v>312822.72499999998</v>
      </c>
      <c r="P31" s="62">
        <v>-999</v>
      </c>
      <c r="Q31" s="66">
        <v>312822.72499999998</v>
      </c>
      <c r="R31" s="62">
        <v>53531.845399999998</v>
      </c>
      <c r="S31" s="62">
        <v>-999</v>
      </c>
      <c r="T31" s="66">
        <v>53531.845399999998</v>
      </c>
      <c r="U31" s="62">
        <v>85847.820999999996</v>
      </c>
      <c r="V31" s="62">
        <v>-999</v>
      </c>
      <c r="W31" s="66">
        <v>85847.820999999996</v>
      </c>
      <c r="X31" s="62">
        <v>298445.77</v>
      </c>
      <c r="Y31" s="62">
        <v>-999</v>
      </c>
      <c r="Z31" s="66">
        <v>298445.77</v>
      </c>
      <c r="AA31" s="62">
        <v>896742.08499999996</v>
      </c>
      <c r="AB31" s="22">
        <v>58330.35030697113</v>
      </c>
      <c r="AC31">
        <v>-999</v>
      </c>
      <c r="AD31" s="23">
        <v>58330.35030697113</v>
      </c>
      <c r="AE31">
        <v>93543.072942644998</v>
      </c>
      <c r="AF31">
        <v>-999</v>
      </c>
      <c r="AG31" s="23">
        <v>93543.072942644998</v>
      </c>
      <c r="AH31">
        <v>325197.95513794431</v>
      </c>
      <c r="AI31">
        <v>-999</v>
      </c>
      <c r="AJ31" s="23">
        <v>325197.95513794431</v>
      </c>
      <c r="AK31">
        <v>55649.558960156988</v>
      </c>
      <c r="AL31">
        <v>-999</v>
      </c>
      <c r="AM31" s="23">
        <v>55649.558960156988</v>
      </c>
      <c r="AN31">
        <v>89243.950736451996</v>
      </c>
      <c r="AO31">
        <v>-999</v>
      </c>
      <c r="AP31" s="23">
        <v>89243.950736451996</v>
      </c>
      <c r="AQ31">
        <v>310252.24988208327</v>
      </c>
      <c r="AR31">
        <v>-999</v>
      </c>
      <c r="AS31" s="23">
        <v>310252.24988208327</v>
      </c>
      <c r="AT31">
        <v>932217.09701313102</v>
      </c>
    </row>
    <row r="32" spans="1:46">
      <c r="A32" s="48" t="s">
        <v>138</v>
      </c>
      <c r="B32" s="48" t="s">
        <v>171</v>
      </c>
      <c r="C32" s="49">
        <v>32</v>
      </c>
      <c r="D32" s="50">
        <v>0.96099999999999997</v>
      </c>
      <c r="E32" s="49">
        <v>145.908945368845</v>
      </c>
      <c r="F32" s="49">
        <v>0.79219987567105998</v>
      </c>
      <c r="G32" s="49">
        <v>201.44708363456601</v>
      </c>
      <c r="H32" s="49">
        <v>0.80874551360880398</v>
      </c>
      <c r="I32" s="61">
        <v>38319.555399999997</v>
      </c>
      <c r="J32" s="62">
        <v>-999</v>
      </c>
      <c r="K32" s="66">
        <v>38319.555399999997</v>
      </c>
      <c r="L32" s="62">
        <v>99805.29</v>
      </c>
      <c r="M32" s="62">
        <v>-999</v>
      </c>
      <c r="N32" s="66">
        <v>99805.29</v>
      </c>
      <c r="O32" s="62">
        <v>108704.697</v>
      </c>
      <c r="P32" s="62">
        <v>-999</v>
      </c>
      <c r="Q32" s="66">
        <v>108704.697</v>
      </c>
      <c r="R32" s="62">
        <v>18629.503199999999</v>
      </c>
      <c r="S32" s="62">
        <v>-999</v>
      </c>
      <c r="T32" s="66">
        <v>18629.503199999999</v>
      </c>
      <c r="U32" s="62">
        <v>48521.504699999998</v>
      </c>
      <c r="V32" s="62">
        <v>-999</v>
      </c>
      <c r="W32" s="66">
        <v>48521.504699999998</v>
      </c>
      <c r="X32" s="62">
        <v>52848.101799999997</v>
      </c>
      <c r="Y32" s="62">
        <v>-999</v>
      </c>
      <c r="Z32" s="66">
        <v>52848.101799999997</v>
      </c>
      <c r="AA32" s="62">
        <v>366828.69199999998</v>
      </c>
      <c r="AB32" s="22">
        <v>39119.885630145625</v>
      </c>
      <c r="AC32">
        <v>-999</v>
      </c>
      <c r="AD32" s="23">
        <v>39119.885630145625</v>
      </c>
      <c r="AE32">
        <v>101889.79200938325</v>
      </c>
      <c r="AF32">
        <v>-999</v>
      </c>
      <c r="AG32" s="23">
        <v>101889.79200938325</v>
      </c>
      <c r="AH32">
        <v>110975.06946894275</v>
      </c>
      <c r="AI32">
        <v>-999</v>
      </c>
      <c r="AJ32" s="23">
        <v>110975.06946894275</v>
      </c>
      <c r="AK32">
        <v>19018.593131969086</v>
      </c>
      <c r="AL32">
        <v>-999</v>
      </c>
      <c r="AM32" s="23">
        <v>19018.593131969086</v>
      </c>
      <c r="AN32">
        <v>49534.909625396591</v>
      </c>
      <c r="AO32">
        <v>-999</v>
      </c>
      <c r="AP32" s="23">
        <v>49534.909625396591</v>
      </c>
      <c r="AQ32">
        <v>53951.870680673142</v>
      </c>
      <c r="AR32">
        <v>-999</v>
      </c>
      <c r="AS32" s="23">
        <v>53951.870680673142</v>
      </c>
      <c r="AT32">
        <v>374490.16093569342</v>
      </c>
    </row>
    <row r="33" spans="1:46">
      <c r="A33" s="48" t="s">
        <v>146</v>
      </c>
      <c r="B33" s="48" t="s">
        <v>146</v>
      </c>
      <c r="C33" s="49">
        <v>53</v>
      </c>
      <c r="D33" s="50">
        <v>0.95</v>
      </c>
      <c r="E33" s="49">
        <v>169.079781344662</v>
      </c>
      <c r="F33" s="49">
        <v>0.78483331238168397</v>
      </c>
      <c r="G33" s="49">
        <v>83.375213450907395</v>
      </c>
      <c r="H33" s="49">
        <v>0.81752078277456297</v>
      </c>
      <c r="I33" s="61">
        <v>116697.349</v>
      </c>
      <c r="J33" s="62">
        <v>151313.715</v>
      </c>
      <c r="K33" s="66">
        <v>268011.06400000001</v>
      </c>
      <c r="L33" s="62">
        <v>25564.282200000001</v>
      </c>
      <c r="M33" s="62">
        <v>33147.468500000003</v>
      </c>
      <c r="N33" s="66">
        <v>58711.750699999997</v>
      </c>
      <c r="O33" s="62">
        <v>121046.164</v>
      </c>
      <c r="P33" s="62">
        <v>156952.568</v>
      </c>
      <c r="Q33" s="66">
        <v>277998.73200000002</v>
      </c>
      <c r="R33" s="62">
        <v>133465.35999999999</v>
      </c>
      <c r="S33" s="62">
        <v>173055.701</v>
      </c>
      <c r="T33" s="66">
        <v>306521.06099999999</v>
      </c>
      <c r="U33" s="62">
        <v>29237.5065</v>
      </c>
      <c r="V33" s="62">
        <v>37910.313600000001</v>
      </c>
      <c r="W33" s="66">
        <v>67147.820099999997</v>
      </c>
      <c r="X33" s="62">
        <v>138439.07399999999</v>
      </c>
      <c r="Y33" s="62">
        <v>179504.715</v>
      </c>
      <c r="Z33" s="66">
        <v>317943.78899999999</v>
      </c>
      <c r="AA33" s="62">
        <v>1296334.24</v>
      </c>
      <c r="AB33" s="22">
        <v>121557.6688797619</v>
      </c>
      <c r="AC33">
        <v>157615.76987554261</v>
      </c>
      <c r="AD33" s="23">
        <v>279173.43875530449</v>
      </c>
      <c r="AE33">
        <v>26629.00727234592</v>
      </c>
      <c r="AF33">
        <v>34528.025211230277</v>
      </c>
      <c r="AG33" s="23">
        <v>61157.032483576193</v>
      </c>
      <c r="AH33">
        <v>126087.6077363434</v>
      </c>
      <c r="AI33">
        <v>163489.47536884484</v>
      </c>
      <c r="AJ33" s="23">
        <v>289577.08310518827</v>
      </c>
      <c r="AK33">
        <v>139024.04942023661</v>
      </c>
      <c r="AL33">
        <v>180263.28669580209</v>
      </c>
      <c r="AM33" s="23">
        <v>319287.33611603873</v>
      </c>
      <c r="AN33">
        <v>30455.217419338336</v>
      </c>
      <c r="AO33">
        <v>39489.237763554956</v>
      </c>
      <c r="AP33" s="23">
        <v>69944.455182893289</v>
      </c>
      <c r="AQ33">
        <v>144204.91351719038</v>
      </c>
      <c r="AR33">
        <v>186980.89505666614</v>
      </c>
      <c r="AS33" s="23">
        <v>331185.80857385648</v>
      </c>
      <c r="AT33">
        <v>1350325.1814351405</v>
      </c>
    </row>
    <row r="34" spans="1:46">
      <c r="A34" s="48" t="s">
        <v>138</v>
      </c>
      <c r="B34" s="48" t="s">
        <v>172</v>
      </c>
      <c r="C34" s="49">
        <v>57</v>
      </c>
      <c r="D34" s="50">
        <v>0.94799999999999995</v>
      </c>
      <c r="E34" s="49">
        <v>205.07343473154</v>
      </c>
      <c r="F34" s="49">
        <v>0.78561940269787101</v>
      </c>
      <c r="G34" s="49">
        <v>40.746283225278397</v>
      </c>
      <c r="H34" s="49">
        <v>0.81749830499683995</v>
      </c>
      <c r="I34" s="61">
        <v>243420.02799999999</v>
      </c>
      <c r="J34" s="62">
        <v>-999</v>
      </c>
      <c r="K34" s="66">
        <v>243420.02799999999</v>
      </c>
      <c r="L34" s="62">
        <v>124338.186</v>
      </c>
      <c r="M34" s="62">
        <v>-999</v>
      </c>
      <c r="N34" s="66">
        <v>124338.186</v>
      </c>
      <c r="O34" s="62">
        <v>373861.49400000001</v>
      </c>
      <c r="P34" s="62">
        <v>-999</v>
      </c>
      <c r="Q34" s="66">
        <v>373861.49400000001</v>
      </c>
      <c r="R34" s="62">
        <v>116577.52</v>
      </c>
      <c r="S34" s="62">
        <v>-999</v>
      </c>
      <c r="T34" s="66">
        <v>116577.52</v>
      </c>
      <c r="U34" s="62">
        <v>59547.394699999997</v>
      </c>
      <c r="V34" s="62">
        <v>-999</v>
      </c>
      <c r="W34" s="66">
        <v>59547.394699999997</v>
      </c>
      <c r="X34" s="62">
        <v>179047.997</v>
      </c>
      <c r="Y34" s="62">
        <v>-999</v>
      </c>
      <c r="Z34" s="66">
        <v>179047.997</v>
      </c>
      <c r="AA34" s="62">
        <v>1096792.6399999999</v>
      </c>
      <c r="AB34" s="22">
        <v>253297.53741771285</v>
      </c>
      <c r="AC34">
        <v>-999</v>
      </c>
      <c r="AD34" s="23">
        <v>253297.53741771285</v>
      </c>
      <c r="AE34">
        <v>129383.58659886253</v>
      </c>
      <c r="AF34">
        <v>-999</v>
      </c>
      <c r="AG34" s="23">
        <v>129383.58659886253</v>
      </c>
      <c r="AH34">
        <v>389032.06357125321</v>
      </c>
      <c r="AI34">
        <v>-999</v>
      </c>
      <c r="AJ34" s="23">
        <v>389032.06357125321</v>
      </c>
      <c r="AK34">
        <v>121308.00795580655</v>
      </c>
      <c r="AL34">
        <v>-999</v>
      </c>
      <c r="AM34" s="23">
        <v>121308.00795580655</v>
      </c>
      <c r="AN34">
        <v>61963.711749271657</v>
      </c>
      <c r="AO34">
        <v>-999</v>
      </c>
      <c r="AP34" s="23">
        <v>61963.711749271657</v>
      </c>
      <c r="AQ34">
        <v>186313.41529920275</v>
      </c>
      <c r="AR34">
        <v>-999</v>
      </c>
      <c r="AS34" s="23">
        <v>186313.41529920275</v>
      </c>
      <c r="AT34">
        <v>1141298.3498096443</v>
      </c>
    </row>
    <row r="35" spans="1:46">
      <c r="A35" s="48" t="s">
        <v>142</v>
      </c>
      <c r="B35" s="48" t="s">
        <v>173</v>
      </c>
      <c r="C35" s="49">
        <v>68</v>
      </c>
      <c r="D35" s="50">
        <v>0.94099999999999995</v>
      </c>
      <c r="E35" s="49">
        <v>132.62983946289299</v>
      </c>
      <c r="F35" s="49">
        <v>0.78948545040505402</v>
      </c>
      <c r="G35" s="49">
        <v>229.78713112990701</v>
      </c>
      <c r="H35" s="49">
        <v>0.80718853396245105</v>
      </c>
      <c r="I35" s="61">
        <v>1146953.1100000001</v>
      </c>
      <c r="J35" s="62">
        <v>247190.66699999999</v>
      </c>
      <c r="K35" s="66">
        <v>1394143.78</v>
      </c>
      <c r="L35" s="62">
        <v>722865.57400000002</v>
      </c>
      <c r="M35" s="62">
        <v>155791.55600000001</v>
      </c>
      <c r="N35" s="66">
        <v>878657.13</v>
      </c>
      <c r="O35" s="62">
        <v>1718423.67</v>
      </c>
      <c r="P35" s="62">
        <v>370353.614</v>
      </c>
      <c r="Q35" s="66">
        <v>2088777.28</v>
      </c>
      <c r="R35" s="62">
        <v>1008526.4</v>
      </c>
      <c r="S35" s="62">
        <v>217357.06099999999</v>
      </c>
      <c r="T35" s="66">
        <v>1225883.46</v>
      </c>
      <c r="U35" s="62">
        <v>635622.36600000004</v>
      </c>
      <c r="V35" s="62">
        <v>136988.927</v>
      </c>
      <c r="W35" s="66">
        <v>772611.29299999995</v>
      </c>
      <c r="X35" s="62">
        <v>1511025.82</v>
      </c>
      <c r="Y35" s="62">
        <v>325655.38099999999</v>
      </c>
      <c r="Z35" s="66">
        <v>1836681.2</v>
      </c>
      <c r="AA35" s="62">
        <v>8196754.1600000001</v>
      </c>
      <c r="AB35" s="22">
        <v>1172671.8971088578</v>
      </c>
      <c r="AC35">
        <v>252733.56420658881</v>
      </c>
      <c r="AD35" s="23">
        <v>1425405.4613154468</v>
      </c>
      <c r="AE35">
        <v>739074.80188537354</v>
      </c>
      <c r="AF35">
        <v>159284.95871512048</v>
      </c>
      <c r="AG35" s="23">
        <v>898359.76060049387</v>
      </c>
      <c r="AH35">
        <v>1756956.8674622383</v>
      </c>
      <c r="AI35">
        <v>378658.26433121198</v>
      </c>
      <c r="AJ35" s="23">
        <v>2135615.1317934506</v>
      </c>
      <c r="AK35">
        <v>1031141.1656514506</v>
      </c>
      <c r="AL35">
        <v>222230.9826496483</v>
      </c>
      <c r="AM35" s="23">
        <v>1253372.148301099</v>
      </c>
      <c r="AN35">
        <v>649875.28950318857</v>
      </c>
      <c r="AO35">
        <v>140060.70809975863</v>
      </c>
      <c r="AP35" s="23">
        <v>789935.99760294717</v>
      </c>
      <c r="AQ35">
        <v>1544908.4168070368</v>
      </c>
      <c r="AR35">
        <v>332957.73745037033</v>
      </c>
      <c r="AS35" s="23">
        <v>1877866.1542574069</v>
      </c>
      <c r="AT35">
        <v>8380554.6673079869</v>
      </c>
    </row>
    <row r="36" spans="1:46">
      <c r="A36" s="48" t="s">
        <v>138</v>
      </c>
      <c r="B36" s="48" t="s">
        <v>174</v>
      </c>
      <c r="C36" s="49">
        <v>120</v>
      </c>
      <c r="D36" s="50">
        <v>0.93400000000000005</v>
      </c>
      <c r="E36" s="49">
        <v>202.71166713903901</v>
      </c>
      <c r="F36" s="49">
        <v>0.77773719898955695</v>
      </c>
      <c r="G36" s="49">
        <v>91.335602804920796</v>
      </c>
      <c r="H36" s="49">
        <v>0.81695863563785898</v>
      </c>
      <c r="I36" s="61">
        <v>422646.83</v>
      </c>
      <c r="J36" s="62">
        <v>-999</v>
      </c>
      <c r="K36" s="66">
        <v>422646.83</v>
      </c>
      <c r="L36" s="62">
        <v>286609.78999999998</v>
      </c>
      <c r="M36" s="62">
        <v>-999</v>
      </c>
      <c r="N36" s="66">
        <v>286609.78999999998</v>
      </c>
      <c r="O36" s="62">
        <v>323891.85700000002</v>
      </c>
      <c r="P36" s="62">
        <v>-999</v>
      </c>
      <c r="Q36" s="66">
        <v>323891.85700000002</v>
      </c>
      <c r="R36" s="62">
        <v>393366.31699999998</v>
      </c>
      <c r="S36" s="62">
        <v>-999</v>
      </c>
      <c r="T36" s="66">
        <v>393366.31699999998</v>
      </c>
      <c r="U36" s="62">
        <v>266753.69300000003</v>
      </c>
      <c r="V36" s="62">
        <v>-999</v>
      </c>
      <c r="W36" s="66">
        <v>266753.69300000003</v>
      </c>
      <c r="X36" s="62">
        <v>301452.859</v>
      </c>
      <c r="Y36" s="62">
        <v>-999</v>
      </c>
      <c r="Z36" s="66">
        <v>301452.859</v>
      </c>
      <c r="AA36" s="62">
        <v>1994721.35</v>
      </c>
      <c r="AB36" s="22">
        <v>443960.99085673119</v>
      </c>
      <c r="AC36">
        <v>-999</v>
      </c>
      <c r="AD36" s="23">
        <v>443960.99085673119</v>
      </c>
      <c r="AE36">
        <v>301063.57690945896</v>
      </c>
      <c r="AF36">
        <v>-999</v>
      </c>
      <c r="AG36" s="23">
        <v>301063.57690945896</v>
      </c>
      <c r="AH36">
        <v>340225.7856866502</v>
      </c>
      <c r="AI36">
        <v>-999</v>
      </c>
      <c r="AJ36" s="23">
        <v>340225.7856866502</v>
      </c>
      <c r="AK36">
        <v>413203.85632217192</v>
      </c>
      <c r="AL36">
        <v>-999</v>
      </c>
      <c r="AM36" s="23">
        <v>413203.85632217192</v>
      </c>
      <c r="AN36">
        <v>280206.13283238391</v>
      </c>
      <c r="AO36">
        <v>-999</v>
      </c>
      <c r="AP36" s="23">
        <v>280206.13283238391</v>
      </c>
      <c r="AQ36">
        <v>316655.18478643533</v>
      </c>
      <c r="AR36">
        <v>-999</v>
      </c>
      <c r="AS36" s="23">
        <v>316655.18478643533</v>
      </c>
      <c r="AT36">
        <v>2095315.5273938316</v>
      </c>
    </row>
    <row r="37" spans="1:46">
      <c r="A37" s="48" t="s">
        <v>138</v>
      </c>
      <c r="B37" s="48" t="s">
        <v>175</v>
      </c>
      <c r="C37" s="49">
        <v>163</v>
      </c>
      <c r="D37" s="50">
        <v>0.93400000000000005</v>
      </c>
      <c r="E37" s="49">
        <v>208.428348802221</v>
      </c>
      <c r="F37" s="49">
        <v>0.76616114072085695</v>
      </c>
      <c r="G37" s="49">
        <v>83.775428600246201</v>
      </c>
      <c r="H37" s="49">
        <v>0.81757547197496205</v>
      </c>
      <c r="I37" s="61">
        <v>188558.34899999999</v>
      </c>
      <c r="J37" s="62">
        <v>-999</v>
      </c>
      <c r="K37" s="66">
        <v>188558.34899999999</v>
      </c>
      <c r="L37" s="62">
        <v>31226.916300000001</v>
      </c>
      <c r="M37" s="62">
        <v>-999</v>
      </c>
      <c r="N37" s="66">
        <v>31226.916300000001</v>
      </c>
      <c r="O37" s="62">
        <v>492605.79499999998</v>
      </c>
      <c r="P37" s="62">
        <v>-999</v>
      </c>
      <c r="Q37" s="66">
        <v>492605.79499999998</v>
      </c>
      <c r="R37" s="62">
        <v>484879.95899999997</v>
      </c>
      <c r="S37" s="62">
        <v>-999</v>
      </c>
      <c r="T37" s="66">
        <v>484879.95899999997</v>
      </c>
      <c r="U37" s="62">
        <v>80300.481499999994</v>
      </c>
      <c r="V37" s="62">
        <v>-999</v>
      </c>
      <c r="W37" s="66">
        <v>80300.481499999994</v>
      </c>
      <c r="X37" s="62">
        <v>1266741.68</v>
      </c>
      <c r="Y37" s="62">
        <v>-999</v>
      </c>
      <c r="Z37" s="66">
        <v>1266741.68</v>
      </c>
      <c r="AA37" s="62">
        <v>2544313.31</v>
      </c>
      <c r="AB37" s="22">
        <v>201211.82468181569</v>
      </c>
      <c r="AC37">
        <v>-999</v>
      </c>
      <c r="AD37" s="23">
        <v>201211.82468181569</v>
      </c>
      <c r="AE37">
        <v>33322.44290108516</v>
      </c>
      <c r="AF37">
        <v>-999</v>
      </c>
      <c r="AG37" s="23">
        <v>33322.44290108516</v>
      </c>
      <c r="AH37">
        <v>525662.80590196315</v>
      </c>
      <c r="AI37">
        <v>-999</v>
      </c>
      <c r="AJ37" s="23">
        <v>525662.80590196315</v>
      </c>
      <c r="AK37">
        <v>517418.5169312061</v>
      </c>
      <c r="AL37">
        <v>-999</v>
      </c>
      <c r="AM37" s="23">
        <v>517418.5169312061</v>
      </c>
      <c r="AN37">
        <v>85689.159299489125</v>
      </c>
      <c r="AO37">
        <v>-999</v>
      </c>
      <c r="AP37" s="23">
        <v>85689.159299489125</v>
      </c>
      <c r="AQ37">
        <v>1351748.1824009093</v>
      </c>
      <c r="AR37">
        <v>-999</v>
      </c>
      <c r="AS37" s="23">
        <v>1351748.1824009093</v>
      </c>
      <c r="AT37">
        <v>2715053.0682169879</v>
      </c>
    </row>
    <row r="38" spans="1:46">
      <c r="A38" s="48" t="s">
        <v>153</v>
      </c>
      <c r="B38" s="48" t="s">
        <v>176</v>
      </c>
      <c r="C38" s="49">
        <v>152</v>
      </c>
      <c r="D38" s="50">
        <v>0.93300000000000005</v>
      </c>
      <c r="E38" s="49">
        <v>165.91240826562799</v>
      </c>
      <c r="F38" s="49">
        <v>0.77534697943316599</v>
      </c>
      <c r="G38" s="49">
        <v>246.33722457022199</v>
      </c>
      <c r="H38" s="49">
        <v>0.80599497502033202</v>
      </c>
      <c r="I38" s="61">
        <v>386452.71299999999</v>
      </c>
      <c r="J38" s="62">
        <v>-999</v>
      </c>
      <c r="K38" s="66">
        <v>386452.71299999999</v>
      </c>
      <c r="L38" s="62">
        <v>356942.35100000002</v>
      </c>
      <c r="M38" s="62">
        <v>-999</v>
      </c>
      <c r="N38" s="66">
        <v>356942.35100000002</v>
      </c>
      <c r="O38" s="62">
        <v>857351.03500000003</v>
      </c>
      <c r="P38" s="62">
        <v>-999</v>
      </c>
      <c r="Q38" s="66">
        <v>857351.03500000003</v>
      </c>
      <c r="R38" s="62">
        <v>107816.84699999999</v>
      </c>
      <c r="S38" s="62">
        <v>-999</v>
      </c>
      <c r="T38" s="66">
        <v>107816.84699999999</v>
      </c>
      <c r="U38" s="62">
        <v>99583.678400000004</v>
      </c>
      <c r="V38" s="62">
        <v>-999</v>
      </c>
      <c r="W38" s="66">
        <v>99583.678400000004</v>
      </c>
      <c r="X38" s="62">
        <v>239193.11799999999</v>
      </c>
      <c r="Y38" s="62">
        <v>-999</v>
      </c>
      <c r="Z38" s="66">
        <v>239193.11799999999</v>
      </c>
      <c r="AA38" s="62">
        <v>2047339.55</v>
      </c>
      <c r="AB38" s="22">
        <v>401728.4558516703</v>
      </c>
      <c r="AC38">
        <v>-999</v>
      </c>
      <c r="AD38" s="23">
        <v>401728.4558516703</v>
      </c>
      <c r="AE38">
        <v>371051.60488321737</v>
      </c>
      <c r="AF38">
        <v>-999</v>
      </c>
      <c r="AG38" s="23">
        <v>371051.60488321737</v>
      </c>
      <c r="AH38">
        <v>891240.49511686515</v>
      </c>
      <c r="AI38">
        <v>-999</v>
      </c>
      <c r="AJ38" s="23">
        <v>891240.49511686515</v>
      </c>
      <c r="AK38">
        <v>112078.64254835708</v>
      </c>
      <c r="AL38">
        <v>-999</v>
      </c>
      <c r="AM38" s="23">
        <v>112078.64254835708</v>
      </c>
      <c r="AN38">
        <v>103520.03230777627</v>
      </c>
      <c r="AO38">
        <v>-999</v>
      </c>
      <c r="AP38" s="23">
        <v>103520.03230777627</v>
      </c>
      <c r="AQ38">
        <v>248647.96807507137</v>
      </c>
      <c r="AR38">
        <v>-999</v>
      </c>
      <c r="AS38" s="23">
        <v>248647.96807507137</v>
      </c>
      <c r="AT38">
        <v>2128266.9975238596</v>
      </c>
    </row>
    <row r="39" spans="1:46">
      <c r="A39" s="48" t="s">
        <v>138</v>
      </c>
      <c r="B39" s="48" t="s">
        <v>177</v>
      </c>
      <c r="C39" s="49">
        <v>151</v>
      </c>
      <c r="D39" s="50">
        <v>0.93200000000000005</v>
      </c>
      <c r="E39" s="49">
        <v>259.25109538433401</v>
      </c>
      <c r="F39" s="49">
        <v>0.77874096362468304</v>
      </c>
      <c r="G39" s="49">
        <v>92.859851872984507</v>
      </c>
      <c r="H39" s="49">
        <v>0.81685129120114297</v>
      </c>
      <c r="I39" s="61">
        <v>145670.71</v>
      </c>
      <c r="J39" s="62">
        <v>186478.11600000001</v>
      </c>
      <c r="K39" s="66">
        <v>332148.95600000001</v>
      </c>
      <c r="L39" s="62">
        <v>72986.510599999994</v>
      </c>
      <c r="M39" s="62">
        <v>93432.539199999999</v>
      </c>
      <c r="N39" s="66">
        <v>166419.04999999999</v>
      </c>
      <c r="O39" s="62">
        <v>110027.21799999999</v>
      </c>
      <c r="P39" s="62">
        <v>140849.685</v>
      </c>
      <c r="Q39" s="66">
        <v>250877.03200000001</v>
      </c>
      <c r="R39" s="62">
        <v>217452.905</v>
      </c>
      <c r="S39" s="62">
        <v>278369.02600000001</v>
      </c>
      <c r="T39" s="66">
        <v>495821.93</v>
      </c>
      <c r="U39" s="62">
        <v>108952.019</v>
      </c>
      <c r="V39" s="62">
        <v>139473.212</v>
      </c>
      <c r="W39" s="66">
        <v>248425.36</v>
      </c>
      <c r="X39" s="62">
        <v>164245.446</v>
      </c>
      <c r="Y39" s="62">
        <v>210256.17300000001</v>
      </c>
      <c r="Z39" s="66">
        <v>374501.61900000001</v>
      </c>
      <c r="AA39" s="62">
        <v>1868193.79</v>
      </c>
      <c r="AB39" s="22">
        <v>152799.60027430247</v>
      </c>
      <c r="AC39">
        <v>195604.05396120806</v>
      </c>
      <c r="AD39" s="23">
        <v>348403.79021547682</v>
      </c>
      <c r="AE39">
        <v>76558.3527778391</v>
      </c>
      <c r="AF39">
        <v>98004.977080283832</v>
      </c>
      <c r="AG39" s="23">
        <v>174563.32985812295</v>
      </c>
      <c r="AH39">
        <v>115411.77256437864</v>
      </c>
      <c r="AI39">
        <v>147742.64130814359</v>
      </c>
      <c r="AJ39" s="23">
        <v>263154.5498524885</v>
      </c>
      <c r="AK39">
        <v>228094.69916535742</v>
      </c>
      <c r="AL39">
        <v>291991.95728243515</v>
      </c>
      <c r="AM39" s="23">
        <v>520086.6564477926</v>
      </c>
      <c r="AN39">
        <v>114283.95472401397</v>
      </c>
      <c r="AO39">
        <v>146298.80602613342</v>
      </c>
      <c r="AP39" s="23">
        <v>260582.89673011363</v>
      </c>
      <c r="AQ39">
        <v>172283.35376342866</v>
      </c>
      <c r="AR39">
        <v>220545.77133706649</v>
      </c>
      <c r="AS39" s="23">
        <v>392829.12510049512</v>
      </c>
      <c r="AT39">
        <v>1959620.1850285302</v>
      </c>
    </row>
    <row r="40" spans="1:46">
      <c r="A40" s="48" t="s">
        <v>178</v>
      </c>
      <c r="B40" s="48" t="s">
        <v>179</v>
      </c>
      <c r="C40" s="49">
        <v>161</v>
      </c>
      <c r="D40" s="50">
        <v>0.93</v>
      </c>
      <c r="E40" s="49">
        <v>205.39968775751399</v>
      </c>
      <c r="F40" s="49">
        <v>0.76623625140813401</v>
      </c>
      <c r="G40" s="49">
        <v>88.259875287884796</v>
      </c>
      <c r="H40" s="49">
        <v>0.81673207616133803</v>
      </c>
      <c r="I40" s="61">
        <v>2944245.92</v>
      </c>
      <c r="J40" s="62">
        <v>836381.42299999995</v>
      </c>
      <c r="K40" s="66">
        <v>3780627.34</v>
      </c>
      <c r="L40" s="62">
        <v>1727744.94</v>
      </c>
      <c r="M40" s="62">
        <v>490806.08299999998</v>
      </c>
      <c r="N40" s="66">
        <v>2218551.02</v>
      </c>
      <c r="O40" s="62">
        <v>4734520.2</v>
      </c>
      <c r="P40" s="62">
        <v>1344950.44</v>
      </c>
      <c r="Q40" s="66">
        <v>6079470.5199999996</v>
      </c>
      <c r="R40" s="62">
        <v>8433160.9600000009</v>
      </c>
      <c r="S40" s="62">
        <v>2395635.23</v>
      </c>
      <c r="T40" s="66">
        <v>10828796.199999999</v>
      </c>
      <c r="U40" s="62">
        <v>4948754.68</v>
      </c>
      <c r="V40" s="62">
        <v>1405808.7</v>
      </c>
      <c r="W40" s="66">
        <v>6354563.5099999998</v>
      </c>
      <c r="X40" s="62">
        <v>13561017.4</v>
      </c>
      <c r="Y40" s="62">
        <v>3852321.96</v>
      </c>
      <c r="Z40" s="66">
        <v>17413339.300000001</v>
      </c>
      <c r="AA40" s="62">
        <v>46675348</v>
      </c>
      <c r="AB40" s="22">
        <v>3138275.0142061668</v>
      </c>
      <c r="AC40">
        <v>891499.89295381994</v>
      </c>
      <c r="AD40" s="23">
        <v>4029774.9071599874</v>
      </c>
      <c r="AE40">
        <v>1841605.2599933709</v>
      </c>
      <c r="AF40">
        <v>523150.75159420038</v>
      </c>
      <c r="AG40" s="23">
        <v>2364756.0115875718</v>
      </c>
      <c r="AH40">
        <v>5046530.3726694547</v>
      </c>
      <c r="AI40">
        <v>1433584.1790423139</v>
      </c>
      <c r="AJ40" s="23">
        <v>6480114.4157516472</v>
      </c>
      <c r="AK40">
        <v>8988915.6885814164</v>
      </c>
      <c r="AL40">
        <v>2553510.262974456</v>
      </c>
      <c r="AM40" s="23">
        <v>11542425.951555872</v>
      </c>
      <c r="AN40">
        <v>5274883.145182576</v>
      </c>
      <c r="AO40">
        <v>1498453.0639703888</v>
      </c>
      <c r="AP40" s="23">
        <v>6773336.3451130847</v>
      </c>
      <c r="AQ40">
        <v>14454703.566380652</v>
      </c>
      <c r="AR40">
        <v>4106194.2841457012</v>
      </c>
      <c r="AS40" s="23">
        <v>18560897.850526351</v>
      </c>
      <c r="AT40">
        <v>49751305.549674578</v>
      </c>
    </row>
    <row r="41" spans="1:46">
      <c r="A41" s="48" t="s">
        <v>142</v>
      </c>
      <c r="B41" s="48" t="s">
        <v>180</v>
      </c>
      <c r="C41" s="49">
        <v>107</v>
      </c>
      <c r="D41" s="50">
        <v>0.92900000000000005</v>
      </c>
      <c r="E41" s="49">
        <v>10.6440634026509</v>
      </c>
      <c r="F41" s="49">
        <v>0.79652012990141596</v>
      </c>
      <c r="G41" s="49">
        <v>79.256147391679406</v>
      </c>
      <c r="H41" s="49">
        <v>0.81713550468896401</v>
      </c>
      <c r="I41" s="61">
        <v>7098.23326</v>
      </c>
      <c r="J41" s="62">
        <v>-999</v>
      </c>
      <c r="K41" s="66">
        <v>7098.23326</v>
      </c>
      <c r="L41" s="62">
        <v>7807.4864299999999</v>
      </c>
      <c r="M41" s="62">
        <v>-999</v>
      </c>
      <c r="N41" s="66">
        <v>7807.4864299999999</v>
      </c>
      <c r="O41" s="62">
        <v>15597.0725</v>
      </c>
      <c r="P41" s="62">
        <v>-999</v>
      </c>
      <c r="Q41" s="66">
        <v>15597.0725</v>
      </c>
      <c r="R41" s="62">
        <v>7886.7785199999998</v>
      </c>
      <c r="S41" s="62">
        <v>-999</v>
      </c>
      <c r="T41" s="66">
        <v>7886.7785199999998</v>
      </c>
      <c r="U41" s="62">
        <v>8674.9259899999997</v>
      </c>
      <c r="V41" s="62">
        <v>-999</v>
      </c>
      <c r="W41" s="66">
        <v>8674.9259899999997</v>
      </c>
      <c r="X41" s="62">
        <v>17330.095300000001</v>
      </c>
      <c r="Y41" s="62">
        <v>-999</v>
      </c>
      <c r="Z41" s="66">
        <v>17330.095300000001</v>
      </c>
      <c r="AA41" s="62">
        <v>64394.578699999998</v>
      </c>
      <c r="AB41" s="22">
        <v>7281.9483193569622</v>
      </c>
      <c r="AC41">
        <v>-999</v>
      </c>
      <c r="AD41" s="23">
        <v>7281.9483193569622</v>
      </c>
      <c r="AE41">
        <v>8009.5582339935499</v>
      </c>
      <c r="AF41">
        <v>-999</v>
      </c>
      <c r="AG41" s="23">
        <v>8009.5582339935499</v>
      </c>
      <c r="AH41">
        <v>16000.752785340632</v>
      </c>
      <c r="AI41">
        <v>-999</v>
      </c>
      <c r="AJ41" s="23">
        <v>16000.752785340632</v>
      </c>
      <c r="AK41">
        <v>8090.9025467534439</v>
      </c>
      <c r="AL41">
        <v>-999</v>
      </c>
      <c r="AM41" s="23">
        <v>8090.9025467534439</v>
      </c>
      <c r="AN41">
        <v>8899.4486923133354</v>
      </c>
      <c r="AO41">
        <v>-999</v>
      </c>
      <c r="AP41" s="23">
        <v>8899.4486923133354</v>
      </c>
      <c r="AQ41">
        <v>17778.629320076132</v>
      </c>
      <c r="AR41">
        <v>-999</v>
      </c>
      <c r="AS41" s="23">
        <v>17778.629320076132</v>
      </c>
      <c r="AT41">
        <v>66061.226295106171</v>
      </c>
    </row>
    <row r="42" spans="1:46">
      <c r="A42" s="48" t="s">
        <v>138</v>
      </c>
      <c r="B42" s="48" t="s">
        <v>181</v>
      </c>
      <c r="C42" s="49">
        <v>49</v>
      </c>
      <c r="D42" s="50">
        <v>0.92800000000000005</v>
      </c>
      <c r="E42" s="49">
        <v>109.824727134113</v>
      </c>
      <c r="F42" s="49">
        <v>0.78878282009009304</v>
      </c>
      <c r="G42" s="49">
        <v>130.16380350069599</v>
      </c>
      <c r="H42" s="49">
        <v>0.81423632702420001</v>
      </c>
      <c r="I42" s="61">
        <v>234147.579</v>
      </c>
      <c r="J42" s="62">
        <v>-999</v>
      </c>
      <c r="K42" s="66">
        <v>234147.579</v>
      </c>
      <c r="L42" s="62">
        <v>205488.152</v>
      </c>
      <c r="M42" s="62">
        <v>-999</v>
      </c>
      <c r="N42" s="66">
        <v>205488.152</v>
      </c>
      <c r="O42" s="62">
        <v>135601.07399999999</v>
      </c>
      <c r="P42" s="62">
        <v>-999</v>
      </c>
      <c r="Q42" s="66">
        <v>135601.07399999999</v>
      </c>
      <c r="R42" s="62">
        <v>133920.076</v>
      </c>
      <c r="S42" s="62">
        <v>-999</v>
      </c>
      <c r="T42" s="66">
        <v>133920.076</v>
      </c>
      <c r="U42" s="62">
        <v>117528.44100000001</v>
      </c>
      <c r="V42" s="62">
        <v>-999</v>
      </c>
      <c r="W42" s="66">
        <v>117528.44100000001</v>
      </c>
      <c r="X42" s="62">
        <v>77556.746199999994</v>
      </c>
      <c r="Y42" s="62">
        <v>-999</v>
      </c>
      <c r="Z42" s="66">
        <v>77556.746199999994</v>
      </c>
      <c r="AA42" s="62">
        <v>904242.12</v>
      </c>
      <c r="AB42" s="22">
        <v>241703.36836680345</v>
      </c>
      <c r="AC42">
        <v>-999</v>
      </c>
      <c r="AD42" s="23">
        <v>241703.36836680345</v>
      </c>
      <c r="AE42">
        <v>212119.12038439696</v>
      </c>
      <c r="AF42">
        <v>-999</v>
      </c>
      <c r="AG42" s="23">
        <v>212119.12038439696</v>
      </c>
      <c r="AH42">
        <v>139976.83200549436</v>
      </c>
      <c r="AI42">
        <v>-999</v>
      </c>
      <c r="AJ42" s="23">
        <v>139976.83200549436</v>
      </c>
      <c r="AK42">
        <v>138241.58930327973</v>
      </c>
      <c r="AL42">
        <v>-999</v>
      </c>
      <c r="AM42" s="23">
        <v>138241.58930327973</v>
      </c>
      <c r="AN42">
        <v>121321.00755915692</v>
      </c>
      <c r="AO42">
        <v>-999</v>
      </c>
      <c r="AP42" s="23">
        <v>121321.00755915692</v>
      </c>
      <c r="AQ42">
        <v>80059.451809331906</v>
      </c>
      <c r="AR42">
        <v>-999</v>
      </c>
      <c r="AS42" s="23">
        <v>80059.451809331906</v>
      </c>
      <c r="AT42">
        <v>933421.42364632594</v>
      </c>
    </row>
    <row r="43" spans="1:46">
      <c r="A43" s="48" t="s">
        <v>161</v>
      </c>
      <c r="B43" s="48" t="s">
        <v>182</v>
      </c>
      <c r="C43" s="49">
        <v>91</v>
      </c>
      <c r="D43" s="50">
        <v>0.91300000000000003</v>
      </c>
      <c r="E43" s="49">
        <v>98.493701282543697</v>
      </c>
      <c r="F43" s="49">
        <v>0.79352221837599801</v>
      </c>
      <c r="G43" s="49">
        <v>93.707202112668199</v>
      </c>
      <c r="H43" s="49">
        <v>0.81679658526712795</v>
      </c>
      <c r="I43" s="61">
        <v>1550669.34</v>
      </c>
      <c r="J43" s="62">
        <v>-999</v>
      </c>
      <c r="K43" s="66">
        <v>1550669.34</v>
      </c>
      <c r="L43" s="62">
        <v>711805.21299999999</v>
      </c>
      <c r="M43" s="62">
        <v>-999</v>
      </c>
      <c r="N43" s="66">
        <v>711805.21299999999</v>
      </c>
      <c r="O43" s="62">
        <v>915481.5</v>
      </c>
      <c r="P43" s="62">
        <v>-999</v>
      </c>
      <c r="Q43" s="66">
        <v>915481.5</v>
      </c>
      <c r="R43" s="62">
        <v>716819.19700000004</v>
      </c>
      <c r="S43" s="62">
        <v>-999</v>
      </c>
      <c r="T43" s="66">
        <v>716819.19700000004</v>
      </c>
      <c r="U43" s="62">
        <v>329042.12199999997</v>
      </c>
      <c r="V43" s="62">
        <v>-999</v>
      </c>
      <c r="W43" s="66">
        <v>329042.12199999997</v>
      </c>
      <c r="X43" s="62">
        <v>423194.36800000002</v>
      </c>
      <c r="Y43" s="62">
        <v>-999</v>
      </c>
      <c r="Z43" s="66">
        <v>423194.36800000002</v>
      </c>
      <c r="AA43" s="62">
        <v>4647011.78</v>
      </c>
      <c r="AB43" s="22">
        <v>1596151.1776523637</v>
      </c>
      <c r="AC43">
        <v>-999</v>
      </c>
      <c r="AD43" s="23">
        <v>1596151.1776523637</v>
      </c>
      <c r="AE43">
        <v>732682.78345281794</v>
      </c>
      <c r="AF43">
        <v>-999</v>
      </c>
      <c r="AG43" s="23">
        <v>732682.78345281794</v>
      </c>
      <c r="AH43">
        <v>942332.98837317771</v>
      </c>
      <c r="AI43">
        <v>-999</v>
      </c>
      <c r="AJ43" s="23">
        <v>942332.98837317771</v>
      </c>
      <c r="AK43">
        <v>737843.82936582388</v>
      </c>
      <c r="AL43">
        <v>-999</v>
      </c>
      <c r="AM43" s="23">
        <v>737843.82936582388</v>
      </c>
      <c r="AN43">
        <v>338693.07716122601</v>
      </c>
      <c r="AO43">
        <v>-999</v>
      </c>
      <c r="AP43" s="23">
        <v>338693.07716122601</v>
      </c>
      <c r="AQ43">
        <v>435606.85113384511</v>
      </c>
      <c r="AR43">
        <v>-999</v>
      </c>
      <c r="AS43" s="23">
        <v>435606.85113384511</v>
      </c>
      <c r="AT43">
        <v>4783310.7479305118</v>
      </c>
    </row>
    <row r="44" spans="1:46">
      <c r="A44" s="48" t="s">
        <v>146</v>
      </c>
      <c r="B44" s="48" t="s">
        <v>183</v>
      </c>
      <c r="C44" s="49">
        <v>33</v>
      </c>
      <c r="D44" s="50">
        <v>0.90700000000000003</v>
      </c>
      <c r="E44" s="49">
        <v>29.943539110200199</v>
      </c>
      <c r="F44" s="49">
        <v>0.78938400436575695</v>
      </c>
      <c r="G44" s="49">
        <v>279.16080019561502</v>
      </c>
      <c r="H44" s="49">
        <v>0.80237857521136102</v>
      </c>
      <c r="I44" s="61">
        <v>1708881.6</v>
      </c>
      <c r="J44" s="62">
        <v>614998.54</v>
      </c>
      <c r="K44" s="66">
        <v>2323880.14</v>
      </c>
      <c r="L44" s="62">
        <v>1040560.77</v>
      </c>
      <c r="M44" s="62">
        <v>374480.842</v>
      </c>
      <c r="N44" s="66">
        <v>1415041.62</v>
      </c>
      <c r="O44" s="62">
        <v>1553496.4</v>
      </c>
      <c r="P44" s="62">
        <v>559077.93400000001</v>
      </c>
      <c r="Q44" s="66">
        <v>2112574.33</v>
      </c>
      <c r="R44" s="62">
        <v>690454.58299999998</v>
      </c>
      <c r="S44" s="62">
        <v>248483.36</v>
      </c>
      <c r="T44" s="66">
        <v>938937.94299999997</v>
      </c>
      <c r="U44" s="62">
        <v>420426.95899999997</v>
      </c>
      <c r="V44" s="62">
        <v>151304.864</v>
      </c>
      <c r="W44" s="66">
        <v>571731.82200000004</v>
      </c>
      <c r="X44" s="62">
        <v>627672.92799999996</v>
      </c>
      <c r="Y44" s="62">
        <v>225889.28099999999</v>
      </c>
      <c r="Z44" s="66">
        <v>853562.20799999998</v>
      </c>
      <c r="AA44" s="62">
        <v>8215728.0899999999</v>
      </c>
      <c r="AB44" s="22">
        <v>1737012.6255143045</v>
      </c>
      <c r="AC44">
        <v>625122.43666377524</v>
      </c>
      <c r="AD44" s="23">
        <v>2362135.0621780795</v>
      </c>
      <c r="AE44">
        <v>1057690.1309660047</v>
      </c>
      <c r="AF44">
        <v>380645.41783292382</v>
      </c>
      <c r="AG44" s="23">
        <v>1438335.5487989283</v>
      </c>
      <c r="AH44">
        <v>1579069.528435118</v>
      </c>
      <c r="AI44">
        <v>568281.28501726582</v>
      </c>
      <c r="AJ44" s="23">
        <v>2147350.8134523835</v>
      </c>
      <c r="AK44">
        <v>701820.61162176821</v>
      </c>
      <c r="AL44">
        <v>252573.80847652999</v>
      </c>
      <c r="AM44" s="23">
        <v>954394.42009829811</v>
      </c>
      <c r="AN44">
        <v>427347.88430250197</v>
      </c>
      <c r="AO44">
        <v>153795.5927852809</v>
      </c>
      <c r="AP44" s="23">
        <v>581143.47708778293</v>
      </c>
      <c r="AQ44">
        <v>638005.46576594515</v>
      </c>
      <c r="AR44">
        <v>229607.79318588512</v>
      </c>
      <c r="AS44" s="23">
        <v>867613.25895183021</v>
      </c>
      <c r="AT44">
        <v>8350972.6072814474</v>
      </c>
    </row>
    <row r="45" spans="1:46">
      <c r="A45" s="48" t="s">
        <v>146</v>
      </c>
      <c r="B45" s="48" t="s">
        <v>184</v>
      </c>
      <c r="C45" s="49">
        <v>52</v>
      </c>
      <c r="D45" s="50">
        <v>0.90700000000000003</v>
      </c>
      <c r="E45" s="49">
        <v>111.616383171583</v>
      </c>
      <c r="F45" s="49">
        <v>0.78880570251517801</v>
      </c>
      <c r="G45" s="49">
        <v>135.644493997832</v>
      </c>
      <c r="H45" s="49">
        <v>0.81375601813572995</v>
      </c>
      <c r="I45" s="61">
        <v>40692.046600000001</v>
      </c>
      <c r="J45" s="62">
        <v>84646.915299999993</v>
      </c>
      <c r="K45" s="66">
        <v>125338.962</v>
      </c>
      <c r="L45" s="62">
        <v>31836.677800000001</v>
      </c>
      <c r="M45" s="62">
        <v>66226.046499999997</v>
      </c>
      <c r="N45" s="66">
        <v>98062.592900000003</v>
      </c>
      <c r="O45" s="62">
        <v>167752.236</v>
      </c>
      <c r="P45" s="62">
        <v>348955.21100000001</v>
      </c>
      <c r="Q45" s="66">
        <v>516707.57799999998</v>
      </c>
      <c r="R45" s="62">
        <v>9009.6595300000008</v>
      </c>
      <c r="S45" s="62">
        <v>18741.793600000001</v>
      </c>
      <c r="T45" s="66">
        <v>27751.453099999999</v>
      </c>
      <c r="U45" s="62">
        <v>7049.0510999999997</v>
      </c>
      <c r="V45" s="62">
        <v>14663.1345</v>
      </c>
      <c r="W45" s="66">
        <v>21712.185600000001</v>
      </c>
      <c r="X45" s="62">
        <v>37142.178</v>
      </c>
      <c r="Y45" s="62">
        <v>77262.626600000003</v>
      </c>
      <c r="Z45" s="66">
        <v>114404.80499999999</v>
      </c>
      <c r="AA45" s="62">
        <v>903977.62899999996</v>
      </c>
      <c r="AB45" s="22">
        <v>41979.156187571301</v>
      </c>
      <c r="AC45">
        <v>87324.339265164133</v>
      </c>
      <c r="AD45" s="23">
        <v>129303.49545273543</v>
      </c>
      <c r="AE45">
        <v>32843.687682690754</v>
      </c>
      <c r="AF45">
        <v>68320.80915248784</v>
      </c>
      <c r="AG45" s="23">
        <v>101164.36137047762</v>
      </c>
      <c r="AH45">
        <v>173058.32294078977</v>
      </c>
      <c r="AI45">
        <v>359992.83706205536</v>
      </c>
      <c r="AJ45" s="23">
        <v>533051.29546754609</v>
      </c>
      <c r="AK45">
        <v>9294.6395285353829</v>
      </c>
      <c r="AL45">
        <v>19334.605841878332</v>
      </c>
      <c r="AM45" s="23">
        <v>28629.245370413715</v>
      </c>
      <c r="AN45">
        <v>7272.0160781606455</v>
      </c>
      <c r="AO45">
        <v>15126.936764650442</v>
      </c>
      <c r="AP45" s="23">
        <v>22398.952842811086</v>
      </c>
      <c r="AQ45">
        <v>38317.00346120129</v>
      </c>
      <c r="AR45">
        <v>79706.481805394302</v>
      </c>
      <c r="AS45" s="23">
        <v>118023.48526659558</v>
      </c>
      <c r="AT45">
        <v>932570.88995645999</v>
      </c>
    </row>
    <row r="46" spans="1:46">
      <c r="A46" s="48" t="s">
        <v>160</v>
      </c>
      <c r="B46" s="48" t="s">
        <v>185</v>
      </c>
      <c r="C46" s="49">
        <v>149</v>
      </c>
      <c r="D46" s="50">
        <v>0.90600000000000003</v>
      </c>
      <c r="E46" s="49">
        <v>193.578684388168</v>
      </c>
      <c r="F46" s="49">
        <v>0.78114258548633098</v>
      </c>
      <c r="G46" s="49">
        <v>174.02244860297299</v>
      </c>
      <c r="H46" s="49">
        <v>0.81112327815823704</v>
      </c>
      <c r="I46" s="61">
        <v>236852.421</v>
      </c>
      <c r="J46" s="62">
        <v>-999</v>
      </c>
      <c r="K46" s="66">
        <v>236852.421</v>
      </c>
      <c r="L46" s="62">
        <v>74965.129499999995</v>
      </c>
      <c r="M46" s="62">
        <v>-999</v>
      </c>
      <c r="N46" s="66">
        <v>74965.129499999995</v>
      </c>
      <c r="O46" s="62">
        <v>335017.72100000002</v>
      </c>
      <c r="P46" s="62">
        <v>-999</v>
      </c>
      <c r="Q46" s="66">
        <v>335017.72100000002</v>
      </c>
      <c r="R46" s="62">
        <v>340001.59600000002</v>
      </c>
      <c r="S46" s="62">
        <v>-999</v>
      </c>
      <c r="T46" s="66">
        <v>340001.59600000002</v>
      </c>
      <c r="U46" s="62">
        <v>107612.516</v>
      </c>
      <c r="V46" s="62">
        <v>-999</v>
      </c>
      <c r="W46" s="66">
        <v>107612.516</v>
      </c>
      <c r="X46" s="62">
        <v>480917.78700000001</v>
      </c>
      <c r="Y46" s="62">
        <v>-999</v>
      </c>
      <c r="Z46" s="66">
        <v>480917.78700000001</v>
      </c>
      <c r="AA46" s="62">
        <v>1575367.17</v>
      </c>
      <c r="AB46" s="22">
        <v>245942.95092252141</v>
      </c>
      <c r="AC46">
        <v>-999</v>
      </c>
      <c r="AD46" s="23">
        <v>245942.95092252141</v>
      </c>
      <c r="AE46">
        <v>77842.333456485241</v>
      </c>
      <c r="AF46">
        <v>-999</v>
      </c>
      <c r="AG46" s="23">
        <v>77842.333456485241</v>
      </c>
      <c r="AH46">
        <v>347875.89036881301</v>
      </c>
      <c r="AI46">
        <v>-999</v>
      </c>
      <c r="AJ46" s="23">
        <v>347875.89036881301</v>
      </c>
      <c r="AK46">
        <v>353051.04846050602</v>
      </c>
      <c r="AL46">
        <v>-999</v>
      </c>
      <c r="AM46" s="23">
        <v>353051.04846050602</v>
      </c>
      <c r="AN46">
        <v>111742.74481899444</v>
      </c>
      <c r="AO46">
        <v>-999</v>
      </c>
      <c r="AP46" s="23">
        <v>111742.74481899444</v>
      </c>
      <c r="AQ46">
        <v>499375.68304858392</v>
      </c>
      <c r="AR46">
        <v>-999</v>
      </c>
      <c r="AS46" s="23">
        <v>499375.68304858392</v>
      </c>
      <c r="AT46">
        <v>1635830.6510759043</v>
      </c>
    </row>
    <row r="47" spans="1:46">
      <c r="A47" s="48" t="s">
        <v>136</v>
      </c>
      <c r="B47" s="48" t="s">
        <v>143</v>
      </c>
      <c r="C47" s="49">
        <v>75</v>
      </c>
      <c r="D47" s="50">
        <v>0.90500000000000003</v>
      </c>
      <c r="E47" s="49">
        <v>74.290412927208607</v>
      </c>
      <c r="F47" s="49">
        <v>0.79014097816485496</v>
      </c>
      <c r="G47" s="49">
        <v>265.62237357544302</v>
      </c>
      <c r="H47" s="49">
        <v>0.80351997731255398</v>
      </c>
      <c r="I47" s="61">
        <v>2042608.18</v>
      </c>
      <c r="J47" s="62">
        <v>-999</v>
      </c>
      <c r="K47" s="66">
        <v>2042608.18</v>
      </c>
      <c r="L47" s="62">
        <v>927279.50800000003</v>
      </c>
      <c r="M47" s="62">
        <v>-999</v>
      </c>
      <c r="N47" s="66">
        <v>927279.50800000003</v>
      </c>
      <c r="O47" s="62">
        <v>2098703.0299999998</v>
      </c>
      <c r="P47" s="62">
        <v>-999</v>
      </c>
      <c r="Q47" s="66">
        <v>2098703.0299999998</v>
      </c>
      <c r="R47" s="62">
        <v>908208.06499999994</v>
      </c>
      <c r="S47" s="62">
        <v>-999</v>
      </c>
      <c r="T47" s="66">
        <v>908208.06499999994</v>
      </c>
      <c r="U47" s="62">
        <v>412297.67499999999</v>
      </c>
      <c r="V47" s="62">
        <v>-999</v>
      </c>
      <c r="W47" s="66">
        <v>412297.67499999999</v>
      </c>
      <c r="X47" s="62">
        <v>933149.58700000006</v>
      </c>
      <c r="Y47" s="62">
        <v>-999</v>
      </c>
      <c r="Z47" s="66">
        <v>933149.58700000006</v>
      </c>
      <c r="AA47" s="62">
        <v>7322245.9900000002</v>
      </c>
      <c r="AB47" s="22">
        <v>2077194.4806185563</v>
      </c>
      <c r="AC47">
        <v>-999</v>
      </c>
      <c r="AD47" s="23">
        <v>2077194.4806185563</v>
      </c>
      <c r="AE47">
        <v>942980.59441138792</v>
      </c>
      <c r="AF47">
        <v>-999</v>
      </c>
      <c r="AG47" s="23">
        <v>942980.59441138792</v>
      </c>
      <c r="AH47">
        <v>2134239.1487024967</v>
      </c>
      <c r="AI47">
        <v>-999</v>
      </c>
      <c r="AJ47" s="23">
        <v>2134239.1487024967</v>
      </c>
      <c r="AK47">
        <v>923586.22587847407</v>
      </c>
      <c r="AL47">
        <v>-999</v>
      </c>
      <c r="AM47" s="23">
        <v>923586.22587847407</v>
      </c>
      <c r="AN47">
        <v>419278.87221199955</v>
      </c>
      <c r="AO47">
        <v>-999</v>
      </c>
      <c r="AP47" s="23">
        <v>419278.87221199955</v>
      </c>
      <c r="AQ47">
        <v>948950.06796450354</v>
      </c>
      <c r="AR47">
        <v>-999</v>
      </c>
      <c r="AS47" s="23">
        <v>948950.06796450354</v>
      </c>
      <c r="AT47">
        <v>7446229.3362831278</v>
      </c>
    </row>
    <row r="48" spans="1:46">
      <c r="A48" s="48" t="s">
        <v>178</v>
      </c>
      <c r="B48" s="48" t="s">
        <v>186</v>
      </c>
      <c r="C48" s="49">
        <v>139</v>
      </c>
      <c r="D48" s="50">
        <v>0.90500000000000003</v>
      </c>
      <c r="E48" s="49">
        <v>190.457306656241</v>
      </c>
      <c r="F48" s="49">
        <v>0.78253709189686205</v>
      </c>
      <c r="G48" s="49">
        <v>120.336452507236</v>
      </c>
      <c r="H48" s="49">
        <v>0.814928322680602</v>
      </c>
      <c r="I48" s="61">
        <v>119876.799</v>
      </c>
      <c r="J48" s="62">
        <v>64506.888800000001</v>
      </c>
      <c r="K48" s="66">
        <v>184383.68700000001</v>
      </c>
      <c r="L48" s="62">
        <v>49317.410400000001</v>
      </c>
      <c r="M48" s="62">
        <v>26538.2732</v>
      </c>
      <c r="N48" s="66">
        <v>75855.683600000004</v>
      </c>
      <c r="O48" s="62">
        <v>193691.44699999999</v>
      </c>
      <c r="P48" s="62">
        <v>104227.345</v>
      </c>
      <c r="Q48" s="66">
        <v>297918.79200000002</v>
      </c>
      <c r="R48" s="62">
        <v>184357.894</v>
      </c>
      <c r="S48" s="62">
        <v>99204.872399999993</v>
      </c>
      <c r="T48" s="66">
        <v>283562.76699999999</v>
      </c>
      <c r="U48" s="62">
        <v>75845.131899999993</v>
      </c>
      <c r="V48" s="62">
        <v>40813.011599999998</v>
      </c>
      <c r="W48" s="66">
        <v>116658.143</v>
      </c>
      <c r="X48" s="62">
        <v>297877.23700000002</v>
      </c>
      <c r="Y48" s="62">
        <v>160290.79999999999</v>
      </c>
      <c r="Z48" s="66">
        <v>458167.90700000001</v>
      </c>
      <c r="AA48" s="62">
        <v>1416546.89</v>
      </c>
      <c r="AB48" s="22">
        <v>124838.80888991724</v>
      </c>
      <c r="AC48">
        <v>67176.995479162302</v>
      </c>
      <c r="AD48" s="23">
        <v>192015.80436907956</v>
      </c>
      <c r="AE48">
        <v>51358.785334588072</v>
      </c>
      <c r="AF48">
        <v>27636.760851982028</v>
      </c>
      <c r="AG48" s="23">
        <v>78995.546186570107</v>
      </c>
      <c r="AH48">
        <v>201708.83650437716</v>
      </c>
      <c r="AI48">
        <v>108541.58380545785</v>
      </c>
      <c r="AJ48" s="23">
        <v>310250.420309835</v>
      </c>
      <c r="AK48">
        <v>191988.94371824487</v>
      </c>
      <c r="AL48">
        <v>103311.21818459319</v>
      </c>
      <c r="AM48" s="23">
        <v>295300.1619028381</v>
      </c>
      <c r="AN48">
        <v>78984.55773850136</v>
      </c>
      <c r="AO48">
        <v>42502.367510893921</v>
      </c>
      <c r="AP48" s="23">
        <v>121486.92524939531</v>
      </c>
      <c r="AQ48">
        <v>310207.14481682354</v>
      </c>
      <c r="AR48">
        <v>166925.65027198978</v>
      </c>
      <c r="AS48" s="23">
        <v>477132.65942896064</v>
      </c>
      <c r="AT48">
        <v>1475181.4224847816</v>
      </c>
    </row>
    <row r="49" spans="1:46">
      <c r="A49" s="48" t="s">
        <v>161</v>
      </c>
      <c r="B49" s="48" t="s">
        <v>187</v>
      </c>
      <c r="C49" s="49">
        <v>74</v>
      </c>
      <c r="D49" s="50">
        <v>0.90400000000000003</v>
      </c>
      <c r="E49" s="49">
        <v>111.609412574149</v>
      </c>
      <c r="F49" s="49">
        <v>0.79172317383341495</v>
      </c>
      <c r="G49" s="49">
        <v>67.642716214481396</v>
      </c>
      <c r="H49" s="49">
        <v>0.81863133397634602</v>
      </c>
      <c r="I49" s="61">
        <v>95177.283100000001</v>
      </c>
      <c r="J49" s="62">
        <v>-999</v>
      </c>
      <c r="K49" s="66">
        <v>95177.283100000001</v>
      </c>
      <c r="L49" s="62">
        <v>44526.537600000003</v>
      </c>
      <c r="M49" s="62">
        <v>-999</v>
      </c>
      <c r="N49" s="66">
        <v>44526.537600000003</v>
      </c>
      <c r="O49" s="62">
        <v>178383.05600000001</v>
      </c>
      <c r="P49" s="62">
        <v>-999</v>
      </c>
      <c r="Q49" s="66">
        <v>178383.05600000001</v>
      </c>
      <c r="R49" s="62">
        <v>25800.6983</v>
      </c>
      <c r="S49" s="62">
        <v>-999</v>
      </c>
      <c r="T49" s="66">
        <v>25800.6983</v>
      </c>
      <c r="U49" s="62">
        <v>12070.226199999999</v>
      </c>
      <c r="V49" s="62">
        <v>-999</v>
      </c>
      <c r="W49" s="66">
        <v>12070.226199999999</v>
      </c>
      <c r="X49" s="62">
        <v>48356.0291</v>
      </c>
      <c r="Y49" s="62">
        <v>-999</v>
      </c>
      <c r="Z49" s="66">
        <v>48356.0291</v>
      </c>
      <c r="AA49" s="62">
        <v>404313.804</v>
      </c>
      <c r="AB49" s="22">
        <v>98412.05710802268</v>
      </c>
      <c r="AC49">
        <v>-999</v>
      </c>
      <c r="AD49" s="23">
        <v>98412.05710802268</v>
      </c>
      <c r="AE49">
        <v>46039.853434376731</v>
      </c>
      <c r="AF49">
        <v>-999</v>
      </c>
      <c r="AG49" s="23">
        <v>46039.853434376731</v>
      </c>
      <c r="AH49">
        <v>184445.73021700216</v>
      </c>
      <c r="AI49">
        <v>-999</v>
      </c>
      <c r="AJ49" s="23">
        <v>184445.73021700216</v>
      </c>
      <c r="AK49">
        <v>26677.582266760866</v>
      </c>
      <c r="AL49">
        <v>-999</v>
      </c>
      <c r="AM49" s="23">
        <v>26677.582266760866</v>
      </c>
      <c r="AN49">
        <v>12480.454938187351</v>
      </c>
      <c r="AO49">
        <v>-999</v>
      </c>
      <c r="AP49" s="23">
        <v>12480.454938187351</v>
      </c>
      <c r="AQ49">
        <v>49999.497236477291</v>
      </c>
      <c r="AR49">
        <v>-999</v>
      </c>
      <c r="AS49" s="23">
        <v>49999.497236477291</v>
      </c>
      <c r="AT49">
        <v>418055.14794556965</v>
      </c>
    </row>
    <row r="50" spans="1:46">
      <c r="A50" s="48" t="s">
        <v>138</v>
      </c>
      <c r="B50" s="48" t="s">
        <v>188</v>
      </c>
      <c r="C50" s="49">
        <v>79</v>
      </c>
      <c r="D50" s="50">
        <v>0.90400000000000003</v>
      </c>
      <c r="E50" s="49">
        <v>146.184084873453</v>
      </c>
      <c r="F50" s="49">
        <v>0.78983958603823901</v>
      </c>
      <c r="G50" s="49">
        <v>159.83225840019799</v>
      </c>
      <c r="H50" s="49">
        <v>0.80977935206501706</v>
      </c>
      <c r="I50" s="61">
        <v>91062.883600000001</v>
      </c>
      <c r="J50" s="62">
        <v>-999</v>
      </c>
      <c r="K50" s="66">
        <v>91062.883600000001</v>
      </c>
      <c r="L50" s="62">
        <v>4085.3197799999998</v>
      </c>
      <c r="M50" s="62">
        <v>-999</v>
      </c>
      <c r="N50" s="66">
        <v>4085.3197799999998</v>
      </c>
      <c r="O50" s="62">
        <v>301454.68300000002</v>
      </c>
      <c r="P50" s="62">
        <v>-999</v>
      </c>
      <c r="Q50" s="66">
        <v>301454.68300000002</v>
      </c>
      <c r="R50" s="62">
        <v>70214.749100000001</v>
      </c>
      <c r="S50" s="62">
        <v>-999</v>
      </c>
      <c r="T50" s="66">
        <v>70214.749100000001</v>
      </c>
      <c r="U50" s="62">
        <v>3150.0785700000001</v>
      </c>
      <c r="V50" s="62">
        <v>-999</v>
      </c>
      <c r="W50" s="66">
        <v>3150.0785700000001</v>
      </c>
      <c r="X50" s="62">
        <v>232439.06200000001</v>
      </c>
      <c r="Y50" s="62">
        <v>-999</v>
      </c>
      <c r="Z50" s="66">
        <v>232439.06200000001</v>
      </c>
      <c r="AA50" s="62">
        <v>702406.723</v>
      </c>
      <c r="AB50" s="22">
        <v>93361.796772040892</v>
      </c>
      <c r="AC50">
        <v>-999</v>
      </c>
      <c r="AD50" s="23">
        <v>93361.796772040892</v>
      </c>
      <c r="AE50">
        <v>4188.4550507508611</v>
      </c>
      <c r="AF50">
        <v>-999</v>
      </c>
      <c r="AG50" s="23">
        <v>4188.4550507508611</v>
      </c>
      <c r="AH50">
        <v>309065.00764096959</v>
      </c>
      <c r="AI50">
        <v>-999</v>
      </c>
      <c r="AJ50" s="23">
        <v>309065.00764096959</v>
      </c>
      <c r="AK50">
        <v>71987.344025038634</v>
      </c>
      <c r="AL50">
        <v>-999</v>
      </c>
      <c r="AM50" s="23">
        <v>71987.344025038634</v>
      </c>
      <c r="AN50">
        <v>3229.6033634543196</v>
      </c>
      <c r="AO50">
        <v>-999</v>
      </c>
      <c r="AP50" s="23">
        <v>3229.6033634543196</v>
      </c>
      <c r="AQ50">
        <v>238307.06434532005</v>
      </c>
      <c r="AR50">
        <v>-999</v>
      </c>
      <c r="AS50" s="23">
        <v>238307.06434532005</v>
      </c>
      <c r="AT50">
        <v>720139.21727648983</v>
      </c>
    </row>
    <row r="51" spans="1:46">
      <c r="A51" s="48" t="s">
        <v>153</v>
      </c>
      <c r="B51" s="48" t="s">
        <v>189</v>
      </c>
      <c r="C51" s="49">
        <v>117</v>
      </c>
      <c r="D51" s="50">
        <v>0.90400000000000003</v>
      </c>
      <c r="E51" s="49">
        <v>210.58513632065899</v>
      </c>
      <c r="F51" s="49">
        <v>0.77724989162760505</v>
      </c>
      <c r="G51" s="49">
        <v>75.394347991069694</v>
      </c>
      <c r="H51" s="49">
        <v>0.81811347192089301</v>
      </c>
      <c r="I51" s="61">
        <v>106928.61599999999</v>
      </c>
      <c r="J51" s="62">
        <v>300871.674</v>
      </c>
      <c r="K51" s="66">
        <v>407800.29</v>
      </c>
      <c r="L51" s="62">
        <v>69384.997000000003</v>
      </c>
      <c r="M51" s="62">
        <v>195232.79399999999</v>
      </c>
      <c r="N51" s="66">
        <v>264617.79100000003</v>
      </c>
      <c r="O51" s="62">
        <v>213766.272</v>
      </c>
      <c r="P51" s="62">
        <v>601487.55000000005</v>
      </c>
      <c r="Q51" s="66">
        <v>815253.821</v>
      </c>
      <c r="R51" s="62">
        <v>37730.066099999996</v>
      </c>
      <c r="S51" s="62">
        <v>106163.54700000001</v>
      </c>
      <c r="T51" s="66">
        <v>143893.742</v>
      </c>
      <c r="U51" s="62">
        <v>24482.718400000002</v>
      </c>
      <c r="V51" s="62">
        <v>68888.536800000002</v>
      </c>
      <c r="W51" s="66">
        <v>93371.2552</v>
      </c>
      <c r="X51" s="62">
        <v>75428.1734</v>
      </c>
      <c r="Y51" s="62">
        <v>212236.91</v>
      </c>
      <c r="Z51" s="66">
        <v>287665.08399999997</v>
      </c>
      <c r="AA51" s="62">
        <v>2012601.98</v>
      </c>
      <c r="AB51" s="22">
        <v>112550.34173138223</v>
      </c>
      <c r="AC51">
        <v>316689.87386060267</v>
      </c>
      <c r="AD51" s="23">
        <v>429240.21559198486</v>
      </c>
      <c r="AE51">
        <v>73032.88348897938</v>
      </c>
      <c r="AF51">
        <v>205497.07484216988</v>
      </c>
      <c r="AG51" s="23">
        <v>278529.9583311493</v>
      </c>
      <c r="AH51">
        <v>225004.94183684111</v>
      </c>
      <c r="AI51">
        <v>633110.49993393593</v>
      </c>
      <c r="AJ51" s="23">
        <v>858115.44177077711</v>
      </c>
      <c r="AK51">
        <v>39713.708147033671</v>
      </c>
      <c r="AL51">
        <v>111745.04979100598</v>
      </c>
      <c r="AM51" s="23">
        <v>151458.89412811919</v>
      </c>
      <c r="AN51">
        <v>25769.886852357511</v>
      </c>
      <c r="AO51">
        <v>72510.322153747926</v>
      </c>
      <c r="AP51" s="23">
        <v>98280.209006105433</v>
      </c>
      <c r="AQ51">
        <v>79393.777344418602</v>
      </c>
      <c r="AR51">
        <v>223395.17509656597</v>
      </c>
      <c r="AS51" s="23">
        <v>302788.95244098461</v>
      </c>
      <c r="AT51">
        <v>2118413.6712691206</v>
      </c>
    </row>
    <row r="52" spans="1:46">
      <c r="A52" s="48" t="s">
        <v>161</v>
      </c>
      <c r="B52" s="48" t="s">
        <v>190</v>
      </c>
      <c r="C52" s="49">
        <v>85</v>
      </c>
      <c r="D52" s="50">
        <v>0.89900000000000002</v>
      </c>
      <c r="E52" s="49">
        <v>160.38963623655499</v>
      </c>
      <c r="F52" s="49">
        <v>0.78910507946907305</v>
      </c>
      <c r="G52" s="49">
        <v>118.899305839211</v>
      </c>
      <c r="H52" s="49">
        <v>0.81500578598366202</v>
      </c>
      <c r="I52" s="61">
        <v>1210070.8400000001</v>
      </c>
      <c r="J52" s="62">
        <v>238417.10800000001</v>
      </c>
      <c r="K52" s="66">
        <v>1448488.08</v>
      </c>
      <c r="L52" s="62">
        <v>791532.45</v>
      </c>
      <c r="M52" s="62">
        <v>155953.603</v>
      </c>
      <c r="N52" s="66">
        <v>947486.05299999996</v>
      </c>
      <c r="O52" s="62">
        <v>2076903.29</v>
      </c>
      <c r="P52" s="62">
        <v>409206.89600000001</v>
      </c>
      <c r="Q52" s="66">
        <v>2486110.31</v>
      </c>
      <c r="R52" s="62">
        <v>915682.48</v>
      </c>
      <c r="S52" s="62">
        <v>180414.61499999999</v>
      </c>
      <c r="T52" s="66">
        <v>1096097.1000000001</v>
      </c>
      <c r="U52" s="62">
        <v>598966.93400000001</v>
      </c>
      <c r="V52" s="62">
        <v>118012.84</v>
      </c>
      <c r="W52" s="66">
        <v>716979.77300000004</v>
      </c>
      <c r="X52" s="62">
        <v>1571630.31</v>
      </c>
      <c r="Y52" s="62">
        <v>309654.23100000003</v>
      </c>
      <c r="Z52" s="66">
        <v>1881284.54</v>
      </c>
      <c r="AA52" s="62">
        <v>8576445.8100000005</v>
      </c>
      <c r="AB52" s="22">
        <v>1249788.8623428971</v>
      </c>
      <c r="AC52">
        <v>246242.64561293731</v>
      </c>
      <c r="AD52" s="23">
        <v>1496031.6436285826</v>
      </c>
      <c r="AE52">
        <v>817512.83019664977</v>
      </c>
      <c r="AF52">
        <v>161072.45004811205</v>
      </c>
      <c r="AG52" s="23">
        <v>978585.28024476173</v>
      </c>
      <c r="AH52">
        <v>2145073.2461433476</v>
      </c>
      <c r="AI52">
        <v>422638.24715394393</v>
      </c>
      <c r="AJ52" s="23">
        <v>2567711.6289700395</v>
      </c>
      <c r="AK52">
        <v>945737.82259710424</v>
      </c>
      <c r="AL52">
        <v>186336.34377936251</v>
      </c>
      <c r="AM52" s="23">
        <v>1132074.1663764669</v>
      </c>
      <c r="AN52">
        <v>618626.757236887</v>
      </c>
      <c r="AO52">
        <v>121886.36161874332</v>
      </c>
      <c r="AP52" s="23">
        <v>740513.11885563051</v>
      </c>
      <c r="AQ52">
        <v>1623215.7547071772</v>
      </c>
      <c r="AR52">
        <v>319817.97679705604</v>
      </c>
      <c r="AS52" s="23">
        <v>1943033.7315042333</v>
      </c>
      <c r="AT52">
        <v>8857949.5153106153</v>
      </c>
    </row>
    <row r="53" spans="1:46">
      <c r="A53" s="48" t="s">
        <v>151</v>
      </c>
      <c r="B53" s="48" t="s">
        <v>191</v>
      </c>
      <c r="C53" s="49">
        <v>36</v>
      </c>
      <c r="D53" s="50">
        <v>0.89600000000000002</v>
      </c>
      <c r="E53" s="49">
        <v>194.01278128126</v>
      </c>
      <c r="F53" s="49">
        <v>0.78709280716652397</v>
      </c>
      <c r="G53" s="49">
        <v>151.92195788641999</v>
      </c>
      <c r="H53" s="49">
        <v>0.81268277776002595</v>
      </c>
      <c r="I53" s="61">
        <v>168264.00200000001</v>
      </c>
      <c r="J53" s="62">
        <v>127601.357</v>
      </c>
      <c r="K53" s="66">
        <v>295865.359</v>
      </c>
      <c r="L53" s="62">
        <v>58229.578999999998</v>
      </c>
      <c r="M53" s="62">
        <v>44157.767</v>
      </c>
      <c r="N53" s="66">
        <v>102387.34600000001</v>
      </c>
      <c r="O53" s="62">
        <v>70031.756500000003</v>
      </c>
      <c r="P53" s="62">
        <v>53107.899100000002</v>
      </c>
      <c r="Q53" s="66">
        <v>123139.787</v>
      </c>
      <c r="R53" s="62">
        <v>162462.166</v>
      </c>
      <c r="S53" s="62">
        <v>123201.63099999999</v>
      </c>
      <c r="T53" s="66">
        <v>285663.79700000002</v>
      </c>
      <c r="U53" s="62">
        <v>56221.734799999998</v>
      </c>
      <c r="V53" s="62">
        <v>42635.243600000002</v>
      </c>
      <c r="W53" s="66">
        <v>98856.978300000002</v>
      </c>
      <c r="X53" s="62">
        <v>67617.076199999996</v>
      </c>
      <c r="Y53" s="62">
        <v>51276.678099999997</v>
      </c>
      <c r="Z53" s="66">
        <v>118893.754</v>
      </c>
      <c r="AA53" s="62">
        <v>1024807.14</v>
      </c>
      <c r="AB53" s="22">
        <v>173734.60355577496</v>
      </c>
      <c r="AC53">
        <v>131749.9338017182</v>
      </c>
      <c r="AD53" s="23">
        <v>305484.53735749319</v>
      </c>
      <c r="AE53">
        <v>60122.739752335736</v>
      </c>
      <c r="AF53">
        <v>45593.42487969144</v>
      </c>
      <c r="AG53" s="23">
        <v>105716.16463202717</v>
      </c>
      <c r="AH53">
        <v>72308.629834492924</v>
      </c>
      <c r="AI53">
        <v>54834.543722122675</v>
      </c>
      <c r="AJ53" s="23">
        <v>127143.30884265591</v>
      </c>
      <c r="AK53">
        <v>167744.13769024156</v>
      </c>
      <c r="AL53">
        <v>127207.1638536887</v>
      </c>
      <c r="AM53" s="23">
        <v>294951.30154393031</v>
      </c>
      <c r="AN53">
        <v>58049.616470415378</v>
      </c>
      <c r="AO53">
        <v>44021.40109113005</v>
      </c>
      <c r="AP53" s="23">
        <v>102071.01756154544</v>
      </c>
      <c r="AQ53">
        <v>69815.44339736749</v>
      </c>
      <c r="AR53">
        <v>52943.786022558648</v>
      </c>
      <c r="AS53" s="23">
        <v>122759.22941992615</v>
      </c>
      <c r="AT53">
        <v>1058125.6811150142</v>
      </c>
    </row>
    <row r="54" spans="1:46">
      <c r="A54" s="49" t="s">
        <v>153</v>
      </c>
      <c r="B54" s="49" t="s">
        <v>192</v>
      </c>
      <c r="C54" s="49">
        <v>19</v>
      </c>
      <c r="D54" s="50">
        <v>0.89500000000000002</v>
      </c>
      <c r="E54" s="49">
        <v>52.845484479397598</v>
      </c>
      <c r="F54" s="49">
        <v>0.79152141144609001</v>
      </c>
      <c r="G54" s="49">
        <v>37.1409244333678</v>
      </c>
      <c r="H54" s="49">
        <v>0.82079230013033599</v>
      </c>
      <c r="I54" s="61">
        <v>551859.91899999999</v>
      </c>
      <c r="J54" s="62">
        <v>39757.743300000002</v>
      </c>
      <c r="K54" s="66">
        <v>591617.66200000001</v>
      </c>
      <c r="L54" s="62">
        <v>332978.34700000001</v>
      </c>
      <c r="M54" s="62">
        <v>23988.8338</v>
      </c>
      <c r="N54" s="66">
        <v>356967.18099999998</v>
      </c>
      <c r="O54" s="62">
        <v>1658887.54</v>
      </c>
      <c r="P54" s="62">
        <v>119511.72199999999</v>
      </c>
      <c r="Q54" s="66">
        <v>1778399.13</v>
      </c>
      <c r="R54" s="62">
        <v>691024.53799999994</v>
      </c>
      <c r="S54" s="62">
        <v>49783.615899999997</v>
      </c>
      <c r="T54" s="66">
        <v>740808.15399999998</v>
      </c>
      <c r="U54" s="62">
        <v>416946.77600000001</v>
      </c>
      <c r="V54" s="62">
        <v>30038.220499999999</v>
      </c>
      <c r="W54" s="66">
        <v>446984.99599999998</v>
      </c>
      <c r="X54" s="62">
        <v>2077215.46</v>
      </c>
      <c r="Y54" s="62">
        <v>149649.42300000001</v>
      </c>
      <c r="Z54" s="66">
        <v>2226864.7599999998</v>
      </c>
      <c r="AA54" s="62">
        <v>6141641.9900000002</v>
      </c>
      <c r="AB54" s="22">
        <v>572267.99661736214</v>
      </c>
      <c r="AC54">
        <v>41228.006107381043</v>
      </c>
      <c r="AD54" s="23">
        <v>613496.00272474322</v>
      </c>
      <c r="AE54">
        <v>345292.06613041199</v>
      </c>
      <c r="AF54">
        <v>24875.953787117858</v>
      </c>
      <c r="AG54" s="23">
        <v>370168.01991752989</v>
      </c>
      <c r="AH54">
        <v>1720234.1004962246</v>
      </c>
      <c r="AI54">
        <v>123931.32951820314</v>
      </c>
      <c r="AJ54" s="23">
        <v>1844165.2933784076</v>
      </c>
      <c r="AK54">
        <v>716578.99841508828</v>
      </c>
      <c r="AL54">
        <v>51624.640863295564</v>
      </c>
      <c r="AM54" s="23">
        <v>768203.63927838416</v>
      </c>
      <c r="AN54">
        <v>432365.69263846014</v>
      </c>
      <c r="AO54">
        <v>31149.050097786687</v>
      </c>
      <c r="AP54" s="23">
        <v>463514.74273624679</v>
      </c>
      <c r="AQ54">
        <v>2154032.0118955141</v>
      </c>
      <c r="AR54">
        <v>155183.53981103143</v>
      </c>
      <c r="AS54" s="23">
        <v>2309215.4150705258</v>
      </c>
      <c r="AT54">
        <v>6368763.2224146528</v>
      </c>
    </row>
    <row r="55" spans="1:46">
      <c r="A55" s="48" t="s">
        <v>142</v>
      </c>
      <c r="B55" s="48" t="s">
        <v>193</v>
      </c>
      <c r="C55" s="49">
        <v>77</v>
      </c>
      <c r="D55" s="50">
        <v>0.89400000000000002</v>
      </c>
      <c r="E55" s="49">
        <v>106.669130269994</v>
      </c>
      <c r="F55" s="49">
        <v>0.79143493817573995</v>
      </c>
      <c r="G55" s="49">
        <v>100.34674055733601</v>
      </c>
      <c r="H55" s="49">
        <v>0.81619757453211195</v>
      </c>
      <c r="I55" s="61">
        <v>925202.88500000001</v>
      </c>
      <c r="J55" s="62">
        <v>727891.84400000004</v>
      </c>
      <c r="K55" s="66">
        <v>1653094.73</v>
      </c>
      <c r="L55" s="62">
        <v>315654.92700000003</v>
      </c>
      <c r="M55" s="62">
        <v>248337.54</v>
      </c>
      <c r="N55" s="66">
        <v>563992.598</v>
      </c>
      <c r="O55" s="62">
        <v>787038.42500000005</v>
      </c>
      <c r="P55" s="62">
        <v>619192.64</v>
      </c>
      <c r="Q55" s="66">
        <v>1406230.93</v>
      </c>
      <c r="R55" s="62">
        <v>691456.80500000005</v>
      </c>
      <c r="S55" s="62">
        <v>543995.08499999996</v>
      </c>
      <c r="T55" s="66">
        <v>1235451.8899999999</v>
      </c>
      <c r="U55" s="62">
        <v>235906.89499999999</v>
      </c>
      <c r="V55" s="62">
        <v>185596.84700000001</v>
      </c>
      <c r="W55" s="66">
        <v>421503.74200000003</v>
      </c>
      <c r="X55" s="62">
        <v>588198.56900000002</v>
      </c>
      <c r="Y55" s="62">
        <v>462757.89399999997</v>
      </c>
      <c r="Z55" s="66">
        <v>1050956.5900000001</v>
      </c>
      <c r="AA55" s="62">
        <v>6331230.5300000003</v>
      </c>
      <c r="AB55" s="22">
        <v>954150.89031337446</v>
      </c>
      <c r="AC55">
        <v>750666.32616519113</v>
      </c>
      <c r="AD55" s="23">
        <v>1704817.2164785657</v>
      </c>
      <c r="AE55">
        <v>325531.22603827628</v>
      </c>
      <c r="AF55">
        <v>256107.59373638942</v>
      </c>
      <c r="AG55" s="23">
        <v>581638.95564580883</v>
      </c>
      <c r="AH55">
        <v>811663.50191519374</v>
      </c>
      <c r="AI55">
        <v>638566.11130468152</v>
      </c>
      <c r="AJ55" s="23">
        <v>1450229.4773487321</v>
      </c>
      <c r="AK55">
        <v>713091.29741600424</v>
      </c>
      <c r="AL55">
        <v>561015.75419255695</v>
      </c>
      <c r="AM55" s="23">
        <v>1274107.0516085613</v>
      </c>
      <c r="AN55">
        <v>243288.0155151175</v>
      </c>
      <c r="AO55">
        <v>191403.85320301101</v>
      </c>
      <c r="AP55" s="23">
        <v>434691.86871812853</v>
      </c>
      <c r="AQ55">
        <v>606602.28902264463</v>
      </c>
      <c r="AR55">
        <v>477236.79213910148</v>
      </c>
      <c r="AS55" s="23">
        <v>1083839.2170328894</v>
      </c>
      <c r="AT55">
        <v>6529323.8275940288</v>
      </c>
    </row>
    <row r="56" spans="1:46">
      <c r="A56" s="48" t="s">
        <v>194</v>
      </c>
      <c r="B56" s="48" t="s">
        <v>195</v>
      </c>
      <c r="C56" s="49">
        <v>106</v>
      </c>
      <c r="D56" s="50">
        <v>0.89400000000000002</v>
      </c>
      <c r="E56" s="49">
        <v>227.46044140165401</v>
      </c>
      <c r="F56" s="49">
        <v>0.78036058885144299</v>
      </c>
      <c r="G56" s="49">
        <v>369.01933636067099</v>
      </c>
      <c r="H56" s="49">
        <v>0.79720719405890195</v>
      </c>
      <c r="I56" s="61">
        <v>2753299.82</v>
      </c>
      <c r="J56" s="62">
        <v>867573.57900000003</v>
      </c>
      <c r="K56" s="66">
        <v>3620873.4</v>
      </c>
      <c r="L56" s="62">
        <v>2902868.89</v>
      </c>
      <c r="M56" s="62">
        <v>914703.26300000004</v>
      </c>
      <c r="N56" s="66">
        <v>3817572.15</v>
      </c>
      <c r="O56" s="62">
        <v>5694084.3300000001</v>
      </c>
      <c r="P56" s="62">
        <v>1794224.24</v>
      </c>
      <c r="Q56" s="66">
        <v>7488308.5700000003</v>
      </c>
      <c r="R56" s="62">
        <v>604581.62300000002</v>
      </c>
      <c r="S56" s="62">
        <v>190505.64300000001</v>
      </c>
      <c r="T56" s="66">
        <v>795087.13600000006</v>
      </c>
      <c r="U56" s="62">
        <v>637424.56999999995</v>
      </c>
      <c r="V56" s="62">
        <v>200854.55799999999</v>
      </c>
      <c r="W56" s="66">
        <v>838279.12800000003</v>
      </c>
      <c r="X56" s="62">
        <v>1250331.83</v>
      </c>
      <c r="Y56" s="62">
        <v>393983.64</v>
      </c>
      <c r="Z56" s="66">
        <v>1644315.47</v>
      </c>
      <c r="AA56" s="62">
        <v>18204435.899999999</v>
      </c>
      <c r="AB56" s="22">
        <v>2812738.6936682826</v>
      </c>
      <c r="AC56">
        <v>886302.9581116467</v>
      </c>
      <c r="AD56" s="23">
        <v>3699041.6517799296</v>
      </c>
      <c r="AE56">
        <v>2965536.693965063</v>
      </c>
      <c r="AF56">
        <v>934450.08948974696</v>
      </c>
      <c r="AG56" s="23">
        <v>3899986.7834548103</v>
      </c>
      <c r="AH56">
        <v>5817009.5424912777</v>
      </c>
      <c r="AI56">
        <v>1832958.3719477109</v>
      </c>
      <c r="AJ56" s="23">
        <v>7649967.914438989</v>
      </c>
      <c r="AK56">
        <v>617633.47159183561</v>
      </c>
      <c r="AL56">
        <v>194618.32257532296</v>
      </c>
      <c r="AM56" s="23">
        <v>812251.66145731474</v>
      </c>
      <c r="AN56">
        <v>651185.43975411262</v>
      </c>
      <c r="AO56">
        <v>205190.65229207143</v>
      </c>
      <c r="AP56" s="23">
        <v>856376.09204618388</v>
      </c>
      <c r="AQ56">
        <v>1277324.2852434744</v>
      </c>
      <c r="AR56">
        <v>402489.05016557721</v>
      </c>
      <c r="AS56" s="23">
        <v>1679813.3354090515</v>
      </c>
      <c r="AT56">
        <v>18597437.518212184</v>
      </c>
    </row>
    <row r="57" spans="1:46">
      <c r="A57" s="48" t="s">
        <v>160</v>
      </c>
      <c r="B57" s="48" t="s">
        <v>196</v>
      </c>
      <c r="C57" s="49">
        <v>131</v>
      </c>
      <c r="D57" s="50">
        <v>0.89200000000000002</v>
      </c>
      <c r="E57" s="49">
        <v>89.142590523307902</v>
      </c>
      <c r="F57" s="49">
        <v>0.78968869534568198</v>
      </c>
      <c r="G57" s="49">
        <v>99.693187486817294</v>
      </c>
      <c r="H57" s="49">
        <v>0.81636896062132702</v>
      </c>
      <c r="I57" s="61">
        <v>1226432.1299999999</v>
      </c>
      <c r="J57" s="62">
        <v>212902.948</v>
      </c>
      <c r="K57" s="66">
        <v>1439335.08</v>
      </c>
      <c r="L57" s="62">
        <v>1181487.6000000001</v>
      </c>
      <c r="M57" s="62">
        <v>205100.9</v>
      </c>
      <c r="N57" s="66">
        <v>1386588.37</v>
      </c>
      <c r="O57" s="62">
        <v>1507844.68</v>
      </c>
      <c r="P57" s="62">
        <v>261754.93700000001</v>
      </c>
      <c r="Q57" s="66">
        <v>1769599.61</v>
      </c>
      <c r="R57" s="62">
        <v>782556.11399999994</v>
      </c>
      <c r="S57" s="62">
        <v>135848.16800000001</v>
      </c>
      <c r="T57" s="66">
        <v>918404.15099999995</v>
      </c>
      <c r="U57" s="62">
        <v>753878.10199999996</v>
      </c>
      <c r="V57" s="62">
        <v>130869.713</v>
      </c>
      <c r="W57" s="66">
        <v>884747.81499999994</v>
      </c>
      <c r="X57" s="62">
        <v>962118.48899999994</v>
      </c>
      <c r="Y57" s="62">
        <v>167019.41699999999</v>
      </c>
      <c r="Z57" s="66">
        <v>1129137.77</v>
      </c>
      <c r="AA57" s="62">
        <v>7527813.0300000003</v>
      </c>
      <c r="AB57" s="22">
        <v>1267868.1213809976</v>
      </c>
      <c r="AC57">
        <v>220096.04435574517</v>
      </c>
      <c r="AD57" s="23">
        <v>1487964.165736743</v>
      </c>
      <c r="AE57">
        <v>1221405.1102217888</v>
      </c>
      <c r="AF57">
        <v>212030.39873578612</v>
      </c>
      <c r="AG57" s="23">
        <v>1433435.3730579014</v>
      </c>
      <c r="AH57">
        <v>1558788.4164610445</v>
      </c>
      <c r="AI57">
        <v>270598.53740893322</v>
      </c>
      <c r="AJ57" s="23">
        <v>1829386.9538699773</v>
      </c>
      <c r="AK57">
        <v>808995.39945511881</v>
      </c>
      <c r="AL57">
        <v>140437.90715740502</v>
      </c>
      <c r="AM57" s="23">
        <v>949433.17071285041</v>
      </c>
      <c r="AN57">
        <v>779348.47799040237</v>
      </c>
      <c r="AO57">
        <v>135291.25062373237</v>
      </c>
      <c r="AP57" s="23">
        <v>914639.7286141346</v>
      </c>
      <c r="AQ57">
        <v>994624.43272780359</v>
      </c>
      <c r="AR57">
        <v>172662.30182899852</v>
      </c>
      <c r="AS57" s="23">
        <v>1167286.5986571286</v>
      </c>
      <c r="AT57">
        <v>7782146.2216781797</v>
      </c>
    </row>
    <row r="58" spans="1:46">
      <c r="A58" s="48" t="s">
        <v>138</v>
      </c>
      <c r="B58" s="48" t="s">
        <v>197</v>
      </c>
      <c r="C58" s="49">
        <v>147</v>
      </c>
      <c r="D58" s="50">
        <v>0.88800000000000001</v>
      </c>
      <c r="E58" s="49">
        <v>150.085361694261</v>
      </c>
      <c r="F58" s="49">
        <v>0.74401213156593804</v>
      </c>
      <c r="G58" s="49">
        <v>39.337926124192002</v>
      </c>
      <c r="H58" s="49">
        <v>0.82063541326244505</v>
      </c>
      <c r="I58" s="61">
        <v>13089646.199999999</v>
      </c>
      <c r="J58" s="62">
        <v>3529417.43</v>
      </c>
      <c r="K58" s="66">
        <v>16619063.6</v>
      </c>
      <c r="L58" s="62">
        <v>6624460.8799999999</v>
      </c>
      <c r="M58" s="62">
        <v>1786181.81</v>
      </c>
      <c r="N58" s="66">
        <v>8410642.6899999995</v>
      </c>
      <c r="O58" s="62">
        <v>9485569.7200000007</v>
      </c>
      <c r="P58" s="62">
        <v>2557634.86</v>
      </c>
      <c r="Q58" s="66">
        <v>12043204.6</v>
      </c>
      <c r="R58" s="62">
        <v>9448301.2699999996</v>
      </c>
      <c r="S58" s="62">
        <v>2547586.0499999998</v>
      </c>
      <c r="T58" s="66">
        <v>11995887.300000001</v>
      </c>
      <c r="U58" s="62">
        <v>4781634.4400000004</v>
      </c>
      <c r="V58" s="62">
        <v>1289292.6100000001</v>
      </c>
      <c r="W58" s="66">
        <v>6070927.0499999998</v>
      </c>
      <c r="X58" s="62">
        <v>6846825.3700000001</v>
      </c>
      <c r="Y58" s="62">
        <v>1846138.93</v>
      </c>
      <c r="Z58" s="66">
        <v>8692964.3000000007</v>
      </c>
      <c r="AA58" s="62">
        <v>63832689.600000001</v>
      </c>
      <c r="AB58" s="22">
        <v>14437704.367965536</v>
      </c>
      <c r="AC58">
        <v>3892900.1451171986</v>
      </c>
      <c r="AD58" s="23">
        <v>18330604.513082735</v>
      </c>
      <c r="AE58">
        <v>7306691.6003918946</v>
      </c>
      <c r="AF58">
        <v>1970134.60961266</v>
      </c>
      <c r="AG58" s="23">
        <v>9276826.2100045532</v>
      </c>
      <c r="AH58">
        <v>10462456.319633372</v>
      </c>
      <c r="AI58">
        <v>2821036.9869523589</v>
      </c>
      <c r="AJ58" s="23">
        <v>13283493.306585735</v>
      </c>
      <c r="AK58">
        <v>10421349.716708174</v>
      </c>
      <c r="AL58">
        <v>2809953.2790653738</v>
      </c>
      <c r="AM58" s="23">
        <v>13231302.995773548</v>
      </c>
      <c r="AN58">
        <v>5274078.7247662572</v>
      </c>
      <c r="AO58">
        <v>1422072.4809549625</v>
      </c>
      <c r="AP58" s="23">
        <v>6696151.2057212209</v>
      </c>
      <c r="AQ58">
        <v>7551956.649097004</v>
      </c>
      <c r="AR58">
        <v>2036266.5074869695</v>
      </c>
      <c r="AS58" s="23">
        <v>9588223.156583976</v>
      </c>
      <c r="AT58">
        <v>70406601.415073738</v>
      </c>
    </row>
    <row r="59" spans="1:46">
      <c r="A59" s="48" t="s">
        <v>151</v>
      </c>
      <c r="B59" s="48" t="s">
        <v>198</v>
      </c>
      <c r="C59" s="49">
        <v>103</v>
      </c>
      <c r="D59" s="50">
        <v>0.88200000000000001</v>
      </c>
      <c r="E59" s="49">
        <v>93.669758914210107</v>
      </c>
      <c r="F59" s="49">
        <v>0.79205570636573996</v>
      </c>
      <c r="G59" s="49">
        <v>332.34215094207502</v>
      </c>
      <c r="H59" s="49">
        <v>0.79988961746766796</v>
      </c>
      <c r="I59" s="61">
        <v>102014.508</v>
      </c>
      <c r="J59" s="62">
        <v>-999</v>
      </c>
      <c r="K59" s="66">
        <v>102014.508</v>
      </c>
      <c r="L59" s="62">
        <v>80659.447899999999</v>
      </c>
      <c r="M59" s="62">
        <v>-999</v>
      </c>
      <c r="N59" s="66">
        <v>80659.447899999999</v>
      </c>
      <c r="O59" s="62">
        <v>107279.501</v>
      </c>
      <c r="P59" s="62">
        <v>-999</v>
      </c>
      <c r="Q59" s="66">
        <v>107279.501</v>
      </c>
      <c r="R59" s="62">
        <v>29483.884699999999</v>
      </c>
      <c r="S59" s="62">
        <v>-999</v>
      </c>
      <c r="T59" s="66">
        <v>29483.884699999999</v>
      </c>
      <c r="U59" s="62">
        <v>23311.879300000001</v>
      </c>
      <c r="V59" s="62">
        <v>-999</v>
      </c>
      <c r="W59" s="66">
        <v>23311.879300000001</v>
      </c>
      <c r="X59" s="62">
        <v>31005.591899999999</v>
      </c>
      <c r="Y59" s="62">
        <v>-999</v>
      </c>
      <c r="Z59" s="66">
        <v>31005.591899999999</v>
      </c>
      <c r="AA59" s="62">
        <v>373754.90500000003</v>
      </c>
      <c r="AB59" s="22">
        <v>103023.49283470877</v>
      </c>
      <c r="AC59">
        <v>-999</v>
      </c>
      <c r="AD59" s="23">
        <v>103023.49283470877</v>
      </c>
      <c r="AE59">
        <v>81457.218765078549</v>
      </c>
      <c r="AF59">
        <v>-999</v>
      </c>
      <c r="AG59" s="23">
        <v>81457.218765078549</v>
      </c>
      <c r="AH59">
        <v>108340.56035594462</v>
      </c>
      <c r="AI59">
        <v>-999</v>
      </c>
      <c r="AJ59" s="23">
        <v>108340.56035594462</v>
      </c>
      <c r="AK59">
        <v>29775.498225091185</v>
      </c>
      <c r="AL59">
        <v>-999</v>
      </c>
      <c r="AM59" s="23">
        <v>29775.498225091185</v>
      </c>
      <c r="AN59">
        <v>23542.447946634577</v>
      </c>
      <c r="AO59">
        <v>-999</v>
      </c>
      <c r="AP59" s="23">
        <v>23542.447946634577</v>
      </c>
      <c r="AQ59">
        <v>31312.256038884567</v>
      </c>
      <c r="AR59">
        <v>-999</v>
      </c>
      <c r="AS59" s="23">
        <v>31312.256038884567</v>
      </c>
      <c r="AT59">
        <v>377451.56737581018</v>
      </c>
    </row>
    <row r="60" spans="1:46">
      <c r="A60" s="48" t="s">
        <v>138</v>
      </c>
      <c r="B60" s="48" t="s">
        <v>199</v>
      </c>
      <c r="C60" s="49">
        <v>112</v>
      </c>
      <c r="D60" s="50">
        <v>0.88100000000000001</v>
      </c>
      <c r="E60" s="49">
        <v>190.104845345077</v>
      </c>
      <c r="F60" s="49">
        <v>0.76716473386459105</v>
      </c>
      <c r="G60" s="49">
        <v>79.360779755559605</v>
      </c>
      <c r="H60" s="49">
        <v>0.81780413428056797</v>
      </c>
      <c r="I60" s="61">
        <v>190341.03899999999</v>
      </c>
      <c r="J60" s="62">
        <v>-999</v>
      </c>
      <c r="K60" s="66">
        <v>190341.03899999999</v>
      </c>
      <c r="L60" s="62">
        <v>142024.742</v>
      </c>
      <c r="M60" s="62">
        <v>-999</v>
      </c>
      <c r="N60" s="66">
        <v>142024.742</v>
      </c>
      <c r="O60" s="62">
        <v>481477.33600000001</v>
      </c>
      <c r="P60" s="62">
        <v>-999</v>
      </c>
      <c r="Q60" s="66">
        <v>481477.33600000001</v>
      </c>
      <c r="R60" s="62">
        <v>381709.74900000001</v>
      </c>
      <c r="S60" s="62">
        <v>-999</v>
      </c>
      <c r="T60" s="66">
        <v>381709.74900000001</v>
      </c>
      <c r="U60" s="62">
        <v>284816.375</v>
      </c>
      <c r="V60" s="62">
        <v>-999</v>
      </c>
      <c r="W60" s="66">
        <v>284816.375</v>
      </c>
      <c r="X60" s="62">
        <v>965554.054</v>
      </c>
      <c r="Y60" s="62">
        <v>-999</v>
      </c>
      <c r="Z60" s="66">
        <v>965554.054</v>
      </c>
      <c r="AA60" s="62">
        <v>2445923.46</v>
      </c>
      <c r="AB60" s="22">
        <v>202905.16677318333</v>
      </c>
      <c r="AC60">
        <v>-999</v>
      </c>
      <c r="AD60" s="23">
        <v>202905.16677318333</v>
      </c>
      <c r="AE60">
        <v>151399.58378703234</v>
      </c>
      <c r="AF60">
        <v>-999</v>
      </c>
      <c r="AG60" s="23">
        <v>151399.58378703234</v>
      </c>
      <c r="AH60">
        <v>513258.93668346986</v>
      </c>
      <c r="AI60">
        <v>-999</v>
      </c>
      <c r="AJ60" s="23">
        <v>513258.93668346986</v>
      </c>
      <c r="AK60">
        <v>406905.84073658474</v>
      </c>
      <c r="AL60">
        <v>-999</v>
      </c>
      <c r="AM60" s="23">
        <v>406905.84073658474</v>
      </c>
      <c r="AN60">
        <v>303616.6797745442</v>
      </c>
      <c r="AO60">
        <v>-999</v>
      </c>
      <c r="AP60" s="23">
        <v>303616.6797745442</v>
      </c>
      <c r="AQ60">
        <v>1029288.8381177408</v>
      </c>
      <c r="AR60">
        <v>-999</v>
      </c>
      <c r="AS60" s="23">
        <v>1029288.8381177408</v>
      </c>
      <c r="AT60">
        <v>2607375.2228527153</v>
      </c>
    </row>
    <row r="61" spans="1:46">
      <c r="A61" s="48" t="s">
        <v>194</v>
      </c>
      <c r="B61" s="48" t="s">
        <v>200</v>
      </c>
      <c r="C61" s="49">
        <v>123</v>
      </c>
      <c r="D61" s="50">
        <v>0.88100000000000001</v>
      </c>
      <c r="E61" s="49">
        <v>152.111685320254</v>
      </c>
      <c r="F61" s="49">
        <v>0.77169482714303395</v>
      </c>
      <c r="G61" s="49">
        <v>234.85127900896799</v>
      </c>
      <c r="H61" s="49">
        <v>0.80667158649283599</v>
      </c>
      <c r="I61" s="61">
        <v>4493414.0599999996</v>
      </c>
      <c r="J61" s="62">
        <v>5773676.1399999997</v>
      </c>
      <c r="K61" s="66">
        <v>10267090.199999999</v>
      </c>
      <c r="L61" s="62">
        <v>1998820.51</v>
      </c>
      <c r="M61" s="62">
        <v>2568323.9</v>
      </c>
      <c r="N61" s="66">
        <v>4567144.41</v>
      </c>
      <c r="O61" s="62">
        <v>3793061.12</v>
      </c>
      <c r="P61" s="62">
        <v>4873778.91</v>
      </c>
      <c r="Q61" s="66">
        <v>8666839.9100000001</v>
      </c>
      <c r="R61" s="62">
        <v>2686907.69</v>
      </c>
      <c r="S61" s="62">
        <v>3452460.53</v>
      </c>
      <c r="T61" s="66">
        <v>6139368.2199999997</v>
      </c>
      <c r="U61" s="62">
        <v>1195226.23</v>
      </c>
      <c r="V61" s="62">
        <v>1535769.65</v>
      </c>
      <c r="W61" s="66">
        <v>2730995.88</v>
      </c>
      <c r="X61" s="62">
        <v>2268120.63</v>
      </c>
      <c r="Y61" s="62">
        <v>2914352.82</v>
      </c>
      <c r="Z61" s="66">
        <v>5182473.32</v>
      </c>
      <c r="AA61" s="62">
        <v>37553911.899999999</v>
      </c>
      <c r="AB61" s="22">
        <v>4697076.257284238</v>
      </c>
      <c r="AC61">
        <v>6035365.6984155579</v>
      </c>
      <c r="AD61" s="23">
        <v>10732441.955699796</v>
      </c>
      <c r="AE61">
        <v>2089416.2508891372</v>
      </c>
      <c r="AF61">
        <v>2684732.1525839055</v>
      </c>
      <c r="AG61" s="23">
        <v>4774148.4034730429</v>
      </c>
      <c r="AH61">
        <v>3964980.1011167327</v>
      </c>
      <c r="AI61">
        <v>5094680.9936736599</v>
      </c>
      <c r="AJ61" s="23">
        <v>9059660.9605050273</v>
      </c>
      <c r="AK61">
        <v>2808690.7059639329</v>
      </c>
      <c r="AL61">
        <v>3608941.9228334939</v>
      </c>
      <c r="AM61" s="23">
        <v>6417632.6287974268</v>
      </c>
      <c r="AN61">
        <v>1249399.376965482</v>
      </c>
      <c r="AO61">
        <v>1605377.7982605642</v>
      </c>
      <c r="AP61" s="23">
        <v>2854777.1752260458</v>
      </c>
      <c r="AQ61">
        <v>2370922.2906936784</v>
      </c>
      <c r="AR61">
        <v>3046444.6933201309</v>
      </c>
      <c r="AS61" s="23">
        <v>5417366.8497284427</v>
      </c>
      <c r="AT61">
        <v>39256027.986858323</v>
      </c>
    </row>
    <row r="62" spans="1:46">
      <c r="A62" s="48" t="s">
        <v>161</v>
      </c>
      <c r="B62" s="48" t="s">
        <v>201</v>
      </c>
      <c r="C62" s="49">
        <v>27</v>
      </c>
      <c r="D62" s="50">
        <v>0.88</v>
      </c>
      <c r="E62" s="49">
        <v>116.298935561492</v>
      </c>
      <c r="F62" s="49">
        <v>0.79139211807422905</v>
      </c>
      <c r="G62" s="49">
        <v>70.904286115781005</v>
      </c>
      <c r="H62" s="49">
        <v>0.81841417951287498</v>
      </c>
      <c r="I62" s="61">
        <v>171082.427</v>
      </c>
      <c r="J62" s="62">
        <v>-999</v>
      </c>
      <c r="K62" s="66">
        <v>171082.427</v>
      </c>
      <c r="L62" s="62">
        <v>57774.715300000003</v>
      </c>
      <c r="M62" s="62">
        <v>-999</v>
      </c>
      <c r="N62" s="66">
        <v>57774.715300000003</v>
      </c>
      <c r="O62" s="62">
        <v>242168.731</v>
      </c>
      <c r="P62" s="62">
        <v>-999</v>
      </c>
      <c r="Q62" s="66">
        <v>242168.731</v>
      </c>
      <c r="R62" s="62">
        <v>59968.480000000003</v>
      </c>
      <c r="S62" s="62">
        <v>-999</v>
      </c>
      <c r="T62" s="66">
        <v>59968.480000000003</v>
      </c>
      <c r="U62" s="62">
        <v>20251.483899999999</v>
      </c>
      <c r="V62" s="62">
        <v>-999</v>
      </c>
      <c r="W62" s="66">
        <v>20251.483899999999</v>
      </c>
      <c r="X62" s="62">
        <v>84885.995599999995</v>
      </c>
      <c r="Y62" s="62">
        <v>-999</v>
      </c>
      <c r="Z62" s="66">
        <v>84885.995599999995</v>
      </c>
      <c r="AA62" s="62">
        <v>636131.674</v>
      </c>
      <c r="AB62" s="22">
        <v>176924.03160773692</v>
      </c>
      <c r="AC62">
        <v>-999</v>
      </c>
      <c r="AD62" s="23">
        <v>176924.03160773692</v>
      </c>
      <c r="AE62">
        <v>59747.431264608778</v>
      </c>
      <c r="AF62">
        <v>-999</v>
      </c>
      <c r="AG62" s="23">
        <v>59747.431264608778</v>
      </c>
      <c r="AH62">
        <v>250437.57512369932</v>
      </c>
      <c r="AI62">
        <v>-999</v>
      </c>
      <c r="AJ62" s="23">
        <v>250437.57512369932</v>
      </c>
      <c r="AK62">
        <v>62016.10204051152</v>
      </c>
      <c r="AL62">
        <v>-999</v>
      </c>
      <c r="AM62" s="23">
        <v>62016.10204051152</v>
      </c>
      <c r="AN62">
        <v>20942.970234358909</v>
      </c>
      <c r="AO62">
        <v>-999</v>
      </c>
      <c r="AP62" s="23">
        <v>20942.970234358909</v>
      </c>
      <c r="AQ62">
        <v>87784.42547814468</v>
      </c>
      <c r="AR62">
        <v>-999</v>
      </c>
      <c r="AS62" s="23">
        <v>87784.42547814468</v>
      </c>
      <c r="AT62">
        <v>657852.37226089463</v>
      </c>
    </row>
    <row r="63" spans="1:46">
      <c r="A63" s="48" t="s">
        <v>178</v>
      </c>
      <c r="B63" s="48" t="s">
        <v>202</v>
      </c>
      <c r="C63" s="49">
        <v>81</v>
      </c>
      <c r="D63" s="50">
        <v>0.875</v>
      </c>
      <c r="E63" s="49">
        <v>37.464610077677399</v>
      </c>
      <c r="F63" s="49">
        <v>0.78902228440191302</v>
      </c>
      <c r="G63" s="49">
        <v>138.23319069864999</v>
      </c>
      <c r="H63" s="49">
        <v>0.81364861954561696</v>
      </c>
      <c r="I63" s="61">
        <v>1669551.91</v>
      </c>
      <c r="J63" s="62">
        <v>-999</v>
      </c>
      <c r="K63" s="66">
        <v>1669551.91</v>
      </c>
      <c r="L63" s="62">
        <v>1608199.32</v>
      </c>
      <c r="M63" s="62">
        <v>-999</v>
      </c>
      <c r="N63" s="66">
        <v>1608199.32</v>
      </c>
      <c r="O63" s="62">
        <v>1792041.82</v>
      </c>
      <c r="P63" s="62">
        <v>-999</v>
      </c>
      <c r="Q63" s="66">
        <v>1792041.82</v>
      </c>
      <c r="R63" s="62">
        <v>1256097.8799999999</v>
      </c>
      <c r="S63" s="62">
        <v>-999</v>
      </c>
      <c r="T63" s="66">
        <v>1256097.8799999999</v>
      </c>
      <c r="U63" s="62">
        <v>1209938.8899999999</v>
      </c>
      <c r="V63" s="62">
        <v>-999</v>
      </c>
      <c r="W63" s="66">
        <v>1209938.8899999999</v>
      </c>
      <c r="X63" s="62">
        <v>1348254.05</v>
      </c>
      <c r="Y63" s="62">
        <v>-999</v>
      </c>
      <c r="Z63" s="66">
        <v>1348254.05</v>
      </c>
      <c r="AA63" s="62">
        <v>8884083.8900000006</v>
      </c>
      <c r="AB63" s="22">
        <v>1721660.6329194345</v>
      </c>
      <c r="AC63">
        <v>-999</v>
      </c>
      <c r="AD63" s="23">
        <v>1721660.6329194345</v>
      </c>
      <c r="AE63">
        <v>1658393.1512331073</v>
      </c>
      <c r="AF63">
        <v>-999</v>
      </c>
      <c r="AG63" s="23">
        <v>1658393.1512331073</v>
      </c>
      <c r="AH63">
        <v>1847973.5989500007</v>
      </c>
      <c r="AI63">
        <v>-999</v>
      </c>
      <c r="AJ63" s="23">
        <v>1847973.5989500007</v>
      </c>
      <c r="AK63">
        <v>1295302.2086087556</v>
      </c>
      <c r="AL63">
        <v>-999</v>
      </c>
      <c r="AM63" s="23">
        <v>1295302.2086087556</v>
      </c>
      <c r="AN63">
        <v>1247702.5381158423</v>
      </c>
      <c r="AO63">
        <v>-999</v>
      </c>
      <c r="AP63" s="23">
        <v>1247702.5381158423</v>
      </c>
      <c r="AQ63">
        <v>1390334.6791092546</v>
      </c>
      <c r="AR63">
        <v>-999</v>
      </c>
      <c r="AS63" s="23">
        <v>1390334.6791092546</v>
      </c>
      <c r="AT63">
        <v>9161366.8360257596</v>
      </c>
    </row>
    <row r="64" spans="1:46">
      <c r="A64" s="48" t="s">
        <v>142</v>
      </c>
      <c r="B64" s="48" t="s">
        <v>203</v>
      </c>
      <c r="C64" s="49">
        <v>105</v>
      </c>
      <c r="D64" s="50">
        <v>0.86699999999999999</v>
      </c>
      <c r="E64" s="49">
        <v>130.768768885459</v>
      </c>
      <c r="F64" s="49">
        <v>0.79044575698988895</v>
      </c>
      <c r="G64" s="49">
        <v>147.91699907853001</v>
      </c>
      <c r="H64" s="49">
        <v>0.81239005656438301</v>
      </c>
      <c r="I64" s="61">
        <v>1405015.87</v>
      </c>
      <c r="J64" s="62">
        <v>-999</v>
      </c>
      <c r="K64" s="66">
        <v>1405015.87</v>
      </c>
      <c r="L64" s="62">
        <v>767697.28500000003</v>
      </c>
      <c r="M64" s="62">
        <v>-999</v>
      </c>
      <c r="N64" s="66">
        <v>767697.28500000003</v>
      </c>
      <c r="O64" s="62">
        <v>1171678.52</v>
      </c>
      <c r="P64" s="62">
        <v>-999</v>
      </c>
      <c r="Q64" s="66">
        <v>1171678.52</v>
      </c>
      <c r="R64" s="62">
        <v>1630927.39</v>
      </c>
      <c r="S64" s="62">
        <v>-999</v>
      </c>
      <c r="T64" s="66">
        <v>1630927.39</v>
      </c>
      <c r="U64" s="62">
        <v>891134.91700000002</v>
      </c>
      <c r="V64" s="62">
        <v>-999</v>
      </c>
      <c r="W64" s="66">
        <v>891134.91700000002</v>
      </c>
      <c r="X64" s="62">
        <v>1360071.94</v>
      </c>
      <c r="Y64" s="62">
        <v>-999</v>
      </c>
      <c r="Z64" s="66">
        <v>1360071.94</v>
      </c>
      <c r="AA64" s="62">
        <v>7226526.0599999996</v>
      </c>
      <c r="AB64" s="22">
        <v>1444021.8179498396</v>
      </c>
      <c r="AC64">
        <v>-999</v>
      </c>
      <c r="AD64" s="23">
        <v>1444021.8179498396</v>
      </c>
      <c r="AE64">
        <v>789010.04259138182</v>
      </c>
      <c r="AF64">
        <v>-999</v>
      </c>
      <c r="AG64" s="23">
        <v>789010.04259138182</v>
      </c>
      <c r="AH64">
        <v>1204206.5753995883</v>
      </c>
      <c r="AI64">
        <v>-999</v>
      </c>
      <c r="AJ64" s="23">
        <v>1204206.5753995883</v>
      </c>
      <c r="AK64">
        <v>1676205.0780639886</v>
      </c>
      <c r="AL64">
        <v>-999</v>
      </c>
      <c r="AM64" s="23">
        <v>1676205.0780639886</v>
      </c>
      <c r="AN64">
        <v>915874.541643698</v>
      </c>
      <c r="AO64">
        <v>-999</v>
      </c>
      <c r="AP64" s="23">
        <v>915874.541643698</v>
      </c>
      <c r="AQ64">
        <v>1397830.1618404884</v>
      </c>
      <c r="AR64">
        <v>-999</v>
      </c>
      <c r="AS64" s="23">
        <v>1397830.1618404884</v>
      </c>
      <c r="AT64">
        <v>7427148.366250027</v>
      </c>
    </row>
    <row r="65" spans="1:46">
      <c r="A65" s="48" t="s">
        <v>146</v>
      </c>
      <c r="B65" s="48" t="s">
        <v>204</v>
      </c>
      <c r="C65" s="49">
        <v>39</v>
      </c>
      <c r="D65" s="50">
        <v>0.85699999999999998</v>
      </c>
      <c r="E65" s="49">
        <v>163.84198542943301</v>
      </c>
      <c r="F65" s="49">
        <v>0.78258055401829996</v>
      </c>
      <c r="G65" s="49">
        <v>213.75146876861899</v>
      </c>
      <c r="H65" s="49">
        <v>0.80733126999094196</v>
      </c>
      <c r="I65" s="61">
        <v>2731631.1</v>
      </c>
      <c r="J65" s="62">
        <v>2161707.6800000002</v>
      </c>
      <c r="K65" s="66">
        <v>4893338.6500000004</v>
      </c>
      <c r="L65" s="62">
        <v>1375633.07</v>
      </c>
      <c r="M65" s="62">
        <v>1088623.1100000001</v>
      </c>
      <c r="N65" s="66">
        <v>2464256.06</v>
      </c>
      <c r="O65" s="62">
        <v>2453336.7999999998</v>
      </c>
      <c r="P65" s="62">
        <v>1941476.28</v>
      </c>
      <c r="Q65" s="66">
        <v>4394813.21</v>
      </c>
      <c r="R65" s="62">
        <v>747934.527</v>
      </c>
      <c r="S65" s="62">
        <v>591886.60800000001</v>
      </c>
      <c r="T65" s="66">
        <v>1339821.1299999999</v>
      </c>
      <c r="U65" s="62">
        <v>376655.29200000002</v>
      </c>
      <c r="V65" s="62">
        <v>298070.56400000001</v>
      </c>
      <c r="W65" s="66">
        <v>674725.85600000003</v>
      </c>
      <c r="X65" s="62">
        <v>671736.17599999998</v>
      </c>
      <c r="Y65" s="62">
        <v>531586.103</v>
      </c>
      <c r="Z65" s="66">
        <v>1203322.28</v>
      </c>
      <c r="AA65" s="62">
        <v>14970277.199999999</v>
      </c>
      <c r="AB65" s="22">
        <v>2818024.5414011236</v>
      </c>
      <c r="AC65">
        <v>2230076.122898215</v>
      </c>
      <c r="AD65" s="23">
        <v>5048100.529904156</v>
      </c>
      <c r="AE65">
        <v>1419140.2917015096</v>
      </c>
      <c r="AF65">
        <v>1123053.0541832373</v>
      </c>
      <c r="AG65" s="23">
        <v>2542193.2114895638</v>
      </c>
      <c r="AH65">
        <v>2530928.6104248548</v>
      </c>
      <c r="AI65">
        <v>2002879.4530686741</v>
      </c>
      <c r="AJ65" s="23">
        <v>4533808.1978887124</v>
      </c>
      <c r="AK65">
        <v>771589.49101141503</v>
      </c>
      <c r="AL65">
        <v>610606.23682258476</v>
      </c>
      <c r="AM65" s="23">
        <v>1382195.7278339998</v>
      </c>
      <c r="AN65">
        <v>388567.78851689456</v>
      </c>
      <c r="AO65">
        <v>307497.65735668084</v>
      </c>
      <c r="AP65" s="23">
        <v>696065.4458735754</v>
      </c>
      <c r="AQ65">
        <v>692981.2108158425</v>
      </c>
      <c r="AR65">
        <v>548398.60401035426</v>
      </c>
      <c r="AS65" s="23">
        <v>1241379.8148261968</v>
      </c>
      <c r="AT65">
        <v>15443742.941255718</v>
      </c>
    </row>
    <row r="66" spans="1:46">
      <c r="A66" s="48" t="s">
        <v>146</v>
      </c>
      <c r="B66" s="48" t="s">
        <v>205</v>
      </c>
      <c r="C66" s="49">
        <v>31</v>
      </c>
      <c r="D66" s="50">
        <v>0.85299999999999998</v>
      </c>
      <c r="E66" s="49">
        <v>96.261160082090001</v>
      </c>
      <c r="F66" s="49">
        <v>0.78747585237180995</v>
      </c>
      <c r="G66" s="49">
        <v>148.78832117133501</v>
      </c>
      <c r="H66" s="49">
        <v>0.81284425759368995</v>
      </c>
      <c r="I66" s="61">
        <v>2312701.08</v>
      </c>
      <c r="J66" s="62">
        <v>-999</v>
      </c>
      <c r="K66" s="66">
        <v>2312701.08</v>
      </c>
      <c r="L66" s="62">
        <v>1212109.23</v>
      </c>
      <c r="M66" s="62">
        <v>-999</v>
      </c>
      <c r="N66" s="66">
        <v>1212109.23</v>
      </c>
      <c r="O66" s="62">
        <v>2205887.6</v>
      </c>
      <c r="P66" s="62">
        <v>-999</v>
      </c>
      <c r="Q66" s="66">
        <v>2205887.6</v>
      </c>
      <c r="R66" s="62">
        <v>2125118.67</v>
      </c>
      <c r="S66" s="62">
        <v>-999</v>
      </c>
      <c r="T66" s="66">
        <v>2125118.67</v>
      </c>
      <c r="U66" s="62">
        <v>1113795.49</v>
      </c>
      <c r="V66" s="62">
        <v>-999</v>
      </c>
      <c r="W66" s="66">
        <v>1113795.49</v>
      </c>
      <c r="X66" s="62">
        <v>2026968.79</v>
      </c>
      <c r="Y66" s="62">
        <v>-999</v>
      </c>
      <c r="Z66" s="66">
        <v>2026968.79</v>
      </c>
      <c r="AA66" s="62">
        <v>10996580.699999999</v>
      </c>
      <c r="AB66" s="22">
        <v>2387204.3651541285</v>
      </c>
      <c r="AC66">
        <v>-999</v>
      </c>
      <c r="AD66" s="23">
        <v>2387204.3651541285</v>
      </c>
      <c r="AE66">
        <v>1251157.1278497542</v>
      </c>
      <c r="AF66">
        <v>-999</v>
      </c>
      <c r="AG66" s="23">
        <v>1251157.1278497542</v>
      </c>
      <c r="AH66">
        <v>2276949.9081752724</v>
      </c>
      <c r="AI66">
        <v>-999</v>
      </c>
      <c r="AJ66" s="23">
        <v>2276949.9081752724</v>
      </c>
      <c r="AK66">
        <v>2193579.0165252932</v>
      </c>
      <c r="AL66">
        <v>-999</v>
      </c>
      <c r="AM66" s="23">
        <v>2193579.0165252932</v>
      </c>
      <c r="AN66">
        <v>1149676.2253958758</v>
      </c>
      <c r="AO66">
        <v>-999</v>
      </c>
      <c r="AP66" s="23">
        <v>1149676.2253958758</v>
      </c>
      <c r="AQ66">
        <v>2092267.2552234407</v>
      </c>
      <c r="AR66">
        <v>-999</v>
      </c>
      <c r="AS66" s="23">
        <v>2092267.2552234407</v>
      </c>
      <c r="AT66">
        <v>11350833.708885673</v>
      </c>
    </row>
    <row r="67" spans="1:46">
      <c r="A67" s="48" t="s">
        <v>142</v>
      </c>
      <c r="B67" s="48" t="s">
        <v>206</v>
      </c>
      <c r="C67" s="49">
        <v>50</v>
      </c>
      <c r="D67" s="50">
        <v>0.84799999999999998</v>
      </c>
      <c r="E67" s="49">
        <v>66.324454850365697</v>
      </c>
      <c r="F67" s="49">
        <v>0.79430949654885197</v>
      </c>
      <c r="G67" s="49">
        <v>81.798302731955701</v>
      </c>
      <c r="H67" s="49">
        <v>0.81767459380844898</v>
      </c>
      <c r="I67" s="61">
        <v>472833.924</v>
      </c>
      <c r="J67" s="62">
        <v>119494.625</v>
      </c>
      <c r="K67" s="66">
        <v>592328.549</v>
      </c>
      <c r="L67" s="62">
        <v>201233.15</v>
      </c>
      <c r="M67" s="62">
        <v>50855.610099999998</v>
      </c>
      <c r="N67" s="66">
        <v>252088.76</v>
      </c>
      <c r="O67" s="62">
        <v>772452.64099999995</v>
      </c>
      <c r="P67" s="62">
        <v>195214.15599999999</v>
      </c>
      <c r="Q67" s="66">
        <v>967666.79700000002</v>
      </c>
      <c r="R67" s="62">
        <v>550934.21100000001</v>
      </c>
      <c r="S67" s="62">
        <v>139232.087</v>
      </c>
      <c r="T67" s="66">
        <v>690166.43</v>
      </c>
      <c r="U67" s="62">
        <v>234471.83</v>
      </c>
      <c r="V67" s="62">
        <v>59255.756699999998</v>
      </c>
      <c r="W67" s="66">
        <v>293727.587</v>
      </c>
      <c r="X67" s="62">
        <v>900042.36399999994</v>
      </c>
      <c r="Y67" s="62">
        <v>227458.75</v>
      </c>
      <c r="Z67" s="66">
        <v>1127501.1100000001</v>
      </c>
      <c r="AA67" s="62">
        <v>3923479.1</v>
      </c>
      <c r="AB67" s="22">
        <v>486742.62202399585</v>
      </c>
      <c r="AC67">
        <v>123009.6317321465</v>
      </c>
      <c r="AD67" s="23">
        <v>609752.25375614245</v>
      </c>
      <c r="AE67">
        <v>207152.5456358364</v>
      </c>
      <c r="AF67">
        <v>52351.558784786714</v>
      </c>
      <c r="AG67" s="23">
        <v>259504.10442062313</v>
      </c>
      <c r="AH67">
        <v>795174.80605456966</v>
      </c>
      <c r="AI67">
        <v>200956.49887672</v>
      </c>
      <c r="AJ67" s="23">
        <v>996131.30493128975</v>
      </c>
      <c r="AK67">
        <v>567140.27611711714</v>
      </c>
      <c r="AL67">
        <v>143327.68321910937</v>
      </c>
      <c r="AM67" s="23">
        <v>710468.09545324661</v>
      </c>
      <c r="AN67">
        <v>241368.96158647109</v>
      </c>
      <c r="AO67">
        <v>60998.800843511402</v>
      </c>
      <c r="AP67" s="23">
        <v>302367.76242998254</v>
      </c>
      <c r="AQ67">
        <v>926517.65787985909</v>
      </c>
      <c r="AR67">
        <v>234149.58706955504</v>
      </c>
      <c r="AS67" s="23">
        <v>1160667.2449494142</v>
      </c>
      <c r="AT67">
        <v>4038890.6298236777</v>
      </c>
    </row>
    <row r="68" spans="1:46">
      <c r="A68" s="48" t="s">
        <v>138</v>
      </c>
      <c r="B68" s="48" t="s">
        <v>207</v>
      </c>
      <c r="C68" s="49">
        <v>110</v>
      </c>
      <c r="D68" s="50">
        <v>0.84699999999999998</v>
      </c>
      <c r="E68" s="49">
        <v>21.499055702588201</v>
      </c>
      <c r="F68" s="49">
        <v>0.79367137362892604</v>
      </c>
      <c r="G68" s="49">
        <v>39.407061873389701</v>
      </c>
      <c r="H68" s="49">
        <v>0.81994363680525395</v>
      </c>
      <c r="I68" s="61">
        <v>67629.692599999995</v>
      </c>
      <c r="J68" s="62">
        <v>-999</v>
      </c>
      <c r="K68" s="66">
        <v>67629.692599999995</v>
      </c>
      <c r="L68" s="62">
        <v>37334.688300000002</v>
      </c>
      <c r="M68" s="62">
        <v>-999</v>
      </c>
      <c r="N68" s="66">
        <v>37334.688300000002</v>
      </c>
      <c r="O68" s="62">
        <v>61651.999100000001</v>
      </c>
      <c r="P68" s="62">
        <v>-999</v>
      </c>
      <c r="Q68" s="66">
        <v>61651.999100000001</v>
      </c>
      <c r="R68" s="62">
        <v>44657.243799999997</v>
      </c>
      <c r="S68" s="62">
        <v>-999</v>
      </c>
      <c r="T68" s="66">
        <v>44657.243799999997</v>
      </c>
      <c r="U68" s="62">
        <v>24652.898799999999</v>
      </c>
      <c r="V68" s="62">
        <v>-999</v>
      </c>
      <c r="W68" s="66">
        <v>24652.898799999999</v>
      </c>
      <c r="X68" s="62">
        <v>40710.121700000003</v>
      </c>
      <c r="Y68" s="62">
        <v>-999</v>
      </c>
      <c r="Z68" s="66">
        <v>40710.121700000003</v>
      </c>
      <c r="AA68" s="62">
        <v>276636.76299999998</v>
      </c>
      <c r="AB68" s="22">
        <v>69868.383711027142</v>
      </c>
      <c r="AC68">
        <v>-999</v>
      </c>
      <c r="AD68" s="23">
        <v>69868.383711027142</v>
      </c>
      <c r="AE68">
        <v>38570.548337250308</v>
      </c>
      <c r="AF68">
        <v>-999</v>
      </c>
      <c r="AG68" s="23">
        <v>38570.548337250308</v>
      </c>
      <c r="AH68">
        <v>63692.815501887191</v>
      </c>
      <c r="AI68">
        <v>-999</v>
      </c>
      <c r="AJ68" s="23">
        <v>63692.815501887191</v>
      </c>
      <c r="AK68">
        <v>46135.496548176881</v>
      </c>
      <c r="AL68">
        <v>-999</v>
      </c>
      <c r="AM68" s="23">
        <v>46135.496548176881</v>
      </c>
      <c r="AN68">
        <v>25468.963815048341</v>
      </c>
      <c r="AO68">
        <v>-999</v>
      </c>
      <c r="AP68" s="23">
        <v>25468.963815048341</v>
      </c>
      <c r="AQ68">
        <v>42057.716063514716</v>
      </c>
      <c r="AR68">
        <v>-999</v>
      </c>
      <c r="AS68" s="23">
        <v>42057.716063514716</v>
      </c>
      <c r="AT68">
        <v>285794.04682217445</v>
      </c>
    </row>
    <row r="69" spans="1:46">
      <c r="A69" s="48" t="s">
        <v>161</v>
      </c>
      <c r="B69" s="48" t="s">
        <v>208</v>
      </c>
      <c r="C69" s="49">
        <v>43</v>
      </c>
      <c r="D69" s="50">
        <v>0.84099999999999997</v>
      </c>
      <c r="E69" s="49">
        <v>89.698110876025694</v>
      </c>
      <c r="F69" s="49">
        <v>0.79551364739397601</v>
      </c>
      <c r="G69" s="49">
        <v>116.913905096216</v>
      </c>
      <c r="H69" s="49">
        <v>0.81431895684425604</v>
      </c>
      <c r="I69" s="61">
        <v>441248.77600000001</v>
      </c>
      <c r="J69" s="62">
        <v>634594.99899999995</v>
      </c>
      <c r="K69" s="66">
        <v>1075843.9099999999</v>
      </c>
      <c r="L69" s="62">
        <v>396412.522</v>
      </c>
      <c r="M69" s="62">
        <v>570112.40099999995</v>
      </c>
      <c r="N69" s="66">
        <v>966524.92299999995</v>
      </c>
      <c r="O69" s="62">
        <v>339190.81400000001</v>
      </c>
      <c r="P69" s="62">
        <v>487817.18699999998</v>
      </c>
      <c r="Q69" s="66">
        <v>827008.00199999998</v>
      </c>
      <c r="R69" s="62">
        <v>102703.018</v>
      </c>
      <c r="S69" s="62">
        <v>147705.337</v>
      </c>
      <c r="T69" s="66">
        <v>250408.35500000001</v>
      </c>
      <c r="U69" s="62">
        <v>92267.168099999995</v>
      </c>
      <c r="V69" s="62">
        <v>132696.75099999999</v>
      </c>
      <c r="W69" s="66">
        <v>224963.78599999999</v>
      </c>
      <c r="X69" s="62">
        <v>78948.494699999996</v>
      </c>
      <c r="Y69" s="62">
        <v>113542.111</v>
      </c>
      <c r="Z69" s="66">
        <v>192490.473</v>
      </c>
      <c r="AA69" s="62">
        <v>3537239.46</v>
      </c>
      <c r="AB69" s="22">
        <v>451679.54603495501</v>
      </c>
      <c r="AC69">
        <v>649596.31945038948</v>
      </c>
      <c r="AD69" s="23">
        <v>1101276.001043757</v>
      </c>
      <c r="AE69">
        <v>405783.39875110774</v>
      </c>
      <c r="AF69">
        <v>583589.40387777821</v>
      </c>
      <c r="AG69" s="23">
        <v>989372.80262888607</v>
      </c>
      <c r="AH69">
        <v>347209.01537831873</v>
      </c>
      <c r="AI69">
        <v>499348.79735450738</v>
      </c>
      <c r="AJ69" s="23">
        <v>846557.81273282599</v>
      </c>
      <c r="AK69">
        <v>105130.83568400012</v>
      </c>
      <c r="AL69">
        <v>151196.97321714202</v>
      </c>
      <c r="AM69" s="23">
        <v>256327.80890114215</v>
      </c>
      <c r="AN69">
        <v>94448.290544114265</v>
      </c>
      <c r="AO69">
        <v>135833.59609308964</v>
      </c>
      <c r="AP69" s="23">
        <v>230281.75107879136</v>
      </c>
      <c r="AQ69">
        <v>80814.774322174504</v>
      </c>
      <c r="AR69">
        <v>116226.15618999625</v>
      </c>
      <c r="AS69" s="23">
        <v>197040.79495375822</v>
      </c>
      <c r="AT69">
        <v>3620856.9848950021</v>
      </c>
    </row>
    <row r="70" spans="1:46">
      <c r="A70" s="48" t="s">
        <v>194</v>
      </c>
      <c r="B70" s="48" t="s">
        <v>143</v>
      </c>
      <c r="C70" s="49">
        <v>159</v>
      </c>
      <c r="D70" s="50">
        <v>0.84099999999999997</v>
      </c>
      <c r="E70" s="49">
        <v>124.12077020047001</v>
      </c>
      <c r="F70" s="49">
        <v>0.77114741455355995</v>
      </c>
      <c r="G70" s="49">
        <v>276.62033409746101</v>
      </c>
      <c r="H70" s="49">
        <v>0.80262225922292796</v>
      </c>
      <c r="I70" s="61">
        <v>313059.83899999998</v>
      </c>
      <c r="J70" s="62">
        <v>-999</v>
      </c>
      <c r="K70" s="66">
        <v>313059.83899999998</v>
      </c>
      <c r="L70" s="62">
        <v>194799.71</v>
      </c>
      <c r="M70" s="62">
        <v>-999</v>
      </c>
      <c r="N70" s="66">
        <v>194799.71</v>
      </c>
      <c r="O70" s="62">
        <v>818151.43799999997</v>
      </c>
      <c r="P70" s="62">
        <v>-999</v>
      </c>
      <c r="Q70" s="66">
        <v>818151.43799999997</v>
      </c>
      <c r="R70" s="62">
        <v>256723.65700000001</v>
      </c>
      <c r="S70" s="62">
        <v>-999</v>
      </c>
      <c r="T70" s="66">
        <v>256723.65700000001</v>
      </c>
      <c r="U70" s="62">
        <v>159744.861</v>
      </c>
      <c r="V70" s="62">
        <v>-999</v>
      </c>
      <c r="W70" s="66">
        <v>159744.861</v>
      </c>
      <c r="X70" s="62">
        <v>670922.56200000003</v>
      </c>
      <c r="Y70" s="62">
        <v>-999</v>
      </c>
      <c r="Z70" s="66">
        <v>670922.56200000003</v>
      </c>
      <c r="AA70" s="62">
        <v>2413402.04</v>
      </c>
      <c r="AB70" s="22">
        <v>325837.56478074024</v>
      </c>
      <c r="AC70">
        <v>-999</v>
      </c>
      <c r="AD70" s="23">
        <v>325837.56478074024</v>
      </c>
      <c r="AE70">
        <v>202750.57677398794</v>
      </c>
      <c r="AF70">
        <v>-999</v>
      </c>
      <c r="AG70" s="23">
        <v>202750.57677398794</v>
      </c>
      <c r="AH70">
        <v>851544.77988545201</v>
      </c>
      <c r="AI70">
        <v>-999</v>
      </c>
      <c r="AJ70" s="23">
        <v>851544.77988545201</v>
      </c>
      <c r="AK70">
        <v>267201.98670622776</v>
      </c>
      <c r="AL70">
        <v>-999</v>
      </c>
      <c r="AM70" s="23">
        <v>267201.98670622776</v>
      </c>
      <c r="AN70">
        <v>166264.9433222973</v>
      </c>
      <c r="AO70">
        <v>-999</v>
      </c>
      <c r="AP70" s="23">
        <v>166264.9433222973</v>
      </c>
      <c r="AQ70">
        <v>698306.66927921574</v>
      </c>
      <c r="AR70">
        <v>-999</v>
      </c>
      <c r="AS70" s="23">
        <v>698306.66927921574</v>
      </c>
      <c r="AT70">
        <v>2511906.4940256649</v>
      </c>
    </row>
    <row r="71" spans="1:46">
      <c r="A71" s="49" t="s">
        <v>151</v>
      </c>
      <c r="B71" s="49" t="s">
        <v>209</v>
      </c>
      <c r="C71" s="49">
        <v>23</v>
      </c>
      <c r="D71" s="50">
        <v>0.83799999999999997</v>
      </c>
      <c r="E71" s="49">
        <v>67.458454915844897</v>
      </c>
      <c r="F71" s="49">
        <v>0.79472962352514498</v>
      </c>
      <c r="G71" s="49">
        <v>133.50291769972699</v>
      </c>
      <c r="H71" s="49">
        <v>0.81285030063876496</v>
      </c>
      <c r="I71" s="61">
        <v>1382973.32</v>
      </c>
      <c r="J71" s="62">
        <v>-999</v>
      </c>
      <c r="K71" s="66">
        <v>1382973.32</v>
      </c>
      <c r="L71" s="62">
        <v>781481.97199999995</v>
      </c>
      <c r="M71" s="62">
        <v>-999</v>
      </c>
      <c r="N71" s="66">
        <v>781481.97199999995</v>
      </c>
      <c r="O71" s="62">
        <v>613752.277</v>
      </c>
      <c r="P71" s="62">
        <v>-999</v>
      </c>
      <c r="Q71" s="66">
        <v>613752.277</v>
      </c>
      <c r="R71" s="62">
        <v>446196.685</v>
      </c>
      <c r="S71" s="62">
        <v>-999</v>
      </c>
      <c r="T71" s="66">
        <v>446196.685</v>
      </c>
      <c r="U71" s="62">
        <v>252134.117</v>
      </c>
      <c r="V71" s="62">
        <v>-999</v>
      </c>
      <c r="W71" s="66">
        <v>252134.117</v>
      </c>
      <c r="X71" s="62">
        <v>198018.39199999999</v>
      </c>
      <c r="Y71" s="62">
        <v>-999</v>
      </c>
      <c r="Z71" s="66">
        <v>198018.39199999999</v>
      </c>
      <c r="AA71" s="62">
        <v>3674556.84</v>
      </c>
      <c r="AB71" s="22">
        <v>1414506.5777884813</v>
      </c>
      <c r="AC71">
        <v>-999</v>
      </c>
      <c r="AD71" s="23">
        <v>1414506.5777884813</v>
      </c>
      <c r="AE71">
        <v>799300.58814226545</v>
      </c>
      <c r="AF71">
        <v>-999</v>
      </c>
      <c r="AG71" s="23">
        <v>799300.58814226545</v>
      </c>
      <c r="AH71">
        <v>627746.47851414548</v>
      </c>
      <c r="AI71">
        <v>-999</v>
      </c>
      <c r="AJ71" s="23">
        <v>627746.47851414548</v>
      </c>
      <c r="AK71">
        <v>456370.44201474346</v>
      </c>
      <c r="AL71">
        <v>-999</v>
      </c>
      <c r="AM71" s="23">
        <v>456370.44201474346</v>
      </c>
      <c r="AN71">
        <v>257883.04229588533</v>
      </c>
      <c r="AO71">
        <v>-999</v>
      </c>
      <c r="AP71" s="23">
        <v>257883.04229588533</v>
      </c>
      <c r="AQ71">
        <v>202533.42146794332</v>
      </c>
      <c r="AR71">
        <v>-999</v>
      </c>
      <c r="AS71" s="23">
        <v>202533.42146794332</v>
      </c>
      <c r="AT71">
        <v>3758340.6314118207</v>
      </c>
    </row>
    <row r="72" spans="1:46">
      <c r="A72" s="48" t="s">
        <v>160</v>
      </c>
      <c r="B72" s="48" t="s">
        <v>210</v>
      </c>
      <c r="C72" s="49">
        <v>143</v>
      </c>
      <c r="D72" s="50">
        <v>0.83399999999999996</v>
      </c>
      <c r="E72" s="49">
        <v>182.87520446263301</v>
      </c>
      <c r="F72" s="49">
        <v>0.78191419324960398</v>
      </c>
      <c r="G72" s="49">
        <v>104.407792363765</v>
      </c>
      <c r="H72" s="49">
        <v>0.81603595128325501</v>
      </c>
      <c r="I72" s="61">
        <v>197343.136</v>
      </c>
      <c r="J72" s="62">
        <v>142059.734</v>
      </c>
      <c r="K72" s="66">
        <v>339402.86900000001</v>
      </c>
      <c r="L72" s="62">
        <v>5550.9757300000001</v>
      </c>
      <c r="M72" s="62">
        <v>3995.9059200000002</v>
      </c>
      <c r="N72" s="66">
        <v>9546.8816499999994</v>
      </c>
      <c r="O72" s="62">
        <v>348824.79300000001</v>
      </c>
      <c r="P72" s="62">
        <v>251105.44099999999</v>
      </c>
      <c r="Q72" s="66">
        <v>599930.23400000005</v>
      </c>
      <c r="R72" s="62">
        <v>97813.070900000006</v>
      </c>
      <c r="S72" s="62">
        <v>70411.847899999993</v>
      </c>
      <c r="T72" s="66">
        <v>168224.78899999999</v>
      </c>
      <c r="U72" s="62">
        <v>2751.2773499999998</v>
      </c>
      <c r="V72" s="62">
        <v>1980.5760600000001</v>
      </c>
      <c r="W72" s="66">
        <v>4731.8534099999997</v>
      </c>
      <c r="X72" s="62">
        <v>172894.81400000001</v>
      </c>
      <c r="Y72" s="62">
        <v>124460.254</v>
      </c>
      <c r="Z72" s="66">
        <v>297355.06800000003</v>
      </c>
      <c r="AA72" s="62">
        <v>1419191.69</v>
      </c>
      <c r="AB72" s="22">
        <v>205954.94338850107</v>
      </c>
      <c r="AC72">
        <v>148259.04281729783</v>
      </c>
      <c r="AD72" s="23">
        <v>354213.98620579886</v>
      </c>
      <c r="AE72">
        <v>5793.2133700936265</v>
      </c>
      <c r="AF72">
        <v>4170.2822597313752</v>
      </c>
      <c r="AG72" s="23">
        <v>9963.4956298249999</v>
      </c>
      <c r="AH72">
        <v>364047.07136722613</v>
      </c>
      <c r="AI72">
        <v>262063.36819543774</v>
      </c>
      <c r="AJ72" s="23">
        <v>626110.4395626639</v>
      </c>
      <c r="AK72">
        <v>102081.51102308671</v>
      </c>
      <c r="AL72">
        <v>73484.532967031759</v>
      </c>
      <c r="AM72" s="23">
        <v>175565.90814588059</v>
      </c>
      <c r="AN72">
        <v>2871.3396567947516</v>
      </c>
      <c r="AO72">
        <v>2067.0059241041272</v>
      </c>
      <c r="AP72" s="23">
        <v>4938.3455808988792</v>
      </c>
      <c r="AQ72">
        <v>180439.72771377012</v>
      </c>
      <c r="AR72">
        <v>129891.54340890406</v>
      </c>
      <c r="AS72" s="23">
        <v>310331.27112267417</v>
      </c>
      <c r="AT72">
        <v>1481123.4462477416</v>
      </c>
    </row>
    <row r="73" spans="1:46">
      <c r="A73" s="48" t="s">
        <v>138</v>
      </c>
      <c r="B73" s="48" t="s">
        <v>211</v>
      </c>
      <c r="C73" s="49">
        <v>132</v>
      </c>
      <c r="D73" s="50">
        <v>0.83</v>
      </c>
      <c r="E73" s="49">
        <v>143.40690417841699</v>
      </c>
      <c r="F73" s="49">
        <v>0.78572892634464497</v>
      </c>
      <c r="G73" s="49">
        <v>27.729451640928701</v>
      </c>
      <c r="H73" s="49">
        <v>0.82144864496679004</v>
      </c>
      <c r="I73" s="61">
        <v>2593401.65</v>
      </c>
      <c r="J73" s="62">
        <v>579297.06799999997</v>
      </c>
      <c r="K73" s="66">
        <v>3172698.58</v>
      </c>
      <c r="L73" s="62">
        <v>1264702.3999999999</v>
      </c>
      <c r="M73" s="62">
        <v>282500.88799999998</v>
      </c>
      <c r="N73" s="66">
        <v>1547203.29</v>
      </c>
      <c r="O73" s="62">
        <v>1876747.76</v>
      </c>
      <c r="P73" s="62">
        <v>419215.61200000002</v>
      </c>
      <c r="Q73" s="66">
        <v>2295963.37</v>
      </c>
      <c r="R73" s="62">
        <v>1780107.13</v>
      </c>
      <c r="S73" s="62">
        <v>397628.663</v>
      </c>
      <c r="T73" s="66">
        <v>2177735.79</v>
      </c>
      <c r="U73" s="62">
        <v>868089.91399999999</v>
      </c>
      <c r="V73" s="62">
        <v>193908.18900000001</v>
      </c>
      <c r="W73" s="66">
        <v>1061998.1000000001</v>
      </c>
      <c r="X73" s="62">
        <v>1288197.05</v>
      </c>
      <c r="Y73" s="62">
        <v>287748.93900000001</v>
      </c>
      <c r="Z73" s="66">
        <v>1575945.99</v>
      </c>
      <c r="AA73" s="62">
        <v>11831545.300000001</v>
      </c>
      <c r="AB73" s="22">
        <v>2711299.2747770892</v>
      </c>
      <c r="AC73">
        <v>605632.26733825263</v>
      </c>
      <c r="AD73" s="23">
        <v>3316931.4053700613</v>
      </c>
      <c r="AE73">
        <v>1322196.5454261249</v>
      </c>
      <c r="AF73">
        <v>295343.55106389581</v>
      </c>
      <c r="AG73" s="23">
        <v>1617540.0964900211</v>
      </c>
      <c r="AH73">
        <v>1962065.8654206409</v>
      </c>
      <c r="AI73">
        <v>438273.41049948573</v>
      </c>
      <c r="AJ73" s="23">
        <v>2400339.2759201271</v>
      </c>
      <c r="AK73">
        <v>1861031.888318761</v>
      </c>
      <c r="AL73">
        <v>415705.10612982215</v>
      </c>
      <c r="AM73" s="23">
        <v>2276736.9944485831</v>
      </c>
      <c r="AN73">
        <v>907553.8133815066</v>
      </c>
      <c r="AO73">
        <v>202723.37433381294</v>
      </c>
      <c r="AP73" s="23">
        <v>1110277.1877153195</v>
      </c>
      <c r="AQ73">
        <v>1346759.2797137566</v>
      </c>
      <c r="AR73">
        <v>300830.18195855716</v>
      </c>
      <c r="AS73" s="23">
        <v>1647589.4616723137</v>
      </c>
      <c r="AT73">
        <v>12369414.558361707</v>
      </c>
    </row>
    <row r="74" spans="1:46">
      <c r="A74" s="48" t="s">
        <v>160</v>
      </c>
      <c r="B74" s="48" t="s">
        <v>212</v>
      </c>
      <c r="C74" s="49">
        <v>128</v>
      </c>
      <c r="D74" s="50">
        <v>0.82599999999999996</v>
      </c>
      <c r="E74" s="49">
        <v>188.700527387232</v>
      </c>
      <c r="F74" s="49">
        <v>0.78178319568611199</v>
      </c>
      <c r="G74" s="49">
        <v>110.927831695669</v>
      </c>
      <c r="H74" s="49">
        <v>0.81492768562110895</v>
      </c>
      <c r="I74" s="61">
        <v>90368.034899999999</v>
      </c>
      <c r="J74" s="62">
        <v>-999</v>
      </c>
      <c r="K74" s="66">
        <v>90368.034899999999</v>
      </c>
      <c r="L74" s="62">
        <v>89468.752099999998</v>
      </c>
      <c r="M74" s="62">
        <v>-999</v>
      </c>
      <c r="N74" s="66">
        <v>89468.752099999998</v>
      </c>
      <c r="O74" s="62">
        <v>183607.91899999999</v>
      </c>
      <c r="P74" s="62">
        <v>-999</v>
      </c>
      <c r="Q74" s="66">
        <v>183607.91899999999</v>
      </c>
      <c r="R74" s="62">
        <v>292038.26400000002</v>
      </c>
      <c r="S74" s="62">
        <v>-999</v>
      </c>
      <c r="T74" s="66">
        <v>292038.26400000002</v>
      </c>
      <c r="U74" s="62">
        <v>289132.18800000002</v>
      </c>
      <c r="V74" s="62">
        <v>-999</v>
      </c>
      <c r="W74" s="66">
        <v>289132.18800000002</v>
      </c>
      <c r="X74" s="62">
        <v>593357.49100000004</v>
      </c>
      <c r="Y74" s="62">
        <v>-999</v>
      </c>
      <c r="Z74" s="66">
        <v>593357.49100000004</v>
      </c>
      <c r="AA74" s="62">
        <v>1537972.74</v>
      </c>
      <c r="AB74" s="22">
        <v>94199.279219159551</v>
      </c>
      <c r="AC74">
        <v>-999</v>
      </c>
      <c r="AD74" s="23">
        <v>94199.279219159551</v>
      </c>
      <c r="AE74">
        <v>93261.870369807264</v>
      </c>
      <c r="AF74">
        <v>-999</v>
      </c>
      <c r="AG74" s="23">
        <v>93261.870369807264</v>
      </c>
      <c r="AH74">
        <v>191392.16206764721</v>
      </c>
      <c r="AI74">
        <v>-999</v>
      </c>
      <c r="AJ74" s="23">
        <v>191392.16206764721</v>
      </c>
      <c r="AK74">
        <v>304419.52186462947</v>
      </c>
      <c r="AL74">
        <v>-999</v>
      </c>
      <c r="AM74" s="23">
        <v>304419.52186462947</v>
      </c>
      <c r="AN74">
        <v>301390.23972193239</v>
      </c>
      <c r="AO74">
        <v>-999</v>
      </c>
      <c r="AP74" s="23">
        <v>301390.23972193239</v>
      </c>
      <c r="AQ74">
        <v>618513.48290186515</v>
      </c>
      <c r="AR74">
        <v>-999</v>
      </c>
      <c r="AS74" s="23">
        <v>618513.48290186515</v>
      </c>
      <c r="AT74">
        <v>1603176.6511068637</v>
      </c>
    </row>
    <row r="75" spans="1:46">
      <c r="A75" s="48" t="s">
        <v>138</v>
      </c>
      <c r="B75" s="48" t="s">
        <v>213</v>
      </c>
      <c r="C75" s="49">
        <v>170</v>
      </c>
      <c r="D75" s="50">
        <v>0.82299999999999995</v>
      </c>
      <c r="E75" s="49">
        <v>197.012434532806</v>
      </c>
      <c r="F75" s="49">
        <v>0.74071122507131304</v>
      </c>
      <c r="G75" s="49">
        <v>172.68819236867199</v>
      </c>
      <c r="H75" s="49">
        <v>0.81126816414311598</v>
      </c>
      <c r="I75" s="61">
        <v>711917.353</v>
      </c>
      <c r="J75" s="62">
        <v>8466030.6199999992</v>
      </c>
      <c r="K75" s="66">
        <v>9177947.9700000007</v>
      </c>
      <c r="L75" s="62">
        <v>451929.76899999997</v>
      </c>
      <c r="M75" s="62">
        <v>5374292.0599999996</v>
      </c>
      <c r="N75" s="66">
        <v>5826221.8300000001</v>
      </c>
      <c r="O75" s="62">
        <v>776770.25899999996</v>
      </c>
      <c r="P75" s="62">
        <v>9237254.2400000002</v>
      </c>
      <c r="Q75" s="66">
        <v>10014024.5</v>
      </c>
      <c r="R75" s="62">
        <v>1150490.47</v>
      </c>
      <c r="S75" s="62">
        <v>13681486.800000001</v>
      </c>
      <c r="T75" s="66">
        <v>14831977.300000001</v>
      </c>
      <c r="U75" s="62">
        <v>730338.88</v>
      </c>
      <c r="V75" s="62">
        <v>8685097.9399999995</v>
      </c>
      <c r="W75" s="66">
        <v>9415436.8200000003</v>
      </c>
      <c r="X75" s="62">
        <v>1255295.82</v>
      </c>
      <c r="Y75" s="62">
        <v>14927818.9</v>
      </c>
      <c r="Z75" s="66">
        <v>16183114.6</v>
      </c>
      <c r="AA75" s="62">
        <v>65448723.100000001</v>
      </c>
      <c r="AB75" s="22">
        <v>779731.51218587591</v>
      </c>
      <c r="AC75">
        <v>9272467.9774550665</v>
      </c>
      <c r="AD75" s="23">
        <v>10052199.489640942</v>
      </c>
      <c r="AE75">
        <v>494978.63918935054</v>
      </c>
      <c r="AF75">
        <v>5886223.8118501622</v>
      </c>
      <c r="AG75" s="23">
        <v>6381202.4510395117</v>
      </c>
      <c r="AH75">
        <v>850762.02515315323</v>
      </c>
      <c r="AI75">
        <v>10117155.023637002</v>
      </c>
      <c r="AJ75" s="23">
        <v>10967917.048790155</v>
      </c>
      <c r="AK75">
        <v>1260081.2055041133</v>
      </c>
      <c r="AL75">
        <v>14984725.880813342</v>
      </c>
      <c r="AM75" s="23">
        <v>16244807.086317454</v>
      </c>
      <c r="AN75">
        <v>799907.79452235973</v>
      </c>
      <c r="AO75">
        <v>9512402.7042331006</v>
      </c>
      <c r="AP75" s="23">
        <v>10312310.498755461</v>
      </c>
      <c r="AQ75">
        <v>1374869.8529088739</v>
      </c>
      <c r="AR75">
        <v>16349778.233859764</v>
      </c>
      <c r="AS75" s="23">
        <v>17724647.951718085</v>
      </c>
      <c r="AT75">
        <v>71683084.620797008</v>
      </c>
    </row>
    <row r="76" spans="1:46">
      <c r="A76" s="48" t="s">
        <v>142</v>
      </c>
      <c r="B76" s="48" t="s">
        <v>214</v>
      </c>
      <c r="C76" s="49">
        <v>93</v>
      </c>
      <c r="D76" s="50">
        <v>0.81899999999999995</v>
      </c>
      <c r="E76" s="49">
        <v>127.83831142801699</v>
      </c>
      <c r="F76" s="49">
        <v>0.79008802294347502</v>
      </c>
      <c r="G76" s="49">
        <v>103.627326214457</v>
      </c>
      <c r="H76" s="49">
        <v>0.81609625454322698</v>
      </c>
      <c r="I76" s="61">
        <v>24168.983800000002</v>
      </c>
      <c r="J76" s="62">
        <v>103081.978</v>
      </c>
      <c r="K76" s="66">
        <v>127250.962</v>
      </c>
      <c r="L76" s="62">
        <v>15426.009099999999</v>
      </c>
      <c r="M76" s="62">
        <v>65792.745500000005</v>
      </c>
      <c r="N76" s="66">
        <v>81218.7546</v>
      </c>
      <c r="O76" s="62">
        <v>47282.087</v>
      </c>
      <c r="P76" s="62">
        <v>201660.155</v>
      </c>
      <c r="Q76" s="66">
        <v>248942.242</v>
      </c>
      <c r="R76" s="62">
        <v>11014.0121</v>
      </c>
      <c r="S76" s="62">
        <v>46975.502899999999</v>
      </c>
      <c r="T76" s="66">
        <v>57989.514999999999</v>
      </c>
      <c r="U76" s="62">
        <v>7029.8651099999997</v>
      </c>
      <c r="V76" s="62">
        <v>29982.376700000001</v>
      </c>
      <c r="W76" s="66">
        <v>37012.241800000003</v>
      </c>
      <c r="X76" s="62">
        <v>21546.906800000001</v>
      </c>
      <c r="Y76" s="62">
        <v>91898.562399999995</v>
      </c>
      <c r="Z76" s="66">
        <v>113445.469</v>
      </c>
      <c r="AA76" s="62">
        <v>665859.06700000004</v>
      </c>
      <c r="AB76" s="22">
        <v>24964.581850444098</v>
      </c>
      <c r="AC76">
        <v>106475.24579319853</v>
      </c>
      <c r="AD76" s="23">
        <v>131439.82764364261</v>
      </c>
      <c r="AE76">
        <v>15933.804674092222</v>
      </c>
      <c r="AF76">
        <v>67958.52059006042</v>
      </c>
      <c r="AG76" s="23">
        <v>83892.325264152634</v>
      </c>
      <c r="AH76">
        <v>48838.525569111065</v>
      </c>
      <c r="AI76">
        <v>208298.43359605767</v>
      </c>
      <c r="AJ76" s="23">
        <v>257136.95916516881</v>
      </c>
      <c r="AK76">
        <v>11376.572968752935</v>
      </c>
      <c r="AL76">
        <v>48521.849250579369</v>
      </c>
      <c r="AM76" s="23">
        <v>59898.4222193323</v>
      </c>
      <c r="AN76">
        <v>7261.2752248823826</v>
      </c>
      <c r="AO76">
        <v>30969.340871937507</v>
      </c>
      <c r="AP76" s="23">
        <v>38230.616096819896</v>
      </c>
      <c r="AQ76">
        <v>22256.190994052864</v>
      </c>
      <c r="AR76">
        <v>94923.692516307958</v>
      </c>
      <c r="AS76" s="23">
        <v>117179.88351036084</v>
      </c>
      <c r="AT76">
        <v>687777.91163062828</v>
      </c>
    </row>
    <row r="77" spans="1:46">
      <c r="A77" s="49" t="s">
        <v>153</v>
      </c>
      <c r="B77" s="49" t="s">
        <v>215</v>
      </c>
      <c r="C77" s="49">
        <v>10</v>
      </c>
      <c r="D77" s="50">
        <v>0.81499999999999995</v>
      </c>
      <c r="E77" s="49">
        <v>156.23593566267601</v>
      </c>
      <c r="F77" s="49">
        <v>0.78422150183806805</v>
      </c>
      <c r="G77" s="49">
        <v>168.01719324687201</v>
      </c>
      <c r="H77" s="49">
        <v>0.811207483169882</v>
      </c>
      <c r="I77" s="61">
        <v>1924359.03</v>
      </c>
      <c r="J77" s="62">
        <v>2747346.88</v>
      </c>
      <c r="K77" s="66">
        <v>4671705.91</v>
      </c>
      <c r="L77" s="62">
        <v>907194.40099999995</v>
      </c>
      <c r="M77" s="62">
        <v>1295172.8899999999</v>
      </c>
      <c r="N77" s="66">
        <v>2202367.29</v>
      </c>
      <c r="O77" s="62">
        <v>1618505.63</v>
      </c>
      <c r="P77" s="62">
        <v>2310689.6</v>
      </c>
      <c r="Q77" s="66">
        <v>3929195.24</v>
      </c>
      <c r="R77" s="62">
        <v>523971.00099999999</v>
      </c>
      <c r="S77" s="62">
        <v>748057.00699999998</v>
      </c>
      <c r="T77" s="66">
        <v>1272028.01</v>
      </c>
      <c r="U77" s="62">
        <v>247014.04399999999</v>
      </c>
      <c r="V77" s="62">
        <v>352654.11800000002</v>
      </c>
      <c r="W77" s="66">
        <v>599668.03200000001</v>
      </c>
      <c r="X77" s="62">
        <v>440692.25599999999</v>
      </c>
      <c r="Y77" s="62">
        <v>629162.38100000005</v>
      </c>
      <c r="Z77" s="66">
        <v>1069854.6399999999</v>
      </c>
      <c r="AA77" s="62">
        <v>13744819</v>
      </c>
      <c r="AB77" s="22">
        <v>1990578.4774051819</v>
      </c>
      <c r="AC77">
        <v>2841886.3050883948</v>
      </c>
      <c r="AD77" s="23">
        <v>4832464.7824935764</v>
      </c>
      <c r="AE77">
        <v>938412.02407233941</v>
      </c>
      <c r="AF77">
        <v>1339741.3041578182</v>
      </c>
      <c r="AG77" s="23">
        <v>2278153.3282301575</v>
      </c>
      <c r="AH77">
        <v>1674200.3087688682</v>
      </c>
      <c r="AI77">
        <v>2390203.141886225</v>
      </c>
      <c r="AJ77" s="23">
        <v>4064403.450655093</v>
      </c>
      <c r="AK77">
        <v>542001.45734944998</v>
      </c>
      <c r="AL77">
        <v>773798.52537048433</v>
      </c>
      <c r="AM77" s="23">
        <v>1315799.9827199343</v>
      </c>
      <c r="AN77">
        <v>255514.08727093073</v>
      </c>
      <c r="AO77">
        <v>364789.35983464791</v>
      </c>
      <c r="AP77" s="23">
        <v>620303.31206512824</v>
      </c>
      <c r="AQ77">
        <v>455856.99344077398</v>
      </c>
      <c r="AR77">
        <v>650812.59588540462</v>
      </c>
      <c r="AS77" s="23">
        <v>1106669.5893261787</v>
      </c>
      <c r="AT77">
        <v>14217794.364465799</v>
      </c>
    </row>
    <row r="78" spans="1:46">
      <c r="A78" s="48" t="s">
        <v>161</v>
      </c>
      <c r="B78" s="48" t="s">
        <v>216</v>
      </c>
      <c r="C78" s="49">
        <v>78</v>
      </c>
      <c r="D78" s="50">
        <v>0.81499999999999995</v>
      </c>
      <c r="E78" s="49">
        <v>106.508087923929</v>
      </c>
      <c r="F78" s="49">
        <v>0.79291571314745901</v>
      </c>
      <c r="G78" s="49">
        <v>155.08626523112301</v>
      </c>
      <c r="H78" s="49">
        <v>0.81245884101249699</v>
      </c>
      <c r="I78" s="61">
        <v>231272.39199999999</v>
      </c>
      <c r="J78" s="62">
        <v>962715.00199999998</v>
      </c>
      <c r="K78" s="66">
        <v>1193987.3899999999</v>
      </c>
      <c r="L78" s="62">
        <v>109908.254</v>
      </c>
      <c r="M78" s="62">
        <v>457513.90899999999</v>
      </c>
      <c r="N78" s="66">
        <v>567422.29500000004</v>
      </c>
      <c r="O78" s="62">
        <v>475579.07</v>
      </c>
      <c r="P78" s="62">
        <v>1979687.13</v>
      </c>
      <c r="Q78" s="66">
        <v>2455266.0699999998</v>
      </c>
      <c r="R78" s="62">
        <v>70626.408200000005</v>
      </c>
      <c r="S78" s="62">
        <v>293995.837</v>
      </c>
      <c r="T78" s="66">
        <v>364622.245</v>
      </c>
      <c r="U78" s="62">
        <v>33564.066400000003</v>
      </c>
      <c r="V78" s="62">
        <v>139716.52100000001</v>
      </c>
      <c r="W78" s="66">
        <v>173280.58799999999</v>
      </c>
      <c r="X78" s="62">
        <v>145233.27100000001</v>
      </c>
      <c r="Y78" s="62">
        <v>604560.79799999995</v>
      </c>
      <c r="Z78" s="66">
        <v>749794.06900000002</v>
      </c>
      <c r="AA78" s="62">
        <v>5504372.6299999999</v>
      </c>
      <c r="AB78" s="22">
        <v>236972.60173206966</v>
      </c>
      <c r="AC78">
        <v>986443.20176262164</v>
      </c>
      <c r="AD78" s="23">
        <v>1223415.8034946912</v>
      </c>
      <c r="AE78">
        <v>112617.18084247307</v>
      </c>
      <c r="AF78">
        <v>468790.33215228235</v>
      </c>
      <c r="AG78" s="23">
        <v>581407.64824351738</v>
      </c>
      <c r="AH78">
        <v>487300.74820631422</v>
      </c>
      <c r="AI78">
        <v>2028480.8128591559</v>
      </c>
      <c r="AJ78" s="23">
        <v>2515781.4258167082</v>
      </c>
      <c r="AK78">
        <v>72367.149294783536</v>
      </c>
      <c r="AL78">
        <v>301242.00190435717</v>
      </c>
      <c r="AM78" s="23">
        <v>373609.15119914076</v>
      </c>
      <c r="AN78">
        <v>34391.325678795649</v>
      </c>
      <c r="AO78">
        <v>143160.13824956858</v>
      </c>
      <c r="AP78" s="23">
        <v>177551.46392836425</v>
      </c>
      <c r="AQ78">
        <v>148812.86025405675</v>
      </c>
      <c r="AR78">
        <v>619461.51039513375</v>
      </c>
      <c r="AS78" s="23">
        <v>768274.37064919039</v>
      </c>
      <c r="AT78">
        <v>5640039.8362818602</v>
      </c>
    </row>
    <row r="79" spans="1:46">
      <c r="A79" s="48" t="s">
        <v>136</v>
      </c>
      <c r="B79" s="48" t="s">
        <v>217</v>
      </c>
      <c r="C79" s="49">
        <v>26</v>
      </c>
      <c r="D79" s="50">
        <v>0.81299999999999994</v>
      </c>
      <c r="E79" s="49">
        <v>212.33382902586999</v>
      </c>
      <c r="F79" s="49">
        <v>0.78538268316772397</v>
      </c>
      <c r="G79" s="49">
        <v>103.58236713731399</v>
      </c>
      <c r="H79" s="49">
        <v>0.81536869837216797</v>
      </c>
      <c r="I79" s="61">
        <v>35672.408600000002</v>
      </c>
      <c r="J79" s="62">
        <v>138179.83900000001</v>
      </c>
      <c r="K79" s="66">
        <v>173852.24799999999</v>
      </c>
      <c r="L79" s="62">
        <v>24066.3606</v>
      </c>
      <c r="M79" s="62">
        <v>93222.696800000005</v>
      </c>
      <c r="N79" s="66">
        <v>117289.057</v>
      </c>
      <c r="O79" s="62">
        <v>108735.037</v>
      </c>
      <c r="P79" s="62">
        <v>421193.86499999999</v>
      </c>
      <c r="Q79" s="66">
        <v>529928.902</v>
      </c>
      <c r="R79" s="62">
        <v>18469.188999999998</v>
      </c>
      <c r="S79" s="62">
        <v>71541.713799999998</v>
      </c>
      <c r="T79" s="66">
        <v>90010.902700000006</v>
      </c>
      <c r="U79" s="62">
        <v>12460.1818</v>
      </c>
      <c r="V79" s="62">
        <v>48265.423699999999</v>
      </c>
      <c r="W79" s="66">
        <v>60725.605499999998</v>
      </c>
      <c r="X79" s="62">
        <v>56296.8701</v>
      </c>
      <c r="Y79" s="62">
        <v>218070.44</v>
      </c>
      <c r="Z79" s="66">
        <v>274367.31</v>
      </c>
      <c r="AA79" s="62">
        <v>1246173.97</v>
      </c>
      <c r="AB79" s="22">
        <v>37034.385877076398</v>
      </c>
      <c r="AC79">
        <v>143455.56384041891</v>
      </c>
      <c r="AD79" s="23">
        <v>180489.94971749533</v>
      </c>
      <c r="AE79">
        <v>24985.217410155561</v>
      </c>
      <c r="AF79">
        <v>96781.951776334943</v>
      </c>
      <c r="AG79" s="23">
        <v>121767.1691864905</v>
      </c>
      <c r="AH79">
        <v>112886.55563831341</v>
      </c>
      <c r="AI79">
        <v>437275.10223490052</v>
      </c>
      <c r="AJ79" s="23">
        <v>550161.65787321399</v>
      </c>
      <c r="AK79">
        <v>19174.345039253491</v>
      </c>
      <c r="AL79">
        <v>74273.185895158109</v>
      </c>
      <c r="AM79" s="23">
        <v>93447.530934411596</v>
      </c>
      <c r="AN79">
        <v>12935.913210073371</v>
      </c>
      <c r="AO79">
        <v>50108.203979089609</v>
      </c>
      <c r="AP79" s="23">
        <v>63044.117189162978</v>
      </c>
      <c r="AQ79">
        <v>58446.292081318337</v>
      </c>
      <c r="AR79">
        <v>226396.39795358328</v>
      </c>
      <c r="AS79" s="23">
        <v>284842.69003490161</v>
      </c>
      <c r="AT79">
        <v>1293753.0606424115</v>
      </c>
    </row>
    <row r="80" spans="1:46">
      <c r="A80" s="48" t="s">
        <v>160</v>
      </c>
      <c r="B80" s="48" t="s">
        <v>218</v>
      </c>
      <c r="C80" s="49">
        <v>136</v>
      </c>
      <c r="D80" s="50">
        <v>0.81</v>
      </c>
      <c r="E80" s="49">
        <v>99.177659485080696</v>
      </c>
      <c r="F80" s="49">
        <v>0.78897852555613301</v>
      </c>
      <c r="G80" s="49">
        <v>91.380805901566205</v>
      </c>
      <c r="H80" s="49">
        <v>0.81695566295697597</v>
      </c>
      <c r="I80" s="61">
        <v>102290.242</v>
      </c>
      <c r="J80" s="62">
        <v>-999</v>
      </c>
      <c r="K80" s="66">
        <v>102290.242</v>
      </c>
      <c r="L80" s="62">
        <v>152275.894</v>
      </c>
      <c r="M80" s="62">
        <v>-999</v>
      </c>
      <c r="N80" s="66">
        <v>152275.894</v>
      </c>
      <c r="O80" s="62">
        <v>127099.455</v>
      </c>
      <c r="P80" s="62">
        <v>-999</v>
      </c>
      <c r="Q80" s="66">
        <v>127099.455</v>
      </c>
      <c r="R80" s="62">
        <v>97203.048999999999</v>
      </c>
      <c r="S80" s="62">
        <v>-999</v>
      </c>
      <c r="T80" s="66">
        <v>97203.048999999999</v>
      </c>
      <c r="U80" s="62">
        <v>144702.696</v>
      </c>
      <c r="V80" s="62">
        <v>-999</v>
      </c>
      <c r="W80" s="66">
        <v>144702.696</v>
      </c>
      <c r="X80" s="62">
        <v>120778.322</v>
      </c>
      <c r="Y80" s="62">
        <v>-999</v>
      </c>
      <c r="Z80" s="66">
        <v>120778.322</v>
      </c>
      <c r="AA80" s="62">
        <v>744349.73699999996</v>
      </c>
      <c r="AB80" s="22">
        <v>105917.44903100046</v>
      </c>
      <c r="AC80">
        <v>-999</v>
      </c>
      <c r="AD80" s="23">
        <v>105917.44903100046</v>
      </c>
      <c r="AE80">
        <v>157675.58902113454</v>
      </c>
      <c r="AF80">
        <v>-999</v>
      </c>
      <c r="AG80" s="23">
        <v>157675.58902113454</v>
      </c>
      <c r="AH80">
        <v>131606.39474350499</v>
      </c>
      <c r="AI80">
        <v>-999</v>
      </c>
      <c r="AJ80" s="23">
        <v>131606.39474350499</v>
      </c>
      <c r="AK80">
        <v>100649.86402635531</v>
      </c>
      <c r="AL80">
        <v>-999</v>
      </c>
      <c r="AM80" s="23">
        <v>100649.86402635531</v>
      </c>
      <c r="AN80">
        <v>149833.84634814653</v>
      </c>
      <c r="AO80">
        <v>-999</v>
      </c>
      <c r="AP80" s="23">
        <v>149833.84634814653</v>
      </c>
      <c r="AQ80">
        <v>125061.11472120973</v>
      </c>
      <c r="AR80">
        <v>-999</v>
      </c>
      <c r="AS80" s="23">
        <v>125061.11472120973</v>
      </c>
      <c r="AT80">
        <v>770744.33948975592</v>
      </c>
    </row>
    <row r="81" spans="1:46">
      <c r="A81" s="48" t="s">
        <v>138</v>
      </c>
      <c r="B81" s="48" t="s">
        <v>219</v>
      </c>
      <c r="C81" s="49">
        <v>76</v>
      </c>
      <c r="D81" s="50">
        <v>0.80400000000000005</v>
      </c>
      <c r="E81" s="49">
        <v>156.721159404791</v>
      </c>
      <c r="F81" s="49">
        <v>0.78512821436068503</v>
      </c>
      <c r="G81" s="49">
        <v>146.43596808076501</v>
      </c>
      <c r="H81" s="49">
        <v>0.81300635349433903</v>
      </c>
      <c r="I81" s="61">
        <v>255557.86199999999</v>
      </c>
      <c r="J81" s="62">
        <v>-999</v>
      </c>
      <c r="K81" s="66">
        <v>255557.86199999999</v>
      </c>
      <c r="L81" s="62">
        <v>150383.40100000001</v>
      </c>
      <c r="M81" s="62">
        <v>-999</v>
      </c>
      <c r="N81" s="66">
        <v>150383.40100000001</v>
      </c>
      <c r="O81" s="62">
        <v>294761.31099999999</v>
      </c>
      <c r="P81" s="62">
        <v>-999</v>
      </c>
      <c r="Q81" s="66">
        <v>294761.31099999999</v>
      </c>
      <c r="R81" s="62">
        <v>204574.505</v>
      </c>
      <c r="S81" s="62">
        <v>-999</v>
      </c>
      <c r="T81" s="66">
        <v>204574.505</v>
      </c>
      <c r="U81" s="62">
        <v>120382.08199999999</v>
      </c>
      <c r="V81" s="62">
        <v>-999</v>
      </c>
      <c r="W81" s="66">
        <v>120382.08199999999</v>
      </c>
      <c r="X81" s="62">
        <v>235956.921</v>
      </c>
      <c r="Y81" s="62">
        <v>-999</v>
      </c>
      <c r="Z81" s="66">
        <v>235956.921</v>
      </c>
      <c r="AA81" s="62">
        <v>1261615.98</v>
      </c>
      <c r="AB81" s="22">
        <v>264632.14727157919</v>
      </c>
      <c r="AC81">
        <v>-999</v>
      </c>
      <c r="AD81" s="23">
        <v>264632.14727157919</v>
      </c>
      <c r="AE81">
        <v>155723.17795744273</v>
      </c>
      <c r="AF81">
        <v>-999</v>
      </c>
      <c r="AG81" s="23">
        <v>155723.17795744273</v>
      </c>
      <c r="AH81">
        <v>305227.62259826809</v>
      </c>
      <c r="AI81">
        <v>-999</v>
      </c>
      <c r="AJ81" s="23">
        <v>305227.62259826809</v>
      </c>
      <c r="AK81">
        <v>211838.48626453313</v>
      </c>
      <c r="AL81">
        <v>-999</v>
      </c>
      <c r="AM81" s="23">
        <v>211838.48626453313</v>
      </c>
      <c r="AN81">
        <v>124656.57935545041</v>
      </c>
      <c r="AO81">
        <v>-999</v>
      </c>
      <c r="AP81" s="23">
        <v>124656.57935545041</v>
      </c>
      <c r="AQ81">
        <v>244335.22164766752</v>
      </c>
      <c r="AR81">
        <v>-999</v>
      </c>
      <c r="AS81" s="23">
        <v>244335.22164766752</v>
      </c>
      <c r="AT81">
        <v>1306413.1268230167</v>
      </c>
    </row>
    <row r="82" spans="1:46">
      <c r="A82" s="48" t="s">
        <v>161</v>
      </c>
      <c r="B82" s="48" t="s">
        <v>220</v>
      </c>
      <c r="C82" s="49">
        <v>67</v>
      </c>
      <c r="D82" s="50">
        <v>0.80200000000000005</v>
      </c>
      <c r="E82" s="49">
        <v>89.883452110955702</v>
      </c>
      <c r="F82" s="49">
        <v>0.79533433072814697</v>
      </c>
      <c r="G82" s="49">
        <v>110.223545366927</v>
      </c>
      <c r="H82" s="49">
        <v>0.81548030150740602</v>
      </c>
      <c r="I82" s="61">
        <v>486439.25199999998</v>
      </c>
      <c r="J82" s="62">
        <v>-999</v>
      </c>
      <c r="K82" s="66">
        <v>486439.25199999998</v>
      </c>
      <c r="L82" s="62">
        <v>255078.25700000001</v>
      </c>
      <c r="M82" s="62">
        <v>-999</v>
      </c>
      <c r="N82" s="66">
        <v>255078.25700000001</v>
      </c>
      <c r="O82" s="62">
        <v>846234.71799999999</v>
      </c>
      <c r="P82" s="62">
        <v>-999</v>
      </c>
      <c r="Q82" s="66">
        <v>846234.71799999999</v>
      </c>
      <c r="R82" s="62">
        <v>613770.18400000001</v>
      </c>
      <c r="S82" s="62">
        <v>-999</v>
      </c>
      <c r="T82" s="66">
        <v>613770.18400000001</v>
      </c>
      <c r="U82" s="62">
        <v>321847.92800000001</v>
      </c>
      <c r="V82" s="62">
        <v>-999</v>
      </c>
      <c r="W82" s="66">
        <v>321847.92800000001</v>
      </c>
      <c r="X82" s="62">
        <v>1067746.3600000001</v>
      </c>
      <c r="Y82" s="62">
        <v>-999</v>
      </c>
      <c r="Z82" s="66">
        <v>1067746.3600000001</v>
      </c>
      <c r="AA82" s="62">
        <v>3591116.77</v>
      </c>
      <c r="AB82" s="22">
        <v>498760.8514885442</v>
      </c>
      <c r="AC82">
        <v>-999</v>
      </c>
      <c r="AD82" s="23">
        <v>498760.8514885442</v>
      </c>
      <c r="AE82">
        <v>261539.43757098564</v>
      </c>
      <c r="AF82">
        <v>-999</v>
      </c>
      <c r="AG82" s="23">
        <v>261539.43757098564</v>
      </c>
      <c r="AH82">
        <v>867670.00533171452</v>
      </c>
      <c r="AI82">
        <v>-999</v>
      </c>
      <c r="AJ82" s="23">
        <v>867670.00533171452</v>
      </c>
      <c r="AK82">
        <v>629317.10066326649</v>
      </c>
      <c r="AL82">
        <v>-999</v>
      </c>
      <c r="AM82" s="23">
        <v>629317.10066326649</v>
      </c>
      <c r="AN82">
        <v>330000.39744873089</v>
      </c>
      <c r="AO82">
        <v>-999</v>
      </c>
      <c r="AP82" s="23">
        <v>330000.39744873089</v>
      </c>
      <c r="AQ82">
        <v>1094792.5758251387</v>
      </c>
      <c r="AR82">
        <v>-999</v>
      </c>
      <c r="AS82" s="23">
        <v>1094792.5758251387</v>
      </c>
      <c r="AT82">
        <v>3682080.4497794239</v>
      </c>
    </row>
    <row r="83" spans="1:46">
      <c r="A83" s="48" t="s">
        <v>178</v>
      </c>
      <c r="B83" s="48" t="s">
        <v>221</v>
      </c>
      <c r="C83" s="49">
        <v>133</v>
      </c>
      <c r="D83" s="50">
        <v>0.79300000000000004</v>
      </c>
      <c r="E83" s="49">
        <v>164.94374872433099</v>
      </c>
      <c r="F83" s="49">
        <v>0.77960726586746998</v>
      </c>
      <c r="G83" s="49">
        <v>132.143239775914</v>
      </c>
      <c r="H83" s="49">
        <v>0.81401012616746304</v>
      </c>
      <c r="I83" s="61">
        <v>27821.070800000001</v>
      </c>
      <c r="J83" s="62">
        <v>103978.447</v>
      </c>
      <c r="K83" s="66">
        <v>131799.51800000001</v>
      </c>
      <c r="L83" s="62">
        <v>42131.653100000003</v>
      </c>
      <c r="M83" s="62">
        <v>157463.12599999999</v>
      </c>
      <c r="N83" s="66">
        <v>199594.77900000001</v>
      </c>
      <c r="O83" s="62">
        <v>95447.617700000003</v>
      </c>
      <c r="P83" s="62">
        <v>356725.92700000003</v>
      </c>
      <c r="Q83" s="66">
        <v>452173.54499999998</v>
      </c>
      <c r="R83" s="62">
        <v>31730.5638</v>
      </c>
      <c r="S83" s="62">
        <v>118589.86</v>
      </c>
      <c r="T83" s="66">
        <v>150320.42300000001</v>
      </c>
      <c r="U83" s="62">
        <v>48052.087399999997</v>
      </c>
      <c r="V83" s="62">
        <v>179590.228</v>
      </c>
      <c r="W83" s="66">
        <v>227642.31599999999</v>
      </c>
      <c r="X83" s="62">
        <v>108860.122</v>
      </c>
      <c r="Y83" s="62">
        <v>406854.10600000003</v>
      </c>
      <c r="Z83" s="66">
        <v>515714.228</v>
      </c>
      <c r="AA83" s="62">
        <v>1677244.81</v>
      </c>
      <c r="AB83" s="22">
        <v>29048.771515532942</v>
      </c>
      <c r="AC83">
        <v>108566.85489422469</v>
      </c>
      <c r="AD83" s="23">
        <v>137615.62640975765</v>
      </c>
      <c r="AE83">
        <v>43990.857606817626</v>
      </c>
      <c r="AF83">
        <v>164411.72952483429</v>
      </c>
      <c r="AG83" s="23">
        <v>208402.5871316519</v>
      </c>
      <c r="AH83">
        <v>99659.573134889099</v>
      </c>
      <c r="AI83">
        <v>372467.68974549195</v>
      </c>
      <c r="AJ83" s="23">
        <v>472127.26288038114</v>
      </c>
      <c r="AK83">
        <v>33130.784442346339</v>
      </c>
      <c r="AL83">
        <v>123823.04621603497</v>
      </c>
      <c r="AM83" s="23">
        <v>156953.83065838131</v>
      </c>
      <c r="AN83">
        <v>50172.551528883101</v>
      </c>
      <c r="AO83">
        <v>187515.26683670864</v>
      </c>
      <c r="AP83" s="23">
        <v>237687.81836559169</v>
      </c>
      <c r="AQ83">
        <v>113663.95077266333</v>
      </c>
      <c r="AR83">
        <v>424807.94678460725</v>
      </c>
      <c r="AS83" s="23">
        <v>538471.89755727048</v>
      </c>
      <c r="AT83">
        <v>1751259.0230030341</v>
      </c>
    </row>
    <row r="84" spans="1:46">
      <c r="A84" s="48" t="s">
        <v>142</v>
      </c>
      <c r="B84" s="48" t="s">
        <v>222</v>
      </c>
      <c r="C84" s="49">
        <v>137</v>
      </c>
      <c r="D84" s="50">
        <v>0.79300000000000004</v>
      </c>
      <c r="E84" s="49">
        <v>56.858604721331702</v>
      </c>
      <c r="F84" s="49">
        <v>0.79460105879121101</v>
      </c>
      <c r="G84" s="49">
        <v>91.695532460283601</v>
      </c>
      <c r="H84" s="49">
        <v>0.81634080166382705</v>
      </c>
      <c r="I84" s="61">
        <v>32420.055100000001</v>
      </c>
      <c r="J84" s="62">
        <v>-999</v>
      </c>
      <c r="K84" s="66">
        <v>32420.055100000001</v>
      </c>
      <c r="L84" s="62">
        <v>41802.7889</v>
      </c>
      <c r="M84" s="62">
        <v>-999</v>
      </c>
      <c r="N84" s="66">
        <v>41802.7889</v>
      </c>
      <c r="O84" s="62">
        <v>58505.147700000001</v>
      </c>
      <c r="P84" s="62">
        <v>-999</v>
      </c>
      <c r="Q84" s="66">
        <v>58505.147700000001</v>
      </c>
      <c r="R84" s="62">
        <v>29298.473600000001</v>
      </c>
      <c r="S84" s="62">
        <v>-999</v>
      </c>
      <c r="T84" s="66">
        <v>29298.473600000001</v>
      </c>
      <c r="U84" s="62">
        <v>37777.630100000002</v>
      </c>
      <c r="V84" s="62">
        <v>-999</v>
      </c>
      <c r="W84" s="66">
        <v>37777.630100000002</v>
      </c>
      <c r="X84" s="62">
        <v>52871.777300000002</v>
      </c>
      <c r="Y84" s="62">
        <v>-999</v>
      </c>
      <c r="Z84" s="66">
        <v>52871.777300000002</v>
      </c>
      <c r="AA84" s="62">
        <v>252675.97899999999</v>
      </c>
      <c r="AB84" s="22">
        <v>33307.045670224354</v>
      </c>
      <c r="AC84">
        <v>-999</v>
      </c>
      <c r="AD84" s="23">
        <v>33307.045670224354</v>
      </c>
      <c r="AE84">
        <v>42946.484703925795</v>
      </c>
      <c r="AF84">
        <v>-999</v>
      </c>
      <c r="AG84" s="23">
        <v>42946.484703925795</v>
      </c>
      <c r="AH84">
        <v>60105.808676497785</v>
      </c>
      <c r="AI84">
        <v>-999</v>
      </c>
      <c r="AJ84" s="23">
        <v>60105.808676497785</v>
      </c>
      <c r="AK84">
        <v>30100.059898350595</v>
      </c>
      <c r="AL84">
        <v>-999</v>
      </c>
      <c r="AM84" s="23">
        <v>30100.059898350595</v>
      </c>
      <c r="AN84">
        <v>38811.200283479251</v>
      </c>
      <c r="AO84">
        <v>-999</v>
      </c>
      <c r="AP84" s="23">
        <v>38811.200283479251</v>
      </c>
      <c r="AQ84">
        <v>54318.313017674991</v>
      </c>
      <c r="AR84">
        <v>-999</v>
      </c>
      <c r="AS84" s="23">
        <v>54318.313017674991</v>
      </c>
      <c r="AT84">
        <v>259589.02096614146</v>
      </c>
    </row>
    <row r="85" spans="1:46">
      <c r="A85" s="48" t="s">
        <v>160</v>
      </c>
      <c r="B85" s="48" t="s">
        <v>223</v>
      </c>
      <c r="C85" s="49">
        <v>155</v>
      </c>
      <c r="D85" s="50">
        <v>0.79300000000000004</v>
      </c>
      <c r="E85" s="49">
        <v>190.830396945134</v>
      </c>
      <c r="F85" s="49">
        <v>0.78135276928659803</v>
      </c>
      <c r="G85" s="49">
        <v>113.146086388754</v>
      </c>
      <c r="H85" s="49">
        <v>0.81541921533745299</v>
      </c>
      <c r="I85" s="61">
        <v>161316.26800000001</v>
      </c>
      <c r="J85" s="62">
        <v>-999</v>
      </c>
      <c r="K85" s="66">
        <v>161316.26800000001</v>
      </c>
      <c r="L85" s="62">
        <v>107633.01700000001</v>
      </c>
      <c r="M85" s="62">
        <v>-999</v>
      </c>
      <c r="N85" s="66">
        <v>107633.01700000001</v>
      </c>
      <c r="O85" s="62">
        <v>536024.772</v>
      </c>
      <c r="P85" s="62">
        <v>-999</v>
      </c>
      <c r="Q85" s="66">
        <v>536024.772</v>
      </c>
      <c r="R85" s="62">
        <v>153804.171</v>
      </c>
      <c r="S85" s="62">
        <v>-999</v>
      </c>
      <c r="T85" s="66">
        <v>153804.171</v>
      </c>
      <c r="U85" s="62">
        <v>102620.87699999999</v>
      </c>
      <c r="V85" s="62">
        <v>-999</v>
      </c>
      <c r="W85" s="66">
        <v>102620.87699999999</v>
      </c>
      <c r="X85" s="62">
        <v>511063.57699999999</v>
      </c>
      <c r="Y85" s="62">
        <v>-999</v>
      </c>
      <c r="Z85" s="66">
        <v>511063.57699999999</v>
      </c>
      <c r="AA85" s="62">
        <v>1572462.67</v>
      </c>
      <c r="AB85" s="22">
        <v>168349.54672738395</v>
      </c>
      <c r="AC85">
        <v>-999</v>
      </c>
      <c r="AD85" s="23">
        <v>168349.54672738395</v>
      </c>
      <c r="AE85">
        <v>112325.74264447225</v>
      </c>
      <c r="AF85">
        <v>-999</v>
      </c>
      <c r="AG85" s="23">
        <v>112325.74264447225</v>
      </c>
      <c r="AH85">
        <v>559395.08567420731</v>
      </c>
      <c r="AI85">
        <v>-999</v>
      </c>
      <c r="AJ85" s="23">
        <v>559395.08567420731</v>
      </c>
      <c r="AK85">
        <v>160509.92804515443</v>
      </c>
      <c r="AL85">
        <v>-999</v>
      </c>
      <c r="AM85" s="23">
        <v>160509.92804515443</v>
      </c>
      <c r="AN85">
        <v>107095.07695376634</v>
      </c>
      <c r="AO85">
        <v>-999</v>
      </c>
      <c r="AP85" s="23">
        <v>107095.07695376634</v>
      </c>
      <c r="AQ85">
        <v>533345.59952236933</v>
      </c>
      <c r="AR85">
        <v>-999</v>
      </c>
      <c r="AS85" s="23">
        <v>533345.59952236933</v>
      </c>
      <c r="AT85">
        <v>1641020.9659931965</v>
      </c>
    </row>
    <row r="86" spans="1:46">
      <c r="A86" s="48" t="s">
        <v>161</v>
      </c>
      <c r="B86" s="48" t="s">
        <v>224</v>
      </c>
      <c r="C86" s="49">
        <v>104</v>
      </c>
      <c r="D86" s="50">
        <v>0.79100000000000004</v>
      </c>
      <c r="E86" s="49">
        <v>153.518052845879</v>
      </c>
      <c r="F86" s="49">
        <v>0.78735626550673499</v>
      </c>
      <c r="G86" s="49">
        <v>162.787331954254</v>
      </c>
      <c r="H86" s="49">
        <v>0.811915213859291</v>
      </c>
      <c r="I86" s="61">
        <v>563198.77</v>
      </c>
      <c r="J86" s="62">
        <v>1655251.78</v>
      </c>
      <c r="K86" s="66">
        <v>2218450.5499999998</v>
      </c>
      <c r="L86" s="62">
        <v>168047.04300000001</v>
      </c>
      <c r="M86" s="62">
        <v>493893.424</v>
      </c>
      <c r="N86" s="66">
        <v>661940.46699999995</v>
      </c>
      <c r="O86" s="62">
        <v>380163.22</v>
      </c>
      <c r="P86" s="62">
        <v>1117306.92</v>
      </c>
      <c r="Q86" s="66">
        <v>1497470.27</v>
      </c>
      <c r="R86" s="62">
        <v>898354.00300000003</v>
      </c>
      <c r="S86" s="62">
        <v>2640278.9500000002</v>
      </c>
      <c r="T86" s="66">
        <v>3538632.83</v>
      </c>
      <c r="U86" s="62">
        <v>268050.55099999998</v>
      </c>
      <c r="V86" s="62">
        <v>787805.39199999999</v>
      </c>
      <c r="W86" s="66">
        <v>1055855.94</v>
      </c>
      <c r="X86" s="62">
        <v>606395.50199999998</v>
      </c>
      <c r="Y86" s="62">
        <v>1782207.47</v>
      </c>
      <c r="Z86" s="66">
        <v>2388602.84</v>
      </c>
      <c r="AA86" s="62">
        <v>11360952.800000001</v>
      </c>
      <c r="AB86" s="22">
        <v>580765.87459949392</v>
      </c>
      <c r="AC86">
        <v>1706881.8332639665</v>
      </c>
      <c r="AD86" s="23">
        <v>2287647.7078634608</v>
      </c>
      <c r="AE86">
        <v>173288.70944289534</v>
      </c>
      <c r="AF86">
        <v>509298.77936771547</v>
      </c>
      <c r="AG86" s="23">
        <v>682587.48881061084</v>
      </c>
      <c r="AH86">
        <v>392021.1417450516</v>
      </c>
      <c r="AI86">
        <v>1152157.5774027859</v>
      </c>
      <c r="AJ86" s="23">
        <v>1544178.8543061027</v>
      </c>
      <c r="AK86">
        <v>926375.15483199526</v>
      </c>
      <c r="AL86">
        <v>2722633.6347266058</v>
      </c>
      <c r="AM86" s="23">
        <v>3649008.6544003356</v>
      </c>
      <c r="AN86">
        <v>276411.49227263819</v>
      </c>
      <c r="AO86">
        <v>812378.34893765009</v>
      </c>
      <c r="AP86" s="23">
        <v>1088789.8412102882</v>
      </c>
      <c r="AQ86">
        <v>625309.98404589773</v>
      </c>
      <c r="AR86">
        <v>1837797.4804736071</v>
      </c>
      <c r="AS86" s="23">
        <v>2463107.3293612404</v>
      </c>
      <c r="AT86">
        <v>11715319.808372905</v>
      </c>
    </row>
    <row r="87" spans="1:46">
      <c r="A87" s="48" t="s">
        <v>138</v>
      </c>
      <c r="B87" s="48" t="s">
        <v>225</v>
      </c>
      <c r="C87" s="49">
        <v>135</v>
      </c>
      <c r="D87" s="50">
        <v>0.78700000000000003</v>
      </c>
      <c r="E87" s="49">
        <v>288.60809929659598</v>
      </c>
      <c r="F87" s="49">
        <v>0.75263938727498603</v>
      </c>
      <c r="G87" s="49">
        <v>177.50628745416199</v>
      </c>
      <c r="H87" s="49">
        <v>0.80947687203979402</v>
      </c>
      <c r="I87" s="61">
        <v>97738.030199999994</v>
      </c>
      <c r="J87" s="62">
        <v>465359.51699999999</v>
      </c>
      <c r="K87" s="66">
        <v>563097.54799999995</v>
      </c>
      <c r="L87" s="62">
        <v>803.36403499999994</v>
      </c>
      <c r="M87" s="62">
        <v>3825.0001000000002</v>
      </c>
      <c r="N87" s="66">
        <v>4628.3641299999999</v>
      </c>
      <c r="O87" s="62">
        <v>45692.394399999997</v>
      </c>
      <c r="P87" s="62">
        <v>217555.16500000001</v>
      </c>
      <c r="Q87" s="66">
        <v>263247.685</v>
      </c>
      <c r="R87" s="62">
        <v>200299.878</v>
      </c>
      <c r="S87" s="62">
        <v>953686.82700000005</v>
      </c>
      <c r="T87" s="66">
        <v>1153986.7</v>
      </c>
      <c r="U87" s="62">
        <v>1646.3199300000001</v>
      </c>
      <c r="V87" s="62">
        <v>7838.8132900000001</v>
      </c>
      <c r="W87" s="66">
        <v>9485.2585199999994</v>
      </c>
      <c r="X87" s="62">
        <v>93640.021699999998</v>
      </c>
      <c r="Y87" s="62">
        <v>445847.74400000001</v>
      </c>
      <c r="Z87" s="66">
        <v>539487.89099999995</v>
      </c>
      <c r="AA87" s="62">
        <v>2533933.34</v>
      </c>
      <c r="AB87" s="22">
        <v>105118.96708921992</v>
      </c>
      <c r="AC87">
        <v>500502.32932550093</v>
      </c>
      <c r="AD87" s="23">
        <v>605621.29641472083</v>
      </c>
      <c r="AE87">
        <v>864.03212062207979</v>
      </c>
      <c r="AF87">
        <v>4113.8547427435233</v>
      </c>
      <c r="AG87" s="23">
        <v>4977.8868633656029</v>
      </c>
      <c r="AH87">
        <v>49142.972255425273</v>
      </c>
      <c r="AI87">
        <v>233984.39899322225</v>
      </c>
      <c r="AJ87" s="23">
        <v>283127.50600100571</v>
      </c>
      <c r="AK87">
        <v>215426.03472055946</v>
      </c>
      <c r="AL87">
        <v>1025706.921942324</v>
      </c>
      <c r="AM87" s="23">
        <v>1241132.9566628835</v>
      </c>
      <c r="AN87">
        <v>1770.6459864276558</v>
      </c>
      <c r="AO87">
        <v>8430.7812892577076</v>
      </c>
      <c r="AP87" s="23">
        <v>10201.56202804354</v>
      </c>
      <c r="AQ87">
        <v>100711.48695801172</v>
      </c>
      <c r="AR87">
        <v>479517.07508209517</v>
      </c>
      <c r="AS87" s="23">
        <v>580228.69679246517</v>
      </c>
      <c r="AT87">
        <v>2725289.7834853623</v>
      </c>
    </row>
    <row r="88" spans="1:46">
      <c r="A88" s="48" t="s">
        <v>138</v>
      </c>
      <c r="B88" s="48" t="s">
        <v>226</v>
      </c>
      <c r="C88" s="49">
        <v>171</v>
      </c>
      <c r="D88" s="50">
        <v>0.78200000000000003</v>
      </c>
      <c r="E88" s="49">
        <v>230.381497717641</v>
      </c>
      <c r="F88" s="49">
        <v>0.72047148011907103</v>
      </c>
      <c r="G88" s="49">
        <v>177.83038529805401</v>
      </c>
      <c r="H88" s="49">
        <v>0.80967108052796399</v>
      </c>
      <c r="I88" s="61">
        <v>755030.68599999999</v>
      </c>
      <c r="J88" s="62">
        <v>-999</v>
      </c>
      <c r="K88" s="66">
        <v>755030.68599999999</v>
      </c>
      <c r="L88" s="62">
        <v>344470.04</v>
      </c>
      <c r="M88" s="62">
        <v>-999</v>
      </c>
      <c r="N88" s="66">
        <v>344470.04</v>
      </c>
      <c r="O88" s="62">
        <v>408400.60200000001</v>
      </c>
      <c r="P88" s="62">
        <v>-999</v>
      </c>
      <c r="Q88" s="66">
        <v>408400.60200000001</v>
      </c>
      <c r="R88" s="62">
        <v>490314.21399999998</v>
      </c>
      <c r="S88" s="62">
        <v>-999</v>
      </c>
      <c r="T88" s="66">
        <v>490314.21399999998</v>
      </c>
      <c r="U88" s="62">
        <v>223697.59899999999</v>
      </c>
      <c r="V88" s="62">
        <v>-999</v>
      </c>
      <c r="W88" s="66">
        <v>223697.59899999999</v>
      </c>
      <c r="X88" s="62">
        <v>265213.84600000002</v>
      </c>
      <c r="Y88" s="62">
        <v>-999</v>
      </c>
      <c r="Z88" s="66">
        <v>265213.84600000002</v>
      </c>
      <c r="AA88" s="62">
        <v>2487126.96</v>
      </c>
      <c r="AB88" s="22">
        <v>848508.96658518771</v>
      </c>
      <c r="AC88">
        <v>-999</v>
      </c>
      <c r="AD88" s="23">
        <v>848508.96658518771</v>
      </c>
      <c r="AE88">
        <v>387117.93219720642</v>
      </c>
      <c r="AF88">
        <v>-999</v>
      </c>
      <c r="AG88" s="23">
        <v>387117.93219720642</v>
      </c>
      <c r="AH88">
        <v>458963.56216140313</v>
      </c>
      <c r="AI88">
        <v>-999</v>
      </c>
      <c r="AJ88" s="23">
        <v>458963.56216140313</v>
      </c>
      <c r="AK88">
        <v>551018.67342381715</v>
      </c>
      <c r="AL88">
        <v>-999</v>
      </c>
      <c r="AM88" s="23">
        <v>551018.67342381715</v>
      </c>
      <c r="AN88">
        <v>251392.98645424709</v>
      </c>
      <c r="AO88">
        <v>-999</v>
      </c>
      <c r="AP88" s="23">
        <v>251392.98645424709</v>
      </c>
      <c r="AQ88">
        <v>298049.2452615159</v>
      </c>
      <c r="AR88">
        <v>-999</v>
      </c>
      <c r="AS88" s="23">
        <v>298049.2452615159</v>
      </c>
      <c r="AT88">
        <v>2795051.3391264402</v>
      </c>
    </row>
    <row r="89" spans="1:46">
      <c r="A89" s="48" t="s">
        <v>178</v>
      </c>
      <c r="B89" s="48" t="s">
        <v>187</v>
      </c>
      <c r="C89" s="49">
        <v>86</v>
      </c>
      <c r="D89" s="50">
        <v>0.77800000000000002</v>
      </c>
      <c r="E89" s="49">
        <v>118.71259889114999</v>
      </c>
      <c r="F89" s="49">
        <v>0.78326173875622396</v>
      </c>
      <c r="G89" s="49">
        <v>151.643706190052</v>
      </c>
      <c r="H89" s="49">
        <v>0.81271840727765599</v>
      </c>
      <c r="I89" s="61">
        <v>116413.993</v>
      </c>
      <c r="J89" s="62">
        <v>244686.416</v>
      </c>
      <c r="K89" s="66">
        <v>361100.408</v>
      </c>
      <c r="L89" s="62">
        <v>47153.257400000002</v>
      </c>
      <c r="M89" s="62">
        <v>99109.761400000003</v>
      </c>
      <c r="N89" s="66">
        <v>146262.88800000001</v>
      </c>
      <c r="O89" s="62">
        <v>77081.429300000003</v>
      </c>
      <c r="P89" s="62">
        <v>162014.84599999999</v>
      </c>
      <c r="Q89" s="66">
        <v>239096.40599999999</v>
      </c>
      <c r="R89" s="62">
        <v>93854.197499999995</v>
      </c>
      <c r="S89" s="62">
        <v>197268.861</v>
      </c>
      <c r="T89" s="66">
        <v>291123.05900000001</v>
      </c>
      <c r="U89" s="62">
        <v>38015.3799</v>
      </c>
      <c r="V89" s="62">
        <v>79903.294299999994</v>
      </c>
      <c r="W89" s="66">
        <v>117918.80499999999</v>
      </c>
      <c r="X89" s="62">
        <v>62143.877399999998</v>
      </c>
      <c r="Y89" s="62">
        <v>130618.24000000001</v>
      </c>
      <c r="Z89" s="66">
        <v>192762.11799999999</v>
      </c>
      <c r="AA89" s="62">
        <v>1348263.62</v>
      </c>
      <c r="AB89" s="22">
        <v>120792.05446715141</v>
      </c>
      <c r="AC89">
        <v>253888.50786760333</v>
      </c>
      <c r="AD89" s="23">
        <v>374680.56233475474</v>
      </c>
      <c r="AE89">
        <v>48926.582702474981</v>
      </c>
      <c r="AF89">
        <v>102837.0510515895</v>
      </c>
      <c r="AG89" s="23">
        <v>151763.49846209298</v>
      </c>
      <c r="AH89">
        <v>79980.284216097192</v>
      </c>
      <c r="AI89">
        <v>168107.85095677854</v>
      </c>
      <c r="AJ89" s="23">
        <v>248088.27046484721</v>
      </c>
      <c r="AK89">
        <v>97383.837555767284</v>
      </c>
      <c r="AL89">
        <v>204687.68833886908</v>
      </c>
      <c r="AM89" s="23">
        <v>302071.52589463635</v>
      </c>
      <c r="AN89">
        <v>39445.050754817938</v>
      </c>
      <c r="AO89">
        <v>82908.27306360715</v>
      </c>
      <c r="AP89" s="23">
        <v>122353.45911039662</v>
      </c>
      <c r="AQ89">
        <v>64480.965375489228</v>
      </c>
      <c r="AR89">
        <v>135530.49125996363</v>
      </c>
      <c r="AS89" s="23">
        <v>200011.45663545281</v>
      </c>
      <c r="AT89">
        <v>1398968.705256195</v>
      </c>
    </row>
    <row r="90" spans="1:46">
      <c r="A90" s="48" t="s">
        <v>178</v>
      </c>
      <c r="B90" s="48" t="s">
        <v>227</v>
      </c>
      <c r="C90" s="49">
        <v>162</v>
      </c>
      <c r="D90" s="50">
        <v>0.77800000000000002</v>
      </c>
      <c r="E90" s="49">
        <v>63.962336143243803</v>
      </c>
      <c r="F90" s="49">
        <v>0.78506950534729003</v>
      </c>
      <c r="G90" s="49">
        <v>58.717842831785497</v>
      </c>
      <c r="H90" s="49">
        <v>0.81877554699467403</v>
      </c>
      <c r="I90" s="61">
        <v>318251.84299999999</v>
      </c>
      <c r="J90" s="62">
        <v>-999</v>
      </c>
      <c r="K90" s="66">
        <v>318251.84299999999</v>
      </c>
      <c r="L90" s="62">
        <v>79357.288499999995</v>
      </c>
      <c r="M90" s="62">
        <v>-999</v>
      </c>
      <c r="N90" s="66">
        <v>79357.288499999995</v>
      </c>
      <c r="O90" s="62">
        <v>93948.226299999995</v>
      </c>
      <c r="P90" s="62">
        <v>-999</v>
      </c>
      <c r="Q90" s="66">
        <v>93948.226299999995</v>
      </c>
      <c r="R90" s="62">
        <v>508396.93599999999</v>
      </c>
      <c r="S90" s="62">
        <v>-999</v>
      </c>
      <c r="T90" s="66">
        <v>508396.93599999999</v>
      </c>
      <c r="U90" s="62">
        <v>126770.71400000001</v>
      </c>
      <c r="V90" s="62">
        <v>-999</v>
      </c>
      <c r="W90" s="66">
        <v>126770.71400000001</v>
      </c>
      <c r="X90" s="62">
        <v>150079.15100000001</v>
      </c>
      <c r="Y90" s="62">
        <v>-999</v>
      </c>
      <c r="Z90" s="66">
        <v>150079.15100000001</v>
      </c>
      <c r="AA90" s="62">
        <v>1276804.01</v>
      </c>
      <c r="AB90" s="22">
        <v>331915.61403022532</v>
      </c>
      <c r="AC90">
        <v>-999</v>
      </c>
      <c r="AD90" s="23">
        <v>331915.61403022532</v>
      </c>
      <c r="AE90">
        <v>82764.400919623338</v>
      </c>
      <c r="AF90">
        <v>-999</v>
      </c>
      <c r="AG90" s="23">
        <v>82764.400919623338</v>
      </c>
      <c r="AH90">
        <v>97981.783561317672</v>
      </c>
      <c r="AI90">
        <v>-999</v>
      </c>
      <c r="AJ90" s="23">
        <v>97981.783561317672</v>
      </c>
      <c r="AK90">
        <v>530224.36401416326</v>
      </c>
      <c r="AL90">
        <v>-999</v>
      </c>
      <c r="AM90" s="23">
        <v>530224.36401416326</v>
      </c>
      <c r="AN90">
        <v>132213.46613909825</v>
      </c>
      <c r="AO90">
        <v>-999</v>
      </c>
      <c r="AP90" s="23">
        <v>132213.46613909825</v>
      </c>
      <c r="AQ90">
        <v>156522.62360238557</v>
      </c>
      <c r="AR90">
        <v>-999</v>
      </c>
      <c r="AS90" s="23">
        <v>156522.62360238557</v>
      </c>
      <c r="AT90">
        <v>1331622.1023364898</v>
      </c>
    </row>
    <row r="91" spans="1:46">
      <c r="A91" s="48" t="s">
        <v>178</v>
      </c>
      <c r="B91" s="48" t="s">
        <v>228</v>
      </c>
      <c r="C91" s="49">
        <v>167</v>
      </c>
      <c r="D91" s="50">
        <v>0.76600000000000001</v>
      </c>
      <c r="E91" s="49">
        <v>183.22847086620001</v>
      </c>
      <c r="F91" s="49">
        <v>0.77687343256353403</v>
      </c>
      <c r="G91" s="49">
        <v>24.875464557901999</v>
      </c>
      <c r="H91" s="49">
        <v>0.82164999108293402</v>
      </c>
      <c r="I91" s="61">
        <v>163185.53899999999</v>
      </c>
      <c r="J91" s="62">
        <v>9522.9693800000005</v>
      </c>
      <c r="K91" s="66">
        <v>172708.63800000001</v>
      </c>
      <c r="L91" s="62">
        <v>84990.1351</v>
      </c>
      <c r="M91" s="62">
        <v>4959.7397899999996</v>
      </c>
      <c r="N91" s="66">
        <v>89949.874899999995</v>
      </c>
      <c r="O91" s="62">
        <v>259883.84700000001</v>
      </c>
      <c r="P91" s="62">
        <v>15166.062</v>
      </c>
      <c r="Q91" s="66">
        <v>275049.90899999999</v>
      </c>
      <c r="R91" s="62">
        <v>455407.46899999998</v>
      </c>
      <c r="S91" s="62">
        <v>26576.140500000001</v>
      </c>
      <c r="T91" s="66">
        <v>481983.739</v>
      </c>
      <c r="U91" s="62">
        <v>237184.73800000001</v>
      </c>
      <c r="V91" s="62">
        <v>13841.3869</v>
      </c>
      <c r="W91" s="66">
        <v>251026.125</v>
      </c>
      <c r="X91" s="62">
        <v>725266.79299999995</v>
      </c>
      <c r="Y91" s="62">
        <v>42324.294000000002</v>
      </c>
      <c r="Z91" s="66">
        <v>767591.08700000006</v>
      </c>
      <c r="AA91" s="62">
        <v>2038309.26</v>
      </c>
      <c r="AB91" s="22">
        <v>172591.04407488136</v>
      </c>
      <c r="AC91">
        <v>10071.843599274358</v>
      </c>
      <c r="AD91" s="23">
        <v>182663.02445295412</v>
      </c>
      <c r="AE91">
        <v>89888.701071512842</v>
      </c>
      <c r="AF91">
        <v>5245.6036975904562</v>
      </c>
      <c r="AG91" s="23">
        <v>95134.304769103299</v>
      </c>
      <c r="AH91">
        <v>274862.74010230036</v>
      </c>
      <c r="AI91">
        <v>16040.186467631367</v>
      </c>
      <c r="AJ91" s="23">
        <v>290902.92656993173</v>
      </c>
      <c r="AK91">
        <v>481655.73305448837</v>
      </c>
      <c r="AL91">
        <v>28107.90629321638</v>
      </c>
      <c r="AM91" s="23">
        <v>509763.77612650313</v>
      </c>
      <c r="AN91">
        <v>250855.32540643649</v>
      </c>
      <c r="AO91">
        <v>14639.161235579551</v>
      </c>
      <c r="AP91" s="23">
        <v>265494.48664201604</v>
      </c>
      <c r="AQ91">
        <v>767068.90577167855</v>
      </c>
      <c r="AR91">
        <v>44763.734132463986</v>
      </c>
      <c r="AS91" s="23">
        <v>811832.63990414259</v>
      </c>
      <c r="AT91">
        <v>2155791.0353637319</v>
      </c>
    </row>
    <row r="92" spans="1:46">
      <c r="A92" s="48" t="s">
        <v>161</v>
      </c>
      <c r="B92" s="48" t="s">
        <v>229</v>
      </c>
      <c r="C92" s="49">
        <v>44</v>
      </c>
      <c r="D92" s="50">
        <v>0.76</v>
      </c>
      <c r="E92" s="49">
        <v>89.299370552933198</v>
      </c>
      <c r="F92" s="49">
        <v>0.793297984484438</v>
      </c>
      <c r="G92" s="49">
        <v>54.194035192785499</v>
      </c>
      <c r="H92" s="49">
        <v>0.81958064093794902</v>
      </c>
      <c r="I92" s="61">
        <v>17646.262999999999</v>
      </c>
      <c r="J92" s="62">
        <v>-999</v>
      </c>
      <c r="K92" s="66">
        <v>17646.262999999999</v>
      </c>
      <c r="L92" s="62">
        <v>7110.0610800000004</v>
      </c>
      <c r="M92" s="62">
        <v>-999</v>
      </c>
      <c r="N92" s="66">
        <v>7110.0610800000004</v>
      </c>
      <c r="O92" s="62">
        <v>31184.035899999999</v>
      </c>
      <c r="P92" s="62">
        <v>-999</v>
      </c>
      <c r="Q92" s="66">
        <v>31184.035899999999</v>
      </c>
      <c r="R92" s="62">
        <v>79229.243600000002</v>
      </c>
      <c r="S92" s="62">
        <v>-999</v>
      </c>
      <c r="T92" s="66">
        <v>79229.243600000002</v>
      </c>
      <c r="U92" s="62">
        <v>31922.906500000001</v>
      </c>
      <c r="V92" s="62">
        <v>-999</v>
      </c>
      <c r="W92" s="66">
        <v>31922.906500000001</v>
      </c>
      <c r="X92" s="62">
        <v>140011.28599999999</v>
      </c>
      <c r="Y92" s="62">
        <v>-999</v>
      </c>
      <c r="Z92" s="66">
        <v>140011.28599999999</v>
      </c>
      <c r="AA92" s="62">
        <v>307103.66399999999</v>
      </c>
      <c r="AB92" s="22">
        <v>18230.899161177724</v>
      </c>
      <c r="AC92">
        <v>-999</v>
      </c>
      <c r="AD92" s="23">
        <v>18230.899161177724</v>
      </c>
      <c r="AE92">
        <v>7345.6236217880669</v>
      </c>
      <c r="AF92">
        <v>-999</v>
      </c>
      <c r="AG92" s="23">
        <v>7345.6236217880669</v>
      </c>
      <c r="AH92">
        <v>32217.190289341917</v>
      </c>
      <c r="AI92">
        <v>-999</v>
      </c>
      <c r="AJ92" s="23">
        <v>32217.190289341917</v>
      </c>
      <c r="AK92">
        <v>81854.177725902991</v>
      </c>
      <c r="AL92">
        <v>-999</v>
      </c>
      <c r="AM92" s="23">
        <v>81854.177725902991</v>
      </c>
      <c r="AN92">
        <v>32980.540292386206</v>
      </c>
      <c r="AO92">
        <v>-999</v>
      </c>
      <c r="AP92" s="23">
        <v>32980.540292386206</v>
      </c>
      <c r="AQ92">
        <v>144649.98215864188</v>
      </c>
      <c r="AR92">
        <v>-999</v>
      </c>
      <c r="AS92" s="23">
        <v>144649.98215864188</v>
      </c>
      <c r="AT92">
        <v>317278.27681492193</v>
      </c>
    </row>
    <row r="93" spans="1:46">
      <c r="A93" s="48" t="s">
        <v>153</v>
      </c>
      <c r="B93" s="48" t="s">
        <v>230</v>
      </c>
      <c r="C93" s="49">
        <v>108</v>
      </c>
      <c r="D93" s="50">
        <v>0.75600000000000001</v>
      </c>
      <c r="E93" s="49">
        <v>184.90599288483199</v>
      </c>
      <c r="F93" s="49">
        <v>0.78351600272702604</v>
      </c>
      <c r="G93" s="49">
        <v>240.33954629229899</v>
      </c>
      <c r="H93" s="49">
        <v>0.80644077739049702</v>
      </c>
      <c r="I93" s="61">
        <v>1776984.76</v>
      </c>
      <c r="J93" s="62">
        <v>1191183.8600000001</v>
      </c>
      <c r="K93" s="66">
        <v>2968168.62</v>
      </c>
      <c r="L93" s="62">
        <v>784511.39899999998</v>
      </c>
      <c r="M93" s="62">
        <v>525889.37899999996</v>
      </c>
      <c r="N93" s="66">
        <v>1310400.6499999999</v>
      </c>
      <c r="O93" s="62">
        <v>1597657.03</v>
      </c>
      <c r="P93" s="62">
        <v>1070973.33</v>
      </c>
      <c r="Q93" s="66">
        <v>2668630.36</v>
      </c>
      <c r="R93" s="62">
        <v>1842443.62</v>
      </c>
      <c r="S93" s="62">
        <v>1235063.49</v>
      </c>
      <c r="T93" s="66">
        <v>3077507.1</v>
      </c>
      <c r="U93" s="62">
        <v>813410.40599999996</v>
      </c>
      <c r="V93" s="62">
        <v>545261.46699999995</v>
      </c>
      <c r="W93" s="66">
        <v>1358671.87</v>
      </c>
      <c r="X93" s="62">
        <v>1656509.97</v>
      </c>
      <c r="Y93" s="62">
        <v>1110424.83</v>
      </c>
      <c r="Z93" s="66">
        <v>2766934.8</v>
      </c>
      <c r="AA93" s="62">
        <v>14150313.5</v>
      </c>
      <c r="AB93" s="22">
        <v>1828977.2802766846</v>
      </c>
      <c r="AC93">
        <v>1226036.5304252757</v>
      </c>
      <c r="AD93" s="23">
        <v>3055013.8107019602</v>
      </c>
      <c r="AE93">
        <v>807465.29812502442</v>
      </c>
      <c r="AF93">
        <v>541276.29548443737</v>
      </c>
      <c r="AG93" s="23">
        <v>1348741.4593625176</v>
      </c>
      <c r="AH93">
        <v>1644402.6333947699</v>
      </c>
      <c r="AI93">
        <v>1102308.774020076</v>
      </c>
      <c r="AJ93" s="23">
        <v>2746711.4074148457</v>
      </c>
      <c r="AK93">
        <v>1896351.3914279749</v>
      </c>
      <c r="AL93">
        <v>1271200.0216443201</v>
      </c>
      <c r="AM93" s="23">
        <v>3167551.413072295</v>
      </c>
      <c r="AN93">
        <v>837209.85656649747</v>
      </c>
      <c r="AO93">
        <v>561215.18862671254</v>
      </c>
      <c r="AP93" s="23">
        <v>1398425.0451932098</v>
      </c>
      <c r="AQ93">
        <v>1704977.5395625096</v>
      </c>
      <c r="AR93">
        <v>1142914.5814830929</v>
      </c>
      <c r="AS93" s="23">
        <v>2847892.1210456025</v>
      </c>
      <c r="AT93">
        <v>14564335.350763293</v>
      </c>
    </row>
    <row r="94" spans="1:46">
      <c r="A94" s="48" t="s">
        <v>138</v>
      </c>
      <c r="B94" s="48" t="s">
        <v>231</v>
      </c>
      <c r="C94" s="49">
        <v>124</v>
      </c>
      <c r="D94" s="50">
        <v>0.746</v>
      </c>
      <c r="E94" s="49">
        <v>113.56184285281</v>
      </c>
      <c r="F94" s="49">
        <v>0.78804216487734502</v>
      </c>
      <c r="G94" s="49">
        <v>102.45944176810301</v>
      </c>
      <c r="H94" s="49">
        <v>0.81586635425534904</v>
      </c>
      <c r="I94" s="61">
        <v>1313856.55</v>
      </c>
      <c r="J94" s="62">
        <v>454766.01199999999</v>
      </c>
      <c r="K94" s="66">
        <v>1768622.56</v>
      </c>
      <c r="L94" s="62">
        <v>1254130.6299999999</v>
      </c>
      <c r="M94" s="62">
        <v>434093.09399999998</v>
      </c>
      <c r="N94" s="66">
        <v>1688223.59</v>
      </c>
      <c r="O94" s="62">
        <v>1187707.6299999999</v>
      </c>
      <c r="P94" s="62">
        <v>411102.02100000001</v>
      </c>
      <c r="Q94" s="66">
        <v>1598809.65</v>
      </c>
      <c r="R94" s="62">
        <v>1186595.98</v>
      </c>
      <c r="S94" s="62">
        <v>410717.25799999997</v>
      </c>
      <c r="T94" s="66">
        <v>1597313.24</v>
      </c>
      <c r="U94" s="62">
        <v>1132655.1499999999</v>
      </c>
      <c r="V94" s="62">
        <v>392046.60399999999</v>
      </c>
      <c r="W94" s="66">
        <v>1524701.76</v>
      </c>
      <c r="X94" s="62">
        <v>1072665.82</v>
      </c>
      <c r="Y94" s="62">
        <v>371282.51400000002</v>
      </c>
      <c r="Z94" s="66">
        <v>1443948.33</v>
      </c>
      <c r="AA94" s="62">
        <v>9621619.1799999997</v>
      </c>
      <c r="AB94" s="22">
        <v>1360246.187446065</v>
      </c>
      <c r="AC94">
        <v>470822.88795039221</v>
      </c>
      <c r="AD94" s="23">
        <v>1831069.0753964572</v>
      </c>
      <c r="AE94">
        <v>1298411.4690775783</v>
      </c>
      <c r="AF94">
        <v>449420.05111366714</v>
      </c>
      <c r="AG94" s="23">
        <v>1747831.3843752397</v>
      </c>
      <c r="AH94">
        <v>1229643.2078194395</v>
      </c>
      <c r="AI94">
        <v>425617.20964621881</v>
      </c>
      <c r="AJ94" s="23">
        <v>1655260.4174656584</v>
      </c>
      <c r="AK94">
        <v>1228492.3029900156</v>
      </c>
      <c r="AL94">
        <v>425218.86130249692</v>
      </c>
      <c r="AM94" s="23">
        <v>1653711.1642925122</v>
      </c>
      <c r="AN94">
        <v>1172646.9346419158</v>
      </c>
      <c r="AO94">
        <v>405888.98415558721</v>
      </c>
      <c r="AP94" s="23">
        <v>1578535.9187975035</v>
      </c>
      <c r="AQ94">
        <v>1110539.4977346656</v>
      </c>
      <c r="AR94">
        <v>384391.75519513671</v>
      </c>
      <c r="AS94" s="23">
        <v>1494931.2529298023</v>
      </c>
      <c r="AT94">
        <v>9961339.2675835751</v>
      </c>
    </row>
    <row r="95" spans="1:46">
      <c r="A95" s="48" t="s">
        <v>161</v>
      </c>
      <c r="B95" s="48" t="s">
        <v>232</v>
      </c>
      <c r="C95" s="49">
        <v>40</v>
      </c>
      <c r="D95" s="50">
        <v>0.74199999999999999</v>
      </c>
      <c r="E95" s="49">
        <v>69.410538097060794</v>
      </c>
      <c r="F95" s="49">
        <v>0.79427651916028397</v>
      </c>
      <c r="G95" s="49">
        <v>228.51238616708699</v>
      </c>
      <c r="H95" s="49">
        <v>0.80728361105503099</v>
      </c>
      <c r="I95" s="61">
        <v>487596.71100000001</v>
      </c>
      <c r="J95" s="62">
        <v>214547.35</v>
      </c>
      <c r="K95" s="66">
        <v>702144.06099999999</v>
      </c>
      <c r="L95" s="62">
        <v>408321.30499999999</v>
      </c>
      <c r="M95" s="62">
        <v>179665.34099999999</v>
      </c>
      <c r="N95" s="66">
        <v>587986.64500000002</v>
      </c>
      <c r="O95" s="62">
        <v>546024.94200000004</v>
      </c>
      <c r="P95" s="62">
        <v>240256.32699999999</v>
      </c>
      <c r="Q95" s="66">
        <v>786281.26899999997</v>
      </c>
      <c r="R95" s="62">
        <v>435219.35399999999</v>
      </c>
      <c r="S95" s="62">
        <v>191500.79399999999</v>
      </c>
      <c r="T95" s="66">
        <v>626720.01599999995</v>
      </c>
      <c r="U95" s="62">
        <v>364459.57199999999</v>
      </c>
      <c r="V95" s="62">
        <v>160365.82399999999</v>
      </c>
      <c r="W95" s="66">
        <v>524825.39599999995</v>
      </c>
      <c r="X95" s="62">
        <v>487371.272</v>
      </c>
      <c r="Y95" s="62">
        <v>214448.05100000001</v>
      </c>
      <c r="Z95" s="66">
        <v>701819.32400000002</v>
      </c>
      <c r="AA95" s="62">
        <v>3929776.66</v>
      </c>
      <c r="AB95" s="22">
        <v>495581.6067370628</v>
      </c>
      <c r="AC95">
        <v>218060.78253371676</v>
      </c>
      <c r="AD95" s="23">
        <v>713642.38927077956</v>
      </c>
      <c r="AE95">
        <v>415007.98431034642</v>
      </c>
      <c r="AF95">
        <v>182607.54471403515</v>
      </c>
      <c r="AG95" s="23">
        <v>597615.52902438154</v>
      </c>
      <c r="AH95">
        <v>554966.66032151319</v>
      </c>
      <c r="AI95">
        <v>244190.7705373225</v>
      </c>
      <c r="AJ95" s="23">
        <v>799157.43085883558</v>
      </c>
      <c r="AK95">
        <v>442346.51684802689</v>
      </c>
      <c r="AL95">
        <v>194636.8161845232</v>
      </c>
      <c r="AM95" s="23">
        <v>636983.1986453007</v>
      </c>
      <c r="AN95">
        <v>370427.97083324764</v>
      </c>
      <c r="AO95">
        <v>162991.97862628323</v>
      </c>
      <c r="AP95" s="23">
        <v>533419.94945953088</v>
      </c>
      <c r="AQ95">
        <v>495352.47647679399</v>
      </c>
      <c r="AR95">
        <v>217959.85770939896</v>
      </c>
      <c r="AS95" s="23">
        <v>713312.33418619283</v>
      </c>
      <c r="AT95">
        <v>3994130.7776901214</v>
      </c>
    </row>
    <row r="96" spans="1:46">
      <c r="A96" s="48" t="s">
        <v>178</v>
      </c>
      <c r="B96" s="48" t="s">
        <v>173</v>
      </c>
      <c r="C96" s="49">
        <v>154</v>
      </c>
      <c r="D96" s="50">
        <v>0.73899999999999999</v>
      </c>
      <c r="E96" s="49">
        <v>191.34069226751399</v>
      </c>
      <c r="F96" s="49">
        <v>0.78052417032934895</v>
      </c>
      <c r="G96" s="49">
        <v>208.853164518803</v>
      </c>
      <c r="H96" s="49">
        <v>0.80866712362817095</v>
      </c>
      <c r="I96" s="61">
        <v>1607463.56</v>
      </c>
      <c r="J96" s="62">
        <v>799869.53200000001</v>
      </c>
      <c r="K96" s="66">
        <v>2407333.09</v>
      </c>
      <c r="L96" s="62">
        <v>1313182.6200000001</v>
      </c>
      <c r="M96" s="62">
        <v>653436.21900000004</v>
      </c>
      <c r="N96" s="66">
        <v>1966618.83</v>
      </c>
      <c r="O96" s="62">
        <v>2992669.53</v>
      </c>
      <c r="P96" s="62">
        <v>1489144.42</v>
      </c>
      <c r="Q96" s="66">
        <v>4481813.95</v>
      </c>
      <c r="R96" s="62">
        <v>1626670.33</v>
      </c>
      <c r="S96" s="62">
        <v>809426.85800000001</v>
      </c>
      <c r="T96" s="66">
        <v>2436097.06</v>
      </c>
      <c r="U96" s="62">
        <v>1328873.28</v>
      </c>
      <c r="V96" s="62">
        <v>661243.74100000004</v>
      </c>
      <c r="W96" s="66">
        <v>1990117.02</v>
      </c>
      <c r="X96" s="62">
        <v>3028427.52</v>
      </c>
      <c r="Y96" s="62">
        <v>1506937.4</v>
      </c>
      <c r="Z96" s="66">
        <v>4535364.91</v>
      </c>
      <c r="AA96" s="62">
        <v>17817344.899999999</v>
      </c>
      <c r="AB96" s="22">
        <v>1665423.0357902653</v>
      </c>
      <c r="AC96">
        <v>828710.01090586162</v>
      </c>
      <c r="AD96" s="23">
        <v>2494133.0466961274</v>
      </c>
      <c r="AE96">
        <v>1360531.357428231</v>
      </c>
      <c r="AF96">
        <v>676996.82779848971</v>
      </c>
      <c r="AG96" s="23">
        <v>2037528.185226721</v>
      </c>
      <c r="AH96">
        <v>3100574.657095497</v>
      </c>
      <c r="AI96">
        <v>1542837.7273608935</v>
      </c>
      <c r="AJ96" s="23">
        <v>4643412.3844563905</v>
      </c>
      <c r="AK96">
        <v>1685322.3382178871</v>
      </c>
      <c r="AL96">
        <v>838611.94019443449</v>
      </c>
      <c r="AM96" s="23">
        <v>2523934.1437947606</v>
      </c>
      <c r="AN96">
        <v>1376787.774048059</v>
      </c>
      <c r="AO96">
        <v>685085.86239826481</v>
      </c>
      <c r="AP96" s="23">
        <v>2061873.6364463237</v>
      </c>
      <c r="AQ96">
        <v>3137621.9482468977</v>
      </c>
      <c r="AR96">
        <v>1561272.2561114668</v>
      </c>
      <c r="AS96" s="23">
        <v>4698894.2043583645</v>
      </c>
      <c r="AT96">
        <v>18459775.641363956</v>
      </c>
    </row>
    <row r="97" spans="1:46">
      <c r="A97" s="48" t="s">
        <v>153</v>
      </c>
      <c r="B97" s="48" t="s">
        <v>160</v>
      </c>
      <c r="C97" s="49">
        <v>28</v>
      </c>
      <c r="D97" s="50">
        <v>0.73499999999999999</v>
      </c>
      <c r="E97" s="49">
        <v>150.54301408521201</v>
      </c>
      <c r="F97" s="49">
        <v>0.78488753883614304</v>
      </c>
      <c r="G97" s="49">
        <v>109.13943579497401</v>
      </c>
      <c r="H97" s="49">
        <v>0.81575591524382196</v>
      </c>
      <c r="I97" s="61">
        <v>261982.16</v>
      </c>
      <c r="J97" s="62">
        <v>138044.38</v>
      </c>
      <c r="K97" s="66">
        <v>400026.54</v>
      </c>
      <c r="L97" s="62">
        <v>113753.56299999999</v>
      </c>
      <c r="M97" s="62">
        <v>59939.298199999997</v>
      </c>
      <c r="N97" s="66">
        <v>173692.86199999999</v>
      </c>
      <c r="O97" s="62">
        <v>197412.43700000001</v>
      </c>
      <c r="P97" s="62">
        <v>104021.035</v>
      </c>
      <c r="Q97" s="66">
        <v>301433.47200000001</v>
      </c>
      <c r="R97" s="62">
        <v>122618.124</v>
      </c>
      <c r="S97" s="62">
        <v>64610.227200000001</v>
      </c>
      <c r="T97" s="66">
        <v>187228.351</v>
      </c>
      <c r="U97" s="62">
        <v>53241.1947</v>
      </c>
      <c r="V97" s="62">
        <v>28053.9267</v>
      </c>
      <c r="W97" s="66">
        <v>81295.121400000004</v>
      </c>
      <c r="X97" s="62">
        <v>92396.825500000006</v>
      </c>
      <c r="Y97" s="62">
        <v>48686.029699999999</v>
      </c>
      <c r="Z97" s="66">
        <v>141082.85500000001</v>
      </c>
      <c r="AA97" s="62">
        <v>1284759.25</v>
      </c>
      <c r="AB97" s="22">
        <v>272285.50080543134</v>
      </c>
      <c r="AC97">
        <v>143473.44546482991</v>
      </c>
      <c r="AD97" s="23">
        <v>415758.94627026137</v>
      </c>
      <c r="AE97">
        <v>118227.30979127539</v>
      </c>
      <c r="AF97">
        <v>62296.61532838711</v>
      </c>
      <c r="AG97" s="23">
        <v>180523.92511966251</v>
      </c>
      <c r="AH97">
        <v>205176.35359529988</v>
      </c>
      <c r="AI97">
        <v>108112.01661688065</v>
      </c>
      <c r="AJ97" s="23">
        <v>313288.37021218048</v>
      </c>
      <c r="AK97">
        <v>127440.49937103067</v>
      </c>
      <c r="AL97">
        <v>67151.244472563878</v>
      </c>
      <c r="AM97" s="23">
        <v>194591.74384359457</v>
      </c>
      <c r="AN97">
        <v>55335.086098280619</v>
      </c>
      <c r="AO97">
        <v>29157.242948763203</v>
      </c>
      <c r="AP97" s="23">
        <v>84492.329047043822</v>
      </c>
      <c r="AQ97">
        <v>96030.645489273433</v>
      </c>
      <c r="AR97">
        <v>50600.773646087982</v>
      </c>
      <c r="AS97" s="23">
        <v>146631.41913536142</v>
      </c>
      <c r="AT97">
        <v>1335286.7879471525</v>
      </c>
    </row>
    <row r="98" spans="1:46">
      <c r="A98" s="48" t="s">
        <v>194</v>
      </c>
      <c r="B98" s="48" t="s">
        <v>233</v>
      </c>
      <c r="C98" s="49">
        <v>141</v>
      </c>
      <c r="D98" s="50">
        <v>0.73299999999999998</v>
      </c>
      <c r="E98" s="49">
        <v>226.91758630877499</v>
      </c>
      <c r="F98" s="49">
        <v>0.77817275088604898</v>
      </c>
      <c r="G98" s="49">
        <v>352.16789003949498</v>
      </c>
      <c r="H98" s="49">
        <v>0.79682673368312296</v>
      </c>
      <c r="I98" s="61">
        <v>161041.098</v>
      </c>
      <c r="J98" s="62">
        <v>49969.744400000003</v>
      </c>
      <c r="K98" s="66">
        <v>211010.842</v>
      </c>
      <c r="L98" s="62">
        <v>102794.18799999999</v>
      </c>
      <c r="M98" s="62">
        <v>31896.1548</v>
      </c>
      <c r="N98" s="66">
        <v>134690.34299999999</v>
      </c>
      <c r="O98" s="62">
        <v>296494.95699999999</v>
      </c>
      <c r="P98" s="62">
        <v>92000.037599999996</v>
      </c>
      <c r="Q98" s="66">
        <v>388494.995</v>
      </c>
      <c r="R98" s="62">
        <v>261103.78</v>
      </c>
      <c r="S98" s="62">
        <v>81018.440600000002</v>
      </c>
      <c r="T98" s="66">
        <v>342122.22100000002</v>
      </c>
      <c r="U98" s="62">
        <v>166665.13</v>
      </c>
      <c r="V98" s="62">
        <v>51714.923600000002</v>
      </c>
      <c r="W98" s="66">
        <v>218380.05300000001</v>
      </c>
      <c r="X98" s="62">
        <v>480721.859</v>
      </c>
      <c r="Y98" s="62">
        <v>149164.11199999999</v>
      </c>
      <c r="Z98" s="66">
        <v>629885.97100000002</v>
      </c>
      <c r="AA98" s="62">
        <v>1924584.34</v>
      </c>
      <c r="AB98" s="22">
        <v>164901.49771245936</v>
      </c>
      <c r="AC98">
        <v>51167.595076755642</v>
      </c>
      <c r="AD98" s="23">
        <v>216069.09278921501</v>
      </c>
      <c r="AE98">
        <v>105258.3212785747</v>
      </c>
      <c r="AF98">
        <v>32660.754101629787</v>
      </c>
      <c r="AG98" s="23">
        <v>137919.07538020448</v>
      </c>
      <c r="AH98">
        <v>303602.39161837625</v>
      </c>
      <c r="AI98">
        <v>94205.418246082321</v>
      </c>
      <c r="AJ98" s="23">
        <v>397807.80986445863</v>
      </c>
      <c r="AK98">
        <v>267362.83469629847</v>
      </c>
      <c r="AL98">
        <v>82960.57571465784</v>
      </c>
      <c r="AM98" s="23">
        <v>350323.41041095636</v>
      </c>
      <c r="AN98">
        <v>170660.34591296889</v>
      </c>
      <c r="AO98">
        <v>52954.608849812525</v>
      </c>
      <c r="AP98" s="23">
        <v>223614.95476278139</v>
      </c>
      <c r="AQ98">
        <v>492245.49214829499</v>
      </c>
      <c r="AR98">
        <v>152739.80250887267</v>
      </c>
      <c r="AS98" s="23">
        <v>644985.29465716763</v>
      </c>
      <c r="AT98">
        <v>1970719.545012227</v>
      </c>
    </row>
    <row r="99" spans="1:46">
      <c r="A99" s="48" t="s">
        <v>178</v>
      </c>
      <c r="B99" s="48" t="s">
        <v>234</v>
      </c>
      <c r="C99" s="49">
        <v>116</v>
      </c>
      <c r="D99" s="50">
        <v>0.73</v>
      </c>
      <c r="E99" s="49">
        <v>184.43040100628301</v>
      </c>
      <c r="F99" s="49">
        <v>0.78292614690032003</v>
      </c>
      <c r="G99" s="49">
        <v>76.724567407129499</v>
      </c>
      <c r="H99" s="49">
        <v>0.81674273051411495</v>
      </c>
      <c r="I99" s="61">
        <v>136509.47899999999</v>
      </c>
      <c r="J99" s="62">
        <v>109856.091</v>
      </c>
      <c r="K99" s="66">
        <v>246365.7</v>
      </c>
      <c r="L99" s="62">
        <v>126226.766</v>
      </c>
      <c r="M99" s="62">
        <v>101581.02</v>
      </c>
      <c r="N99" s="66">
        <v>227807.78599999999</v>
      </c>
      <c r="O99" s="62">
        <v>142256.09899999999</v>
      </c>
      <c r="P99" s="62">
        <v>114480.68</v>
      </c>
      <c r="Q99" s="66">
        <v>256736.77900000001</v>
      </c>
      <c r="R99" s="62">
        <v>117950</v>
      </c>
      <c r="S99" s="62">
        <v>94920.377900000007</v>
      </c>
      <c r="T99" s="66">
        <v>212870.378</v>
      </c>
      <c r="U99" s="62">
        <v>109065.234</v>
      </c>
      <c r="V99" s="62">
        <v>87770.336899999995</v>
      </c>
      <c r="W99" s="66">
        <v>196835.571</v>
      </c>
      <c r="X99" s="62">
        <v>122915.27800000001</v>
      </c>
      <c r="Y99" s="62">
        <v>98916.111699999994</v>
      </c>
      <c r="Z99" s="66">
        <v>221831.52</v>
      </c>
      <c r="AA99" s="62">
        <v>1362447.66</v>
      </c>
      <c r="AB99" s="22">
        <v>142405.6723766847</v>
      </c>
      <c r="AC99">
        <v>114601.05709528233</v>
      </c>
      <c r="AD99" s="23">
        <v>257006.86543386139</v>
      </c>
      <c r="AE99">
        <v>131678.82275960562</v>
      </c>
      <c r="AF99">
        <v>105968.56449885684</v>
      </c>
      <c r="AG99" s="23">
        <v>237647.38725846249</v>
      </c>
      <c r="AH99">
        <v>148400.50422261163</v>
      </c>
      <c r="AI99">
        <v>119425.39299270191</v>
      </c>
      <c r="AJ99" s="23">
        <v>267825.89721531357</v>
      </c>
      <c r="AK99">
        <v>123044.56265855351</v>
      </c>
      <c r="AL99">
        <v>99020.231887814138</v>
      </c>
      <c r="AM99" s="23">
        <v>222064.79454636766</v>
      </c>
      <c r="AN99">
        <v>113776.04032033258</v>
      </c>
      <c r="AO99">
        <v>91561.362363466149</v>
      </c>
      <c r="AP99" s="23">
        <v>205337.40268379875</v>
      </c>
      <c r="AQ99">
        <v>128224.30294781865</v>
      </c>
      <c r="AR99">
        <v>103188.55164496797</v>
      </c>
      <c r="AS99" s="23">
        <v>231412.99055468099</v>
      </c>
      <c r="AT99">
        <v>1421295.2561153481</v>
      </c>
    </row>
    <row r="100" spans="1:46">
      <c r="A100" s="48" t="s">
        <v>136</v>
      </c>
      <c r="B100" s="48" t="s">
        <v>235</v>
      </c>
      <c r="C100" s="49">
        <v>96</v>
      </c>
      <c r="D100" s="50">
        <v>0.72599999999999998</v>
      </c>
      <c r="E100" s="49">
        <v>62.552212839069099</v>
      </c>
      <c r="F100" s="49">
        <v>0.79131502433852197</v>
      </c>
      <c r="G100" s="49">
        <v>307.28235203332099</v>
      </c>
      <c r="H100" s="49">
        <v>0.80152433711243198</v>
      </c>
      <c r="I100" s="61">
        <v>177873.91</v>
      </c>
      <c r="J100" s="62">
        <v>-999</v>
      </c>
      <c r="K100" s="66">
        <v>177873.91</v>
      </c>
      <c r="L100" s="62">
        <v>94314.527300000002</v>
      </c>
      <c r="M100" s="62">
        <v>-999</v>
      </c>
      <c r="N100" s="66">
        <v>94314.527300000002</v>
      </c>
      <c r="O100" s="62">
        <v>168595.842</v>
      </c>
      <c r="P100" s="62">
        <v>-999</v>
      </c>
      <c r="Q100" s="66">
        <v>168595.842</v>
      </c>
      <c r="R100" s="62">
        <v>90762.191800000001</v>
      </c>
      <c r="S100" s="62">
        <v>-999</v>
      </c>
      <c r="T100" s="66">
        <v>90762.191800000001</v>
      </c>
      <c r="U100" s="62">
        <v>48125.076500000003</v>
      </c>
      <c r="V100" s="62">
        <v>-999</v>
      </c>
      <c r="W100" s="66">
        <v>48125.076500000003</v>
      </c>
      <c r="X100" s="62">
        <v>86027.983900000007</v>
      </c>
      <c r="Y100" s="62">
        <v>-999</v>
      </c>
      <c r="Z100" s="66">
        <v>86027.983900000007</v>
      </c>
      <c r="AA100" s="62">
        <v>665699.62399999995</v>
      </c>
      <c r="AB100" s="22">
        <v>180168.78665460765</v>
      </c>
      <c r="AC100">
        <v>-999</v>
      </c>
      <c r="AD100" s="23">
        <v>180168.78665460765</v>
      </c>
      <c r="AE100">
        <v>95531.345474009548</v>
      </c>
      <c r="AF100">
        <v>-999</v>
      </c>
      <c r="AG100" s="23">
        <v>95531.345474009548</v>
      </c>
      <c r="AH100">
        <v>170771.0162666174</v>
      </c>
      <c r="AI100">
        <v>-999</v>
      </c>
      <c r="AJ100" s="23">
        <v>170771.0162666174</v>
      </c>
      <c r="AK100">
        <v>91933.178790027159</v>
      </c>
      <c r="AL100">
        <v>-999</v>
      </c>
      <c r="AM100" s="23">
        <v>91933.178790027159</v>
      </c>
      <c r="AN100">
        <v>48745.972014908097</v>
      </c>
      <c r="AO100">
        <v>-999</v>
      </c>
      <c r="AP100" s="23">
        <v>48745.972014908097</v>
      </c>
      <c r="AQ100">
        <v>87137.891496088501</v>
      </c>
      <c r="AR100">
        <v>-999</v>
      </c>
      <c r="AS100" s="23">
        <v>87137.891496088501</v>
      </c>
      <c r="AT100">
        <v>674288.28409621678</v>
      </c>
    </row>
    <row r="101" spans="1:46">
      <c r="A101" s="48" t="s">
        <v>161</v>
      </c>
      <c r="B101" s="48" t="s">
        <v>236</v>
      </c>
      <c r="C101" s="49">
        <v>64</v>
      </c>
      <c r="D101" s="50">
        <v>0.72399999999999998</v>
      </c>
      <c r="E101" s="49">
        <v>93.869086045289194</v>
      </c>
      <c r="F101" s="49">
        <v>0.79520633093804405</v>
      </c>
      <c r="G101" s="49">
        <v>53.588317585391501</v>
      </c>
      <c r="H101" s="49">
        <v>0.81914641609531702</v>
      </c>
      <c r="I101" s="61">
        <v>52912.183700000001</v>
      </c>
      <c r="J101" s="62">
        <v>-999</v>
      </c>
      <c r="K101" s="66">
        <v>52912.183700000001</v>
      </c>
      <c r="L101" s="62">
        <v>18225.367999999999</v>
      </c>
      <c r="M101" s="62">
        <v>-999</v>
      </c>
      <c r="N101" s="66">
        <v>18225.367999999999</v>
      </c>
      <c r="O101" s="62">
        <v>23263.098099999999</v>
      </c>
      <c r="P101" s="62">
        <v>-999</v>
      </c>
      <c r="Q101" s="66">
        <v>23263.098099999999</v>
      </c>
      <c r="R101" s="62">
        <v>39694.363899999997</v>
      </c>
      <c r="S101" s="62">
        <v>-999</v>
      </c>
      <c r="T101" s="66">
        <v>39694.363899999997</v>
      </c>
      <c r="U101" s="62">
        <v>13672.534</v>
      </c>
      <c r="V101" s="62">
        <v>-999</v>
      </c>
      <c r="W101" s="66">
        <v>13672.534</v>
      </c>
      <c r="X101" s="62">
        <v>17451.7582</v>
      </c>
      <c r="Y101" s="62">
        <v>-999</v>
      </c>
      <c r="Z101" s="66">
        <v>17451.7582</v>
      </c>
      <c r="AA101" s="62">
        <v>165219.33199999999</v>
      </c>
      <c r="AB101" s="22">
        <v>54505.131513671266</v>
      </c>
      <c r="AC101">
        <v>-999</v>
      </c>
      <c r="AD101" s="23">
        <v>54505.131513671266</v>
      </c>
      <c r="AE101">
        <v>18774.051864079196</v>
      </c>
      <c r="AF101">
        <v>-999</v>
      </c>
      <c r="AG101" s="23">
        <v>18774.051864079196</v>
      </c>
      <c r="AH101">
        <v>23963.445360058209</v>
      </c>
      <c r="AI101">
        <v>-999</v>
      </c>
      <c r="AJ101" s="23">
        <v>23963.445360058209</v>
      </c>
      <c r="AK101">
        <v>40889.382602238009</v>
      </c>
      <c r="AL101">
        <v>-999</v>
      </c>
      <c r="AM101" s="23">
        <v>40889.382602238009</v>
      </c>
      <c r="AN101">
        <v>14084.152491911709</v>
      </c>
      <c r="AO101">
        <v>-999</v>
      </c>
      <c r="AP101" s="23">
        <v>14084.152491911709</v>
      </c>
      <c r="AQ101">
        <v>17977.152148121102</v>
      </c>
      <c r="AR101">
        <v>-999</v>
      </c>
      <c r="AS101" s="23">
        <v>17977.152148121102</v>
      </c>
      <c r="AT101">
        <v>170193.34325248591</v>
      </c>
    </row>
    <row r="102" spans="1:46">
      <c r="A102" s="48" t="s">
        <v>194</v>
      </c>
      <c r="B102" s="48" t="s">
        <v>237</v>
      </c>
      <c r="C102" s="49">
        <v>142</v>
      </c>
      <c r="D102" s="50">
        <v>0.72399999999999998</v>
      </c>
      <c r="E102" s="49">
        <v>104.22765574941801</v>
      </c>
      <c r="F102" s="49">
        <v>0.77281528967550595</v>
      </c>
      <c r="G102" s="49">
        <v>243.27068118770001</v>
      </c>
      <c r="H102" s="49">
        <v>0.80625917791591994</v>
      </c>
      <c r="I102" s="61">
        <v>105884.728</v>
      </c>
      <c r="J102" s="62">
        <v>143153.54800000001</v>
      </c>
      <c r="K102" s="66">
        <v>249038.27600000001</v>
      </c>
      <c r="L102" s="62">
        <v>118021.766</v>
      </c>
      <c r="M102" s="62">
        <v>159562.38800000001</v>
      </c>
      <c r="N102" s="66">
        <v>277584.15399999998</v>
      </c>
      <c r="O102" s="62">
        <v>219404.66800000001</v>
      </c>
      <c r="P102" s="62">
        <v>296629.663</v>
      </c>
      <c r="Q102" s="66">
        <v>516034.45899999997</v>
      </c>
      <c r="R102" s="62">
        <v>114303.8</v>
      </c>
      <c r="S102" s="62">
        <v>154535.79999999999</v>
      </c>
      <c r="T102" s="66">
        <v>268839.59999999998</v>
      </c>
      <c r="U102" s="62">
        <v>127405.708</v>
      </c>
      <c r="V102" s="62">
        <v>172249.402</v>
      </c>
      <c r="W102" s="66">
        <v>299655.11</v>
      </c>
      <c r="X102" s="62">
        <v>236849.90700000001</v>
      </c>
      <c r="Y102" s="62">
        <v>320215.07900000003</v>
      </c>
      <c r="Z102" s="66">
        <v>557064.98600000003</v>
      </c>
      <c r="AA102" s="62">
        <v>2168216.42</v>
      </c>
      <c r="AB102" s="22">
        <v>110466.9319366961</v>
      </c>
      <c r="AC102">
        <v>149348.57435839556</v>
      </c>
      <c r="AD102" s="23">
        <v>259815.50629509173</v>
      </c>
      <c r="AE102">
        <v>123129.20513400492</v>
      </c>
      <c r="AF102">
        <v>166467.51353179809</v>
      </c>
      <c r="AG102" s="23">
        <v>289596.71866580297</v>
      </c>
      <c r="AH102">
        <v>228899.49161063629</v>
      </c>
      <c r="AI102">
        <v>309466.42938505835</v>
      </c>
      <c r="AJ102" s="23">
        <v>538366.0552124083</v>
      </c>
      <c r="AK102">
        <v>119250.34211008954</v>
      </c>
      <c r="AL102">
        <v>161223.39809683542</v>
      </c>
      <c r="AM102" s="23">
        <v>280473.74020692497</v>
      </c>
      <c r="AN102">
        <v>132919.24065962547</v>
      </c>
      <c r="AO102">
        <v>179703.56317987636</v>
      </c>
      <c r="AP102" s="23">
        <v>312622.80383950187</v>
      </c>
      <c r="AQ102">
        <v>247099.68062904442</v>
      </c>
      <c r="AR102">
        <v>334072.51371161285</v>
      </c>
      <c r="AS102" s="23">
        <v>581172.19434065744</v>
      </c>
      <c r="AT102">
        <v>2262046.8440786591</v>
      </c>
    </row>
    <row r="103" spans="1:46">
      <c r="A103" s="48" t="s">
        <v>178</v>
      </c>
      <c r="B103" s="48" t="s">
        <v>238</v>
      </c>
      <c r="C103" s="49">
        <v>126</v>
      </c>
      <c r="D103" s="50">
        <v>0.71099999999999997</v>
      </c>
      <c r="E103" s="49">
        <v>122.74964469824501</v>
      </c>
      <c r="F103" s="49">
        <v>0.78536592199966404</v>
      </c>
      <c r="G103" s="49">
        <v>201.54484598270801</v>
      </c>
      <c r="H103" s="49">
        <v>0.80917946146849395</v>
      </c>
      <c r="I103" s="61">
        <v>428240.31699999998</v>
      </c>
      <c r="J103" s="62">
        <v>268089.26799999998</v>
      </c>
      <c r="K103" s="66">
        <v>696329.58499999996</v>
      </c>
      <c r="L103" s="62">
        <v>306896.02799999999</v>
      </c>
      <c r="M103" s="62">
        <v>192124.62400000001</v>
      </c>
      <c r="N103" s="66">
        <v>499020.78200000001</v>
      </c>
      <c r="O103" s="62">
        <v>1020856.9</v>
      </c>
      <c r="P103" s="62">
        <v>639082.13899999997</v>
      </c>
      <c r="Q103" s="66">
        <v>1659939.17</v>
      </c>
      <c r="R103" s="62">
        <v>1483908.08</v>
      </c>
      <c r="S103" s="62">
        <v>928963.84</v>
      </c>
      <c r="T103" s="66">
        <v>2412871.92</v>
      </c>
      <c r="U103" s="62">
        <v>1063434.42</v>
      </c>
      <c r="V103" s="62">
        <v>665736.74199999997</v>
      </c>
      <c r="W103" s="66">
        <v>1729171.29</v>
      </c>
      <c r="X103" s="62">
        <v>3537400.9</v>
      </c>
      <c r="Y103" s="62">
        <v>2214502.17</v>
      </c>
      <c r="Z103" s="66">
        <v>5751903.0700000003</v>
      </c>
      <c r="AA103" s="62">
        <v>12749235.699999999</v>
      </c>
      <c r="AB103" s="22">
        <v>441225.24254355527</v>
      </c>
      <c r="AC103">
        <v>276218.15926922334</v>
      </c>
      <c r="AD103" s="23">
        <v>717443.40181277867</v>
      </c>
      <c r="AE103">
        <v>316201.60174016358</v>
      </c>
      <c r="AF103">
        <v>197950.14665514164</v>
      </c>
      <c r="AG103" s="23">
        <v>514151.88309815392</v>
      </c>
      <c r="AH103">
        <v>1051810.8950257143</v>
      </c>
      <c r="AI103">
        <v>658460.12253276748</v>
      </c>
      <c r="AJ103" s="23">
        <v>1710271.1522613303</v>
      </c>
      <c r="AK103">
        <v>1528902.522172557</v>
      </c>
      <c r="AL103">
        <v>957131.49554317212</v>
      </c>
      <c r="AM103" s="23">
        <v>2486034.0177157288</v>
      </c>
      <c r="AN103">
        <v>1095679.4370588469</v>
      </c>
      <c r="AO103">
        <v>685922.93521708483</v>
      </c>
      <c r="AP103" s="23">
        <v>1781602.5069787807</v>
      </c>
      <c r="AQ103">
        <v>3644660.5000804202</v>
      </c>
      <c r="AR103">
        <v>2281649.3853839077</v>
      </c>
      <c r="AS103" s="23">
        <v>5926309.8854643274</v>
      </c>
      <c r="AT103">
        <v>13135812.712628253</v>
      </c>
    </row>
    <row r="104" spans="1:46">
      <c r="A104" s="48" t="s">
        <v>161</v>
      </c>
      <c r="B104" s="48" t="s">
        <v>239</v>
      </c>
      <c r="C104" s="49">
        <v>66</v>
      </c>
      <c r="D104" s="50">
        <v>0.7</v>
      </c>
      <c r="E104" s="49">
        <v>61.393560565650098</v>
      </c>
      <c r="F104" s="49">
        <v>0.79363821719599903</v>
      </c>
      <c r="G104" s="49">
        <v>240.805196760819</v>
      </c>
      <c r="H104" s="49">
        <v>0.80640965341794102</v>
      </c>
      <c r="I104" s="61">
        <v>1187439.46</v>
      </c>
      <c r="J104" s="62">
        <v>-999</v>
      </c>
      <c r="K104" s="66">
        <v>1187439.46</v>
      </c>
      <c r="L104" s="62">
        <v>607730.86699999997</v>
      </c>
      <c r="M104" s="62">
        <v>-999</v>
      </c>
      <c r="N104" s="66">
        <v>607730.86699999997</v>
      </c>
      <c r="O104" s="62">
        <v>1230778.44</v>
      </c>
      <c r="P104" s="62">
        <v>-999</v>
      </c>
      <c r="Q104" s="66">
        <v>1230778.44</v>
      </c>
      <c r="R104" s="62">
        <v>437080.821</v>
      </c>
      <c r="S104" s="62">
        <v>-999</v>
      </c>
      <c r="T104" s="66">
        <v>437080.821</v>
      </c>
      <c r="U104" s="62">
        <v>223697.68</v>
      </c>
      <c r="V104" s="62">
        <v>-999</v>
      </c>
      <c r="W104" s="66">
        <v>223697.68</v>
      </c>
      <c r="X104" s="62">
        <v>453033.39799999999</v>
      </c>
      <c r="Y104" s="62">
        <v>-999</v>
      </c>
      <c r="Z104" s="66">
        <v>453033.39799999999</v>
      </c>
      <c r="AA104" s="62">
        <v>4139760.75</v>
      </c>
      <c r="AB104" s="22">
        <v>1206548.0518626927</v>
      </c>
      <c r="AC104">
        <v>-999</v>
      </c>
      <c r="AD104" s="23">
        <v>1206548.0518626927</v>
      </c>
      <c r="AE104">
        <v>617510.63338669587</v>
      </c>
      <c r="AF104">
        <v>-999</v>
      </c>
      <c r="AG104" s="23">
        <v>617510.63338669587</v>
      </c>
      <c r="AH104">
        <v>1250584.4513312359</v>
      </c>
      <c r="AI104">
        <v>-999</v>
      </c>
      <c r="AJ104" s="23">
        <v>1250584.4513312359</v>
      </c>
      <c r="AK104">
        <v>444114.44106162147</v>
      </c>
      <c r="AL104">
        <v>-999</v>
      </c>
      <c r="AM104" s="23">
        <v>444114.44106162147</v>
      </c>
      <c r="AN104">
        <v>227297.48199336705</v>
      </c>
      <c r="AO104">
        <v>-999</v>
      </c>
      <c r="AP104" s="23">
        <v>227297.48199336705</v>
      </c>
      <c r="AQ104">
        <v>460323.73122504214</v>
      </c>
      <c r="AR104">
        <v>-999</v>
      </c>
      <c r="AS104" s="23">
        <v>460323.73122504214</v>
      </c>
      <c r="AT104">
        <v>4206378.8714057123</v>
      </c>
    </row>
    <row r="105" spans="1:46">
      <c r="A105" s="48" t="s">
        <v>161</v>
      </c>
      <c r="B105" s="48" t="s">
        <v>240</v>
      </c>
      <c r="C105" s="49">
        <v>87</v>
      </c>
      <c r="D105" s="50">
        <v>0.68600000000000005</v>
      </c>
      <c r="E105" s="49">
        <v>48.922363899327202</v>
      </c>
      <c r="F105" s="49">
        <v>0.79309670969881596</v>
      </c>
      <c r="G105" s="49">
        <v>215.45544627034801</v>
      </c>
      <c r="H105" s="49">
        <v>0.80819911288647495</v>
      </c>
      <c r="I105" s="61">
        <v>1087295.46</v>
      </c>
      <c r="J105" s="62">
        <v>-999</v>
      </c>
      <c r="K105" s="66">
        <v>1087295.46</v>
      </c>
      <c r="L105" s="62">
        <v>574042.72400000005</v>
      </c>
      <c r="M105" s="62">
        <v>-999</v>
      </c>
      <c r="N105" s="66">
        <v>574042.72400000005</v>
      </c>
      <c r="O105" s="62">
        <v>963400.80799999996</v>
      </c>
      <c r="P105" s="62">
        <v>-999</v>
      </c>
      <c r="Q105" s="66">
        <v>963400.80799999996</v>
      </c>
      <c r="R105" s="62">
        <v>1050666.02</v>
      </c>
      <c r="S105" s="62">
        <v>-999</v>
      </c>
      <c r="T105" s="66">
        <v>1050666.02</v>
      </c>
      <c r="U105" s="62">
        <v>554704.14599999995</v>
      </c>
      <c r="V105" s="62">
        <v>-999</v>
      </c>
      <c r="W105" s="66">
        <v>554704.14599999995</v>
      </c>
      <c r="X105" s="62">
        <v>930945.22499999998</v>
      </c>
      <c r="Y105" s="62">
        <v>-999</v>
      </c>
      <c r="Z105" s="66">
        <v>930945.22499999998</v>
      </c>
      <c r="AA105" s="62">
        <v>5161054.55</v>
      </c>
      <c r="AB105" s="22">
        <v>1108000.0898380177</v>
      </c>
      <c r="AC105">
        <v>-999</v>
      </c>
      <c r="AD105" s="23">
        <v>1108000.0898380177</v>
      </c>
      <c r="AE105">
        <v>584973.83077859564</v>
      </c>
      <c r="AF105">
        <v>-999</v>
      </c>
      <c r="AG105" s="23">
        <v>584973.83077859564</v>
      </c>
      <c r="AH105">
        <v>981746.19722794113</v>
      </c>
      <c r="AI105">
        <v>-999</v>
      </c>
      <c r="AJ105" s="23">
        <v>981746.19722794113</v>
      </c>
      <c r="AK105">
        <v>1070673.1398207282</v>
      </c>
      <c r="AL105">
        <v>-999</v>
      </c>
      <c r="AM105" s="23">
        <v>1070673.1398207282</v>
      </c>
      <c r="AN105">
        <v>565267.00077184639</v>
      </c>
      <c r="AO105">
        <v>-999</v>
      </c>
      <c r="AP105" s="23">
        <v>565267.00077184639</v>
      </c>
      <c r="AQ105">
        <v>948672.58375611529</v>
      </c>
      <c r="AR105">
        <v>-999</v>
      </c>
      <c r="AS105" s="23">
        <v>948672.58375611529</v>
      </c>
      <c r="AT105">
        <v>5259333.0170947919</v>
      </c>
    </row>
    <row r="106" spans="1:46">
      <c r="A106" s="48" t="s">
        <v>146</v>
      </c>
      <c r="B106" s="48" t="s">
        <v>241</v>
      </c>
      <c r="C106" s="49">
        <v>82</v>
      </c>
      <c r="D106" s="50">
        <v>0.67800000000000005</v>
      </c>
      <c r="E106" s="49">
        <v>35.637521589621301</v>
      </c>
      <c r="F106" s="49">
        <v>0.78972305438561996</v>
      </c>
      <c r="G106" s="49">
        <v>366.44464041558399</v>
      </c>
      <c r="H106" s="49">
        <v>0.79756486982669506</v>
      </c>
      <c r="I106" s="61">
        <v>1123815.28</v>
      </c>
      <c r="J106" s="62">
        <v>218500.087</v>
      </c>
      <c r="K106" s="66">
        <v>1342315.37</v>
      </c>
      <c r="L106" s="62">
        <v>1143239.6100000001</v>
      </c>
      <c r="M106" s="62">
        <v>222276.65299999999</v>
      </c>
      <c r="N106" s="66">
        <v>1365516.26</v>
      </c>
      <c r="O106" s="62">
        <v>991178.39199999999</v>
      </c>
      <c r="P106" s="62">
        <v>192711.85200000001</v>
      </c>
      <c r="Q106" s="66">
        <v>1183890.1100000001</v>
      </c>
      <c r="R106" s="62">
        <v>1014610.92</v>
      </c>
      <c r="S106" s="62">
        <v>197267.736</v>
      </c>
      <c r="T106" s="66">
        <v>1211878.6599999999</v>
      </c>
      <c r="U106" s="62">
        <v>1032147.69</v>
      </c>
      <c r="V106" s="62">
        <v>200677.38500000001</v>
      </c>
      <c r="W106" s="66">
        <v>1232825.08</v>
      </c>
      <c r="X106" s="62">
        <v>894862.62899999996</v>
      </c>
      <c r="Y106" s="62">
        <v>173985.46599999999</v>
      </c>
      <c r="Z106" s="66">
        <v>1068848.1000000001</v>
      </c>
      <c r="AA106" s="62">
        <v>7405273.46</v>
      </c>
      <c r="AB106" s="22">
        <v>1134974.579160437</v>
      </c>
      <c r="AC106">
        <v>220669.75574533979</v>
      </c>
      <c r="AD106" s="23">
        <v>1355644.3349057771</v>
      </c>
      <c r="AE106">
        <v>1154591.7869693318</v>
      </c>
      <c r="AF106">
        <v>224483.82188721155</v>
      </c>
      <c r="AG106" s="23">
        <v>1379075.6088565434</v>
      </c>
      <c r="AH106">
        <v>1001020.6250409837</v>
      </c>
      <c r="AI106">
        <v>194625.44751538723</v>
      </c>
      <c r="AJ106" s="23">
        <v>1195645.9397869853</v>
      </c>
      <c r="AK106">
        <v>1024685.8386492841</v>
      </c>
      <c r="AL106">
        <v>199226.57057545497</v>
      </c>
      <c r="AM106" s="23">
        <v>1223912.4092247393</v>
      </c>
      <c r="AN106">
        <v>1042396.7436188642</v>
      </c>
      <c r="AO106">
        <v>202670.07736194803</v>
      </c>
      <c r="AP106" s="23">
        <v>1245066.8209808122</v>
      </c>
      <c r="AQ106">
        <v>903748.46233060956</v>
      </c>
      <c r="AR106">
        <v>175713.11237496455</v>
      </c>
      <c r="AS106" s="23">
        <v>1079461.574705574</v>
      </c>
      <c r="AT106">
        <v>7478806.5689679841</v>
      </c>
    </row>
    <row r="107" spans="1:46">
      <c r="A107" s="48" t="s">
        <v>151</v>
      </c>
      <c r="B107" s="48" t="s">
        <v>242</v>
      </c>
      <c r="C107" s="49">
        <v>140</v>
      </c>
      <c r="D107" s="50">
        <v>0.67500000000000004</v>
      </c>
      <c r="E107" s="49">
        <v>48.034392257138002</v>
      </c>
      <c r="F107" s="49">
        <v>0.79538749162940103</v>
      </c>
      <c r="G107" s="49">
        <v>277.43277126094301</v>
      </c>
      <c r="H107" s="49">
        <v>0.80387399399237303</v>
      </c>
      <c r="I107" s="61">
        <v>12690.1441</v>
      </c>
      <c r="J107" s="62">
        <v>-999</v>
      </c>
      <c r="K107" s="66">
        <v>12690.1441</v>
      </c>
      <c r="L107" s="62">
        <v>19156.633300000001</v>
      </c>
      <c r="M107" s="62">
        <v>-999</v>
      </c>
      <c r="N107" s="66">
        <v>19156.633300000001</v>
      </c>
      <c r="O107" s="62">
        <v>40517.3122</v>
      </c>
      <c r="P107" s="62">
        <v>-999</v>
      </c>
      <c r="Q107" s="66">
        <v>40517.3122</v>
      </c>
      <c r="R107" s="62">
        <v>737.90377000000001</v>
      </c>
      <c r="S107" s="62">
        <v>-999</v>
      </c>
      <c r="T107" s="66">
        <v>737.90377000000001</v>
      </c>
      <c r="U107" s="62">
        <v>1113.9394299999999</v>
      </c>
      <c r="V107" s="62">
        <v>-999</v>
      </c>
      <c r="W107" s="66">
        <v>1113.9394299999999</v>
      </c>
      <c r="X107" s="62">
        <v>2356.0487499999999</v>
      </c>
      <c r="Y107" s="62">
        <v>-999</v>
      </c>
      <c r="Z107" s="66">
        <v>2356.0487499999999</v>
      </c>
      <c r="AA107" s="62">
        <v>76572.061100000006</v>
      </c>
      <c r="AB107" s="22">
        <v>12825.543447880375</v>
      </c>
      <c r="AC107">
        <v>-999</v>
      </c>
      <c r="AD107" s="23">
        <v>12825.543447880375</v>
      </c>
      <c r="AE107">
        <v>19361.027796157556</v>
      </c>
      <c r="AF107">
        <v>-999</v>
      </c>
      <c r="AG107" s="23">
        <v>19361.027796157556</v>
      </c>
      <c r="AH107">
        <v>40949.617582188192</v>
      </c>
      <c r="AI107">
        <v>-999</v>
      </c>
      <c r="AJ107" s="23">
        <v>40949.617582188192</v>
      </c>
      <c r="AK107">
        <v>745.77694158132454</v>
      </c>
      <c r="AL107">
        <v>-999</v>
      </c>
      <c r="AM107" s="23">
        <v>745.77694158132454</v>
      </c>
      <c r="AN107">
        <v>1125.8247639554431</v>
      </c>
      <c r="AO107">
        <v>-999</v>
      </c>
      <c r="AP107" s="23">
        <v>1125.8247639554431</v>
      </c>
      <c r="AQ107">
        <v>2381.1869546919243</v>
      </c>
      <c r="AR107">
        <v>-999</v>
      </c>
      <c r="AS107" s="23">
        <v>2381.1869546919243</v>
      </c>
      <c r="AT107">
        <v>77389.057778248287</v>
      </c>
    </row>
    <row r="108" spans="1:46">
      <c r="A108" s="48" t="s">
        <v>194</v>
      </c>
      <c r="B108" s="48" t="s">
        <v>243</v>
      </c>
      <c r="C108" s="49">
        <v>148</v>
      </c>
      <c r="D108" s="50">
        <v>0.67500000000000004</v>
      </c>
      <c r="E108" s="49">
        <v>221.24237061650399</v>
      </c>
      <c r="F108" s="49">
        <v>0.77947657247482605</v>
      </c>
      <c r="G108" s="49">
        <v>376.37644516560999</v>
      </c>
      <c r="H108" s="49">
        <v>0.79672296750856197</v>
      </c>
      <c r="I108" s="61">
        <v>80127.798500000004</v>
      </c>
      <c r="J108" s="62">
        <v>19239.905200000001</v>
      </c>
      <c r="K108" s="66">
        <v>99367.703800000003</v>
      </c>
      <c r="L108" s="62">
        <v>142828.285</v>
      </c>
      <c r="M108" s="62">
        <v>34295.236499999999</v>
      </c>
      <c r="N108" s="66">
        <v>177123.52100000001</v>
      </c>
      <c r="O108" s="62">
        <v>92290.688500000004</v>
      </c>
      <c r="P108" s="62">
        <v>22160.504000000001</v>
      </c>
      <c r="Q108" s="66">
        <v>114451.193</v>
      </c>
      <c r="R108" s="62">
        <v>288291.7</v>
      </c>
      <c r="S108" s="62">
        <v>69223.304099999994</v>
      </c>
      <c r="T108" s="66">
        <v>357515.13400000002</v>
      </c>
      <c r="U108" s="62">
        <v>513881.74699999997</v>
      </c>
      <c r="V108" s="62">
        <v>123391.01700000001</v>
      </c>
      <c r="W108" s="66">
        <v>637272.89399999997</v>
      </c>
      <c r="X108" s="62">
        <v>332052.93099999998</v>
      </c>
      <c r="Y108" s="62">
        <v>79731.127500000002</v>
      </c>
      <c r="Z108" s="66">
        <v>411784.05900000001</v>
      </c>
      <c r="AA108" s="62">
        <v>1797514.43</v>
      </c>
      <c r="AB108" s="22">
        <v>81900.67498206679</v>
      </c>
      <c r="AC108">
        <v>19665.599892093403</v>
      </c>
      <c r="AD108" s="23">
        <v>101566.2748741602</v>
      </c>
      <c r="AE108">
        <v>145988.44786258243</v>
      </c>
      <c r="AF108">
        <v>35054.039568910324</v>
      </c>
      <c r="AG108" s="23">
        <v>181042.48743149277</v>
      </c>
      <c r="AH108">
        <v>94332.676370604138</v>
      </c>
      <c r="AI108">
        <v>22650.81872447404</v>
      </c>
      <c r="AJ108" s="23">
        <v>116983.49509507815</v>
      </c>
      <c r="AK108">
        <v>294670.33023947023</v>
      </c>
      <c r="AL108">
        <v>70754.911919299266</v>
      </c>
      <c r="AM108" s="23">
        <v>365425.37478800496</v>
      </c>
      <c r="AN108">
        <v>525251.69393530546</v>
      </c>
      <c r="AO108">
        <v>126121.11890331063</v>
      </c>
      <c r="AP108" s="23">
        <v>651372.94546785159</v>
      </c>
      <c r="AQ108">
        <v>339399.80516651983</v>
      </c>
      <c r="AR108">
        <v>81495.227409177707</v>
      </c>
      <c r="AS108" s="23">
        <v>420895.03257569752</v>
      </c>
      <c r="AT108">
        <v>1837285.5306547438</v>
      </c>
    </row>
    <row r="109" spans="1:46">
      <c r="A109" s="48" t="s">
        <v>178</v>
      </c>
      <c r="B109" s="48" t="s">
        <v>244</v>
      </c>
      <c r="C109" s="49">
        <v>118</v>
      </c>
      <c r="D109" s="50">
        <v>0.66700000000000004</v>
      </c>
      <c r="E109" s="49">
        <v>246.42121993474001</v>
      </c>
      <c r="F109" s="49">
        <v>0.77796503558806296</v>
      </c>
      <c r="G109" s="49">
        <v>259.82218691861499</v>
      </c>
      <c r="H109" s="49">
        <v>0.80363287411856699</v>
      </c>
      <c r="I109" s="61">
        <v>2522939.02</v>
      </c>
      <c r="J109" s="62">
        <v>-999</v>
      </c>
      <c r="K109" s="66">
        <v>2522939.02</v>
      </c>
      <c r="L109" s="62">
        <v>1406497.32</v>
      </c>
      <c r="M109" s="62">
        <v>-999</v>
      </c>
      <c r="N109" s="66">
        <v>1406497.32</v>
      </c>
      <c r="O109" s="62">
        <v>2567124.36</v>
      </c>
      <c r="P109" s="62">
        <v>-999</v>
      </c>
      <c r="Q109" s="66">
        <v>2567124.36</v>
      </c>
      <c r="R109" s="62">
        <v>5399911.0999999996</v>
      </c>
      <c r="S109" s="62">
        <v>-999</v>
      </c>
      <c r="T109" s="66">
        <v>5399911.0999999996</v>
      </c>
      <c r="U109" s="62">
        <v>3010362.36</v>
      </c>
      <c r="V109" s="62">
        <v>-999</v>
      </c>
      <c r="W109" s="66">
        <v>3010362.36</v>
      </c>
      <c r="X109" s="62">
        <v>5494482.1600000001</v>
      </c>
      <c r="Y109" s="62">
        <v>-999</v>
      </c>
      <c r="Z109" s="66">
        <v>5494482.1600000001</v>
      </c>
      <c r="AA109" s="62">
        <v>20401316.399999999</v>
      </c>
      <c r="AB109" s="22">
        <v>2606179.7723951554</v>
      </c>
      <c r="AC109">
        <v>-999</v>
      </c>
      <c r="AD109" s="23">
        <v>2606179.7723951554</v>
      </c>
      <c r="AE109">
        <v>1452902.6775449836</v>
      </c>
      <c r="AF109">
        <v>-999</v>
      </c>
      <c r="AG109" s="23">
        <v>1452902.6775449836</v>
      </c>
      <c r="AH109">
        <v>2651822.9355350719</v>
      </c>
      <c r="AI109">
        <v>-999</v>
      </c>
      <c r="AJ109" s="23">
        <v>2651822.9355350719</v>
      </c>
      <c r="AK109">
        <v>5578073.4128565285</v>
      </c>
      <c r="AL109">
        <v>-999</v>
      </c>
      <c r="AM109" s="23">
        <v>5578073.4128565285</v>
      </c>
      <c r="AN109">
        <v>3109684.9375290852</v>
      </c>
      <c r="AO109">
        <v>-999</v>
      </c>
      <c r="AP109" s="23">
        <v>3109684.9375290852</v>
      </c>
      <c r="AQ109">
        <v>5675764.7010676758</v>
      </c>
      <c r="AR109">
        <v>-999</v>
      </c>
      <c r="AS109" s="23">
        <v>5675764.7010676758</v>
      </c>
      <c r="AT109">
        <v>21074428.557330068</v>
      </c>
    </row>
    <row r="110" spans="1:46">
      <c r="A110" s="48" t="s">
        <v>153</v>
      </c>
      <c r="B110" s="48" t="s">
        <v>245</v>
      </c>
      <c r="C110" s="49">
        <v>119</v>
      </c>
      <c r="D110" s="50">
        <v>0.66700000000000004</v>
      </c>
      <c r="E110" s="49">
        <v>242.421233061072</v>
      </c>
      <c r="F110" s="49">
        <v>0.76882445139162903</v>
      </c>
      <c r="G110" s="49">
        <v>193.23111286842101</v>
      </c>
      <c r="H110" s="49">
        <v>0.80978291116919798</v>
      </c>
      <c r="I110" s="61">
        <v>390883.50699999998</v>
      </c>
      <c r="J110" s="62">
        <v>-999</v>
      </c>
      <c r="K110" s="66">
        <v>390883.50699999998</v>
      </c>
      <c r="L110" s="62">
        <v>263849.55099999998</v>
      </c>
      <c r="M110" s="62">
        <v>-999</v>
      </c>
      <c r="N110" s="66">
        <v>263849.55099999998</v>
      </c>
      <c r="O110" s="62">
        <v>370289.31099999999</v>
      </c>
      <c r="P110" s="62">
        <v>-999</v>
      </c>
      <c r="Q110" s="66">
        <v>370289.31099999999</v>
      </c>
      <c r="R110" s="62">
        <v>526823.30000000005</v>
      </c>
      <c r="S110" s="62">
        <v>-999</v>
      </c>
      <c r="T110" s="66">
        <v>526823.30000000005</v>
      </c>
      <c r="U110" s="62">
        <v>355609.94199999998</v>
      </c>
      <c r="V110" s="62">
        <v>-999</v>
      </c>
      <c r="W110" s="66">
        <v>355609.94199999998</v>
      </c>
      <c r="X110" s="62">
        <v>499066.935</v>
      </c>
      <c r="Y110" s="62">
        <v>-999</v>
      </c>
      <c r="Z110" s="66">
        <v>499066.935</v>
      </c>
      <c r="AA110" s="62">
        <v>2406522.48</v>
      </c>
      <c r="AB110" s="22">
        <v>411707.4889670008</v>
      </c>
      <c r="AC110">
        <v>-999</v>
      </c>
      <c r="AD110" s="23">
        <v>411707.4889670008</v>
      </c>
      <c r="AE110">
        <v>277905.9082849134</v>
      </c>
      <c r="AF110">
        <v>-999</v>
      </c>
      <c r="AG110" s="23">
        <v>277905.9082849134</v>
      </c>
      <c r="AH110">
        <v>390016.15451152693</v>
      </c>
      <c r="AI110">
        <v>-999</v>
      </c>
      <c r="AJ110" s="23">
        <v>390016.15451152693</v>
      </c>
      <c r="AK110">
        <v>554889.35756031971</v>
      </c>
      <c r="AL110">
        <v>-999</v>
      </c>
      <c r="AM110" s="23">
        <v>554889.35756031971</v>
      </c>
      <c r="AN110">
        <v>374554.75475200108</v>
      </c>
      <c r="AO110">
        <v>-999</v>
      </c>
      <c r="AP110" s="23">
        <v>374554.75475200108</v>
      </c>
      <c r="AQ110">
        <v>525654.29540777858</v>
      </c>
      <c r="AR110">
        <v>-999</v>
      </c>
      <c r="AS110" s="23">
        <v>525654.29540777858</v>
      </c>
      <c r="AT110">
        <v>2534727.8920818884</v>
      </c>
    </row>
    <row r="111" spans="1:46">
      <c r="A111" s="48" t="s">
        <v>161</v>
      </c>
      <c r="B111" s="48" t="s">
        <v>246</v>
      </c>
      <c r="C111" s="49">
        <v>69</v>
      </c>
      <c r="D111" s="50">
        <v>0.66600000000000004</v>
      </c>
      <c r="E111" s="49">
        <v>9.7526137815122809</v>
      </c>
      <c r="F111" s="49">
        <v>0.79750356343678797</v>
      </c>
      <c r="G111" s="49">
        <v>181.73167285512099</v>
      </c>
      <c r="H111" s="49">
        <v>0.81060372117684398</v>
      </c>
      <c r="I111" s="61">
        <v>271099.95400000003</v>
      </c>
      <c r="J111" s="62">
        <v>240304.86900000001</v>
      </c>
      <c r="K111" s="66">
        <v>511404.95699999999</v>
      </c>
      <c r="L111" s="62">
        <v>264724.859</v>
      </c>
      <c r="M111" s="62">
        <v>234653.97500000001</v>
      </c>
      <c r="N111" s="66">
        <v>499378.83299999998</v>
      </c>
      <c r="O111" s="62">
        <v>264414.06900000002</v>
      </c>
      <c r="P111" s="62">
        <v>234378.5</v>
      </c>
      <c r="Q111" s="66">
        <v>498792.56900000002</v>
      </c>
      <c r="R111" s="62">
        <v>317049.5</v>
      </c>
      <c r="S111" s="62">
        <v>281034.85499999998</v>
      </c>
      <c r="T111" s="66">
        <v>598084.35499999998</v>
      </c>
      <c r="U111" s="62">
        <v>309593.87699999998</v>
      </c>
      <c r="V111" s="62">
        <v>274426.103</v>
      </c>
      <c r="W111" s="66">
        <v>584019.98</v>
      </c>
      <c r="X111" s="62">
        <v>309230.38199999998</v>
      </c>
      <c r="Y111" s="62">
        <v>274104.02899999998</v>
      </c>
      <c r="Z111" s="66">
        <v>583334.41099999996</v>
      </c>
      <c r="AA111" s="62">
        <v>3275015.14</v>
      </c>
      <c r="AB111" s="22">
        <v>275553.16602769861</v>
      </c>
      <c r="AC111">
        <v>244252.22696906122</v>
      </c>
      <c r="AD111" s="23">
        <v>519805.52793670294</v>
      </c>
      <c r="AE111">
        <v>269073.34996474104</v>
      </c>
      <c r="AF111">
        <v>238508.50829517975</v>
      </c>
      <c r="AG111" s="23">
        <v>507581.85825992079</v>
      </c>
      <c r="AH111">
        <v>268757.45555817324</v>
      </c>
      <c r="AI111">
        <v>238228.50791345051</v>
      </c>
      <c r="AJ111" s="23">
        <v>506985.96347162378</v>
      </c>
      <c r="AK111">
        <v>322257.49958001793</v>
      </c>
      <c r="AL111">
        <v>285651.26172231272</v>
      </c>
      <c r="AM111" s="23">
        <v>607908.76130233065</v>
      </c>
      <c r="AN111">
        <v>314679.40732096683</v>
      </c>
      <c r="AO111">
        <v>278933.95135967154</v>
      </c>
      <c r="AP111" s="23">
        <v>593613.35868063837</v>
      </c>
      <c r="AQ111">
        <v>314309.94175702729</v>
      </c>
      <c r="AR111">
        <v>278606.58705794864</v>
      </c>
      <c r="AS111" s="23">
        <v>592916.52881497587</v>
      </c>
      <c r="AT111">
        <v>3328812.038948175</v>
      </c>
    </row>
    <row r="112" spans="1:46">
      <c r="A112" s="49" t="s">
        <v>151</v>
      </c>
      <c r="B112" s="49" t="s">
        <v>247</v>
      </c>
      <c r="C112" s="49">
        <v>20</v>
      </c>
      <c r="D112" s="50">
        <v>0.66200000000000003</v>
      </c>
      <c r="E112" s="49">
        <v>29.247669680793202</v>
      </c>
      <c r="F112" s="49">
        <v>0.79743519447782196</v>
      </c>
      <c r="G112" s="49">
        <v>155.92451093757001</v>
      </c>
      <c r="H112" s="49">
        <v>0.81104019950042505</v>
      </c>
      <c r="I112" s="61">
        <v>901.49030200000004</v>
      </c>
      <c r="J112" s="62">
        <v>-999</v>
      </c>
      <c r="K112" s="66">
        <v>901.49030200000004</v>
      </c>
      <c r="L112" s="62">
        <v>871.62204699999995</v>
      </c>
      <c r="M112" s="62">
        <v>-999</v>
      </c>
      <c r="N112" s="66">
        <v>871.62204699999995</v>
      </c>
      <c r="O112" s="62">
        <v>3386.6618400000002</v>
      </c>
      <c r="P112" s="62">
        <v>-999</v>
      </c>
      <c r="Q112" s="66">
        <v>3386.6618400000002</v>
      </c>
      <c r="R112" s="62">
        <v>258.85820799999999</v>
      </c>
      <c r="S112" s="62">
        <v>-999</v>
      </c>
      <c r="T112" s="66">
        <v>258.85820799999999</v>
      </c>
      <c r="U112" s="62">
        <v>250.36234899999999</v>
      </c>
      <c r="V112" s="62">
        <v>-999</v>
      </c>
      <c r="W112" s="66">
        <v>250.36234899999999</v>
      </c>
      <c r="X112" s="62">
        <v>972.64312199999995</v>
      </c>
      <c r="Y112" s="62">
        <v>-999</v>
      </c>
      <c r="Z112" s="66">
        <v>972.64312199999995</v>
      </c>
      <c r="AA112" s="62">
        <v>6641.8502699999999</v>
      </c>
      <c r="AB112" s="22">
        <v>916.87058609645885</v>
      </c>
      <c r="AC112">
        <v>-999</v>
      </c>
      <c r="AD112" s="23">
        <v>916.87058609645885</v>
      </c>
      <c r="AE112">
        <v>886.49275045050035</v>
      </c>
      <c r="AF112">
        <v>-999</v>
      </c>
      <c r="AG112" s="23">
        <v>886.49275045050035</v>
      </c>
      <c r="AH112">
        <v>3444.4415244430643</v>
      </c>
      <c r="AI112">
        <v>-999</v>
      </c>
      <c r="AJ112" s="23">
        <v>3444.4415244430643</v>
      </c>
      <c r="AK112">
        <v>263.27457559830577</v>
      </c>
      <c r="AL112">
        <v>-999</v>
      </c>
      <c r="AM112" s="23">
        <v>263.27457559830577</v>
      </c>
      <c r="AN112">
        <v>254.63376901456644</v>
      </c>
      <c r="AO112">
        <v>-999</v>
      </c>
      <c r="AP112" s="23">
        <v>254.63376901456644</v>
      </c>
      <c r="AQ112">
        <v>989.23734123527515</v>
      </c>
      <c r="AR112">
        <v>-999</v>
      </c>
      <c r="AS112" s="23">
        <v>989.23734123527515</v>
      </c>
      <c r="AT112">
        <v>6755.1665670027642</v>
      </c>
    </row>
    <row r="113" spans="1:46">
      <c r="A113" s="49" t="s">
        <v>146</v>
      </c>
      <c r="B113" s="49" t="s">
        <v>248</v>
      </c>
      <c r="C113" s="49">
        <v>8</v>
      </c>
      <c r="D113" s="50">
        <v>0.65800000000000003</v>
      </c>
      <c r="E113" s="49">
        <v>174.88105283924301</v>
      </c>
      <c r="F113" s="49">
        <v>0.77804827632635098</v>
      </c>
      <c r="G113" s="49">
        <v>40.904430759476099</v>
      </c>
      <c r="H113" s="49">
        <v>0.820435965847926</v>
      </c>
      <c r="I113" s="61">
        <v>1071286.76</v>
      </c>
      <c r="J113" s="62">
        <v>3825340.75</v>
      </c>
      <c r="K113" s="66">
        <v>4896627.5</v>
      </c>
      <c r="L113" s="62">
        <v>320941.28000000003</v>
      </c>
      <c r="M113" s="62">
        <v>1146013.99</v>
      </c>
      <c r="N113" s="66">
        <v>1466955.27</v>
      </c>
      <c r="O113" s="62">
        <v>967715.43900000001</v>
      </c>
      <c r="P113" s="62">
        <v>3455509.11</v>
      </c>
      <c r="Q113" s="66">
        <v>4423224.55</v>
      </c>
      <c r="R113" s="62">
        <v>923988.93400000001</v>
      </c>
      <c r="S113" s="62">
        <v>3299370.73</v>
      </c>
      <c r="T113" s="66">
        <v>4223359.54</v>
      </c>
      <c r="U113" s="62">
        <v>276813.00199999998</v>
      </c>
      <c r="V113" s="62">
        <v>988441.43700000003</v>
      </c>
      <c r="W113" s="66">
        <v>1265254.44</v>
      </c>
      <c r="X113" s="62">
        <v>834658.13500000001</v>
      </c>
      <c r="Y113" s="62">
        <v>2980389.62</v>
      </c>
      <c r="Z113" s="66">
        <v>3815047.75</v>
      </c>
      <c r="AA113" s="62">
        <v>20090469</v>
      </c>
      <c r="AB113" s="22">
        <v>1129649.9356710354</v>
      </c>
      <c r="AC113">
        <v>4033743.4382689139</v>
      </c>
      <c r="AD113" s="23">
        <v>5163393.3739399491</v>
      </c>
      <c r="AE113">
        <v>338426.00362367294</v>
      </c>
      <c r="AF113">
        <v>1208448.2733361041</v>
      </c>
      <c r="AG113" s="23">
        <v>1546874.2769597769</v>
      </c>
      <c r="AH113">
        <v>1020436.1031568665</v>
      </c>
      <c r="AI113">
        <v>3643763.5539736631</v>
      </c>
      <c r="AJ113" s="23">
        <v>4664199.6571305301</v>
      </c>
      <c r="AK113">
        <v>974327.3989977059</v>
      </c>
      <c r="AL113">
        <v>3479118.8379622125</v>
      </c>
      <c r="AM113" s="23">
        <v>4453446.1003832165</v>
      </c>
      <c r="AN113">
        <v>291893.63853643503</v>
      </c>
      <c r="AO113">
        <v>1042291.243508857</v>
      </c>
      <c r="AP113" s="23">
        <v>1334184.8820452918</v>
      </c>
      <c r="AQ113">
        <v>880129.90166092385</v>
      </c>
      <c r="AR113">
        <v>3142759.7861391599</v>
      </c>
      <c r="AS113" s="23">
        <v>4022889.6878000833</v>
      </c>
      <c r="AT113">
        <v>21184987.950943507</v>
      </c>
    </row>
    <row r="114" spans="1:46">
      <c r="A114" s="48" t="s">
        <v>138</v>
      </c>
      <c r="B114" s="48" t="s">
        <v>249</v>
      </c>
      <c r="C114" s="49">
        <v>59</v>
      </c>
      <c r="D114" s="50">
        <v>0.65700000000000003</v>
      </c>
      <c r="E114" s="49">
        <v>191.188343421947</v>
      </c>
      <c r="F114" s="49">
        <v>0.77959187259648899</v>
      </c>
      <c r="G114" s="49">
        <v>31.522947062128601</v>
      </c>
      <c r="H114" s="49">
        <v>0.82118089706766895</v>
      </c>
      <c r="I114" s="61">
        <v>205805.49100000001</v>
      </c>
      <c r="J114" s="62">
        <v>104810.084</v>
      </c>
      <c r="K114" s="66">
        <v>310615.57500000001</v>
      </c>
      <c r="L114" s="62">
        <v>186412.84599999999</v>
      </c>
      <c r="M114" s="62">
        <v>94934.020600000003</v>
      </c>
      <c r="N114" s="66">
        <v>281346.86700000003</v>
      </c>
      <c r="O114" s="62">
        <v>276731.20199999999</v>
      </c>
      <c r="P114" s="62">
        <v>140930.26300000001</v>
      </c>
      <c r="Q114" s="66">
        <v>417661.46500000003</v>
      </c>
      <c r="R114" s="62">
        <v>155772.13099999999</v>
      </c>
      <c r="S114" s="62">
        <v>79329.710000000006</v>
      </c>
      <c r="T114" s="66">
        <v>235101.71100000001</v>
      </c>
      <c r="U114" s="62">
        <v>141094.04199999999</v>
      </c>
      <c r="V114" s="62">
        <v>71854.528900000005</v>
      </c>
      <c r="W114" s="66">
        <v>212948.571</v>
      </c>
      <c r="X114" s="62">
        <v>209455.092</v>
      </c>
      <c r="Y114" s="62">
        <v>106668.62699999999</v>
      </c>
      <c r="Z114" s="66">
        <v>316123.71899999998</v>
      </c>
      <c r="AA114" s="62">
        <v>1773797.83</v>
      </c>
      <c r="AB114" s="22">
        <v>216784.63223799574</v>
      </c>
      <c r="AC114">
        <v>110401.40643992793</v>
      </c>
      <c r="AD114" s="23">
        <v>327186.03867792367</v>
      </c>
      <c r="AE114">
        <v>196357.44528442825</v>
      </c>
      <c r="AF114">
        <v>99998.482481107858</v>
      </c>
      <c r="AG114" s="23">
        <v>296355.92776553612</v>
      </c>
      <c r="AH114">
        <v>291494.03034741007</v>
      </c>
      <c r="AI114">
        <v>148448.49458598101</v>
      </c>
      <c r="AJ114" s="23">
        <v>439942.52493339102</v>
      </c>
      <c r="AK114">
        <v>164082.13447594814</v>
      </c>
      <c r="AL114">
        <v>83561.725925463092</v>
      </c>
      <c r="AM114" s="23">
        <v>247643.72370070216</v>
      </c>
      <c r="AN114">
        <v>148621.01088080401</v>
      </c>
      <c r="AO114">
        <v>75687.765084095998</v>
      </c>
      <c r="AP114" s="23">
        <v>224308.77596490001</v>
      </c>
      <c r="AQ114">
        <v>220628.92957794233</v>
      </c>
      <c r="AR114">
        <v>112359.09729425465</v>
      </c>
      <c r="AS114" s="23">
        <v>332988.02687219699</v>
      </c>
      <c r="AT114">
        <v>1868424.9358942243</v>
      </c>
    </row>
    <row r="115" spans="1:46">
      <c r="A115" s="48" t="s">
        <v>194</v>
      </c>
      <c r="B115" s="48" t="s">
        <v>250</v>
      </c>
      <c r="C115" s="49">
        <v>99</v>
      </c>
      <c r="D115" s="50">
        <v>0.65700000000000003</v>
      </c>
      <c r="E115" s="49">
        <v>164.601800177489</v>
      </c>
      <c r="F115" s="49">
        <v>0.783872660046949</v>
      </c>
      <c r="G115" s="49">
        <v>359.876177818337</v>
      </c>
      <c r="H115" s="49">
        <v>0.79578709460068897</v>
      </c>
      <c r="I115" s="61">
        <v>598686.19900000002</v>
      </c>
      <c r="J115" s="62">
        <v>2852555.09</v>
      </c>
      <c r="K115" s="66">
        <v>3451241.42</v>
      </c>
      <c r="L115" s="62">
        <v>290865.61700000003</v>
      </c>
      <c r="M115" s="62">
        <v>1385884.74</v>
      </c>
      <c r="N115" s="66">
        <v>1676750.36</v>
      </c>
      <c r="O115" s="62">
        <v>930564.973</v>
      </c>
      <c r="P115" s="62">
        <v>4433854.71</v>
      </c>
      <c r="Q115" s="66">
        <v>5364419.55</v>
      </c>
      <c r="R115" s="62">
        <v>188310.995</v>
      </c>
      <c r="S115" s="62">
        <v>897243.81299999997</v>
      </c>
      <c r="T115" s="66">
        <v>1085554.81</v>
      </c>
      <c r="U115" s="62">
        <v>91488.933199999999</v>
      </c>
      <c r="V115" s="62">
        <v>435916.67599999998</v>
      </c>
      <c r="W115" s="66">
        <v>527405.74</v>
      </c>
      <c r="X115" s="62">
        <v>292700.30699999997</v>
      </c>
      <c r="Y115" s="62">
        <v>1394626.4</v>
      </c>
      <c r="Z115" s="66">
        <v>1687326.58</v>
      </c>
      <c r="AA115" s="62">
        <v>13792698.5</v>
      </c>
      <c r="AB115" s="22">
        <v>607785.90066741512</v>
      </c>
      <c r="AC115">
        <v>2895912.3674219172</v>
      </c>
      <c r="AD115" s="23">
        <v>3503698.4005627739</v>
      </c>
      <c r="AE115">
        <v>295286.6144524042</v>
      </c>
      <c r="AF115">
        <v>1406949.427104865</v>
      </c>
      <c r="AG115" s="23">
        <v>1702236.0415572692</v>
      </c>
      <c r="AH115">
        <v>944709.05047003075</v>
      </c>
      <c r="AI115">
        <v>4501246.8679677434</v>
      </c>
      <c r="AJ115" s="23">
        <v>5445955.7859643325</v>
      </c>
      <c r="AK115">
        <v>191173.21924875284</v>
      </c>
      <c r="AL115">
        <v>910881.42711592792</v>
      </c>
      <c r="AM115" s="23">
        <v>1102054.6463646807</v>
      </c>
      <c r="AN115">
        <v>92879.514833454436</v>
      </c>
      <c r="AO115">
        <v>442542.37062351254</v>
      </c>
      <c r="AP115" s="23">
        <v>535422.01793040917</v>
      </c>
      <c r="AQ115">
        <v>297149.19104943692</v>
      </c>
      <c r="AR115">
        <v>1415823.9554698591</v>
      </c>
      <c r="AS115" s="23">
        <v>1712973.0140458536</v>
      </c>
      <c r="AT115">
        <v>14002339.946167354</v>
      </c>
    </row>
    <row r="116" spans="1:46">
      <c r="A116" s="49" t="s">
        <v>151</v>
      </c>
      <c r="B116" s="49" t="s">
        <v>251</v>
      </c>
      <c r="C116" s="49">
        <v>11</v>
      </c>
      <c r="D116" s="50">
        <v>0.65500000000000003</v>
      </c>
      <c r="E116" s="49">
        <v>84.526005692822295</v>
      </c>
      <c r="F116" s="49">
        <v>0.79357869660067903</v>
      </c>
      <c r="G116" s="49">
        <v>177.11402650726799</v>
      </c>
      <c r="H116" s="49">
        <v>0.81084805204286503</v>
      </c>
      <c r="I116" s="61">
        <v>848017.07299999997</v>
      </c>
      <c r="J116" s="62">
        <v>-999</v>
      </c>
      <c r="K116" s="66">
        <v>848017.07299999997</v>
      </c>
      <c r="L116" s="62">
        <v>1064332.42</v>
      </c>
      <c r="M116" s="62">
        <v>-999</v>
      </c>
      <c r="N116" s="66">
        <v>1064332.42</v>
      </c>
      <c r="O116" s="62">
        <v>964792.13899999997</v>
      </c>
      <c r="P116" s="62">
        <v>-999</v>
      </c>
      <c r="Q116" s="66">
        <v>964792.13899999997</v>
      </c>
      <c r="R116" s="62">
        <v>470271.33199999999</v>
      </c>
      <c r="S116" s="62">
        <v>-999</v>
      </c>
      <c r="T116" s="66">
        <v>470271.33199999999</v>
      </c>
      <c r="U116" s="62">
        <v>590229.88399999996</v>
      </c>
      <c r="V116" s="62">
        <v>-999</v>
      </c>
      <c r="W116" s="66">
        <v>590229.88399999996</v>
      </c>
      <c r="X116" s="62">
        <v>535029.33799999999</v>
      </c>
      <c r="Y116" s="62">
        <v>-999</v>
      </c>
      <c r="Z116" s="66">
        <v>535029.33799999999</v>
      </c>
      <c r="AA116" s="62">
        <v>4472672</v>
      </c>
      <c r="AB116" s="22">
        <v>866471.08217519941</v>
      </c>
      <c r="AC116">
        <v>-999</v>
      </c>
      <c r="AD116" s="23">
        <v>866471.08217519941</v>
      </c>
      <c r="AE116">
        <v>1087493.7426637004</v>
      </c>
      <c r="AF116">
        <v>-999</v>
      </c>
      <c r="AG116" s="23">
        <v>1087493.7426637004</v>
      </c>
      <c r="AH116">
        <v>985787.33300666255</v>
      </c>
      <c r="AI116">
        <v>-999</v>
      </c>
      <c r="AJ116" s="23">
        <v>985787.33300666255</v>
      </c>
      <c r="AK116">
        <v>480505.07804148539</v>
      </c>
      <c r="AL116">
        <v>-999</v>
      </c>
      <c r="AM116" s="23">
        <v>480505.07804148539</v>
      </c>
      <c r="AN116">
        <v>603074.09176652145</v>
      </c>
      <c r="AO116">
        <v>-999</v>
      </c>
      <c r="AP116" s="23">
        <v>603074.09176652145</v>
      </c>
      <c r="AQ116">
        <v>546672.30623069673</v>
      </c>
      <c r="AR116">
        <v>-999</v>
      </c>
      <c r="AS116" s="23">
        <v>546672.30623069673</v>
      </c>
      <c r="AT116">
        <v>4570003.4449114036</v>
      </c>
    </row>
    <row r="117" spans="1:46">
      <c r="A117" s="48" t="s">
        <v>160</v>
      </c>
      <c r="B117" s="48" t="s">
        <v>252</v>
      </c>
      <c r="C117" s="49">
        <v>129</v>
      </c>
      <c r="D117" s="50">
        <v>0.65100000000000002</v>
      </c>
      <c r="E117" s="49">
        <v>239.00055238373201</v>
      </c>
      <c r="F117" s="49">
        <v>0.773564739739249</v>
      </c>
      <c r="G117" s="49">
        <v>126.954153454508</v>
      </c>
      <c r="H117" s="49">
        <v>0.81389880133811598</v>
      </c>
      <c r="I117" s="61">
        <v>312681.59499999997</v>
      </c>
      <c r="J117" s="62">
        <v>346785.87599999999</v>
      </c>
      <c r="K117" s="66">
        <v>659467.47</v>
      </c>
      <c r="L117" s="62">
        <v>166595.72500000001</v>
      </c>
      <c r="M117" s="62">
        <v>184766.397</v>
      </c>
      <c r="N117" s="66">
        <v>351362.12099999998</v>
      </c>
      <c r="O117" s="62">
        <v>296532.80499999999</v>
      </c>
      <c r="P117" s="62">
        <v>328875.58399999997</v>
      </c>
      <c r="Q117" s="66">
        <v>625408.38899999997</v>
      </c>
      <c r="R117" s="62">
        <v>93896.680699999997</v>
      </c>
      <c r="S117" s="62">
        <v>104137.958</v>
      </c>
      <c r="T117" s="66">
        <v>198034.639</v>
      </c>
      <c r="U117" s="62">
        <v>50027.844700000001</v>
      </c>
      <c r="V117" s="62">
        <v>55484.390500000001</v>
      </c>
      <c r="W117" s="66">
        <v>105512.235</v>
      </c>
      <c r="X117" s="62">
        <v>89047.176099999997</v>
      </c>
      <c r="Y117" s="62">
        <v>98759.577900000004</v>
      </c>
      <c r="Z117" s="66">
        <v>187806.883</v>
      </c>
      <c r="AA117" s="62">
        <v>2127591.65</v>
      </c>
      <c r="AB117" s="22">
        <v>328984.97325652867</v>
      </c>
      <c r="AC117">
        <v>364867.46864283772</v>
      </c>
      <c r="AD117" s="23">
        <v>693852.44189936633</v>
      </c>
      <c r="AE117">
        <v>175282.11092722716</v>
      </c>
      <c r="AF117">
        <v>194400.21146976692</v>
      </c>
      <c r="AG117" s="23">
        <v>369682.3223969941</v>
      </c>
      <c r="AH117">
        <v>311994.17717958835</v>
      </c>
      <c r="AI117">
        <v>346023.32578639704</v>
      </c>
      <c r="AJ117" s="23">
        <v>658017.50296598533</v>
      </c>
      <c r="AK117">
        <v>98792.501721393302</v>
      </c>
      <c r="AL117">
        <v>109567.76424254874</v>
      </c>
      <c r="AM117" s="23">
        <v>208360.26596394205</v>
      </c>
      <c r="AN117">
        <v>52636.322129427703</v>
      </c>
      <c r="AO117">
        <v>58377.375063689673</v>
      </c>
      <c r="AP117" s="23">
        <v>111013.69719311736</v>
      </c>
      <c r="AQ117">
        <v>93690.1414341497</v>
      </c>
      <c r="AR117">
        <v>103908.9528095045</v>
      </c>
      <c r="AS117" s="23">
        <v>197599.22973212405</v>
      </c>
      <c r="AT117">
        <v>2238525.3653096007</v>
      </c>
    </row>
    <row r="118" spans="1:46">
      <c r="A118" s="48" t="s">
        <v>178</v>
      </c>
      <c r="B118" s="48" t="s">
        <v>253</v>
      </c>
      <c r="C118" s="49">
        <v>98</v>
      </c>
      <c r="D118" s="50">
        <v>0.64</v>
      </c>
      <c r="E118" s="49">
        <v>141.90781732178101</v>
      </c>
      <c r="F118" s="49">
        <v>0.78043006632216405</v>
      </c>
      <c r="G118" s="49">
        <v>197.30363156161201</v>
      </c>
      <c r="H118" s="49">
        <v>0.80866651337058804</v>
      </c>
      <c r="I118" s="61">
        <v>988057.1</v>
      </c>
      <c r="J118" s="62">
        <v>1634273.26</v>
      </c>
      <c r="K118" s="66">
        <v>2622330.36</v>
      </c>
      <c r="L118" s="62">
        <v>662344.054</v>
      </c>
      <c r="M118" s="62">
        <v>1095535.08</v>
      </c>
      <c r="N118" s="66">
        <v>1757879.26</v>
      </c>
      <c r="O118" s="62">
        <v>1122760.22</v>
      </c>
      <c r="P118" s="62">
        <v>1857075.95</v>
      </c>
      <c r="Q118" s="66">
        <v>2979836.17</v>
      </c>
      <c r="R118" s="62">
        <v>1408304.5</v>
      </c>
      <c r="S118" s="62">
        <v>2329374.06</v>
      </c>
      <c r="T118" s="66">
        <v>3737678.56</v>
      </c>
      <c r="U118" s="62">
        <v>944056.94700000004</v>
      </c>
      <c r="V118" s="62">
        <v>1561495.98</v>
      </c>
      <c r="W118" s="66">
        <v>2505552.92</v>
      </c>
      <c r="X118" s="62">
        <v>1600300.62</v>
      </c>
      <c r="Y118" s="62">
        <v>2646940.66</v>
      </c>
      <c r="Z118" s="66">
        <v>4247241.1500000004</v>
      </c>
      <c r="AA118" s="62">
        <v>17850518.399999999</v>
      </c>
      <c r="AB118" s="22">
        <v>1023805.6226609041</v>
      </c>
      <c r="AC118">
        <v>1693402.2870785582</v>
      </c>
      <c r="AD118" s="23">
        <v>2717207.9097394622</v>
      </c>
      <c r="AE118">
        <v>686308.0757811463</v>
      </c>
      <c r="AF118">
        <v>1135172.2233988845</v>
      </c>
      <c r="AG118" s="23">
        <v>1821480.4337974896</v>
      </c>
      <c r="AH118">
        <v>1163382.3888774635</v>
      </c>
      <c r="AI118">
        <v>1924266.1138447735</v>
      </c>
      <c r="AJ118" s="23">
        <v>3087648.5027222363</v>
      </c>
      <c r="AK118">
        <v>1459257.832835878</v>
      </c>
      <c r="AL118">
        <v>2413652.2705086935</v>
      </c>
      <c r="AM118" s="23">
        <v>3872910.1033445718</v>
      </c>
      <c r="AN118">
        <v>978213.51625542401</v>
      </c>
      <c r="AO118">
        <v>1617991.8750289739</v>
      </c>
      <c r="AP118" s="23">
        <v>2596205.3912843978</v>
      </c>
      <c r="AQ118">
        <v>1658200.494630544</v>
      </c>
      <c r="AR118">
        <v>2742708.6296202238</v>
      </c>
      <c r="AS118" s="23">
        <v>4400908.9896333078</v>
      </c>
      <c r="AT118">
        <v>18496361.330521468</v>
      </c>
    </row>
    <row r="119" spans="1:46">
      <c r="A119" s="49" t="s">
        <v>151</v>
      </c>
      <c r="B119" s="49" t="s">
        <v>254</v>
      </c>
      <c r="C119" s="49">
        <v>14</v>
      </c>
      <c r="D119" s="50">
        <v>0.61799999999999999</v>
      </c>
      <c r="E119" s="49">
        <v>66.388485536072693</v>
      </c>
      <c r="F119" s="49">
        <v>0.79516133805551903</v>
      </c>
      <c r="G119" s="49">
        <v>211.990118390128</v>
      </c>
      <c r="H119" s="49">
        <v>0.80804829418848001</v>
      </c>
      <c r="I119" s="61">
        <v>277786.18599999999</v>
      </c>
      <c r="J119" s="62">
        <v>390152.08</v>
      </c>
      <c r="K119" s="66">
        <v>667938.26599999995</v>
      </c>
      <c r="L119" s="62">
        <v>249890.95</v>
      </c>
      <c r="M119" s="62">
        <v>350973.29</v>
      </c>
      <c r="N119" s="66">
        <v>600864.24</v>
      </c>
      <c r="O119" s="62">
        <v>225885.51800000001</v>
      </c>
      <c r="P119" s="62">
        <v>317257.38</v>
      </c>
      <c r="Q119" s="66">
        <v>543142.89800000004</v>
      </c>
      <c r="R119" s="62">
        <v>285374.91700000002</v>
      </c>
      <c r="S119" s="62">
        <v>400810.58600000001</v>
      </c>
      <c r="T119" s="66">
        <v>686185.50300000003</v>
      </c>
      <c r="U119" s="62">
        <v>256717.63099999999</v>
      </c>
      <c r="V119" s="62">
        <v>360561.326</v>
      </c>
      <c r="W119" s="66">
        <v>617279.08900000004</v>
      </c>
      <c r="X119" s="62">
        <v>232056.44099999999</v>
      </c>
      <c r="Y119" s="62">
        <v>325924.52299999999</v>
      </c>
      <c r="Z119" s="66">
        <v>557980.96400000004</v>
      </c>
      <c r="AA119" s="62">
        <v>3673390.79</v>
      </c>
      <c r="AB119" s="22">
        <v>282288.18878161185</v>
      </c>
      <c r="AC119">
        <v>396475.16480305139</v>
      </c>
      <c r="AD119" s="23">
        <v>678763.35358466324</v>
      </c>
      <c r="AE119">
        <v>253940.86258927168</v>
      </c>
      <c r="AF119">
        <v>356661.41524798749</v>
      </c>
      <c r="AG119" s="23">
        <v>610602.27783725923</v>
      </c>
      <c r="AH119">
        <v>229546.38081743522</v>
      </c>
      <c r="AI119">
        <v>322399.08096666588</v>
      </c>
      <c r="AJ119" s="23">
        <v>551945.46178410121</v>
      </c>
      <c r="AK119">
        <v>289999.90764867363</v>
      </c>
      <c r="AL119">
        <v>407306.41048410279</v>
      </c>
      <c r="AM119" s="23">
        <v>697306.3181327763</v>
      </c>
      <c r="AN119">
        <v>260878.18122054636</v>
      </c>
      <c r="AO119">
        <v>366404.84180331201</v>
      </c>
      <c r="AP119" s="23">
        <v>627283.15753840341</v>
      </c>
      <c r="AQ119">
        <v>235817.31439258874</v>
      </c>
      <c r="AR119">
        <v>331206.68983215699</v>
      </c>
      <c r="AS119" s="23">
        <v>567024.00422474567</v>
      </c>
      <c r="AT119">
        <v>3732924.3982330412</v>
      </c>
    </row>
    <row r="120" spans="1:46">
      <c r="A120" s="48" t="s">
        <v>161</v>
      </c>
      <c r="B120" s="48" t="s">
        <v>241</v>
      </c>
      <c r="C120" s="49">
        <v>56</v>
      </c>
      <c r="D120" s="50">
        <v>0.61499999999999999</v>
      </c>
      <c r="E120" s="49">
        <v>130.772297201567</v>
      </c>
      <c r="F120" s="49">
        <v>0.78896101596464296</v>
      </c>
      <c r="G120" s="49">
        <v>222.19342222214499</v>
      </c>
      <c r="H120" s="49">
        <v>0.80772188544036005</v>
      </c>
      <c r="I120" s="61">
        <v>717664.34900000005</v>
      </c>
      <c r="J120" s="62">
        <v>23179.0308</v>
      </c>
      <c r="K120" s="66">
        <v>740843.38</v>
      </c>
      <c r="L120" s="62">
        <v>493897.42499999999</v>
      </c>
      <c r="M120" s="62">
        <v>15951.812</v>
      </c>
      <c r="N120" s="66">
        <v>509849.36900000001</v>
      </c>
      <c r="O120" s="62">
        <v>891039.84900000005</v>
      </c>
      <c r="P120" s="62">
        <v>28778.720099999999</v>
      </c>
      <c r="Q120" s="66">
        <v>919818.56900000002</v>
      </c>
      <c r="R120" s="62">
        <v>2269872.0499999998</v>
      </c>
      <c r="S120" s="62">
        <v>73312.246499999994</v>
      </c>
      <c r="T120" s="66">
        <v>2343184.29</v>
      </c>
      <c r="U120" s="62">
        <v>1562128.64</v>
      </c>
      <c r="V120" s="62">
        <v>50453.546900000001</v>
      </c>
      <c r="W120" s="66">
        <v>1612582.19</v>
      </c>
      <c r="X120" s="62">
        <v>2818234.45</v>
      </c>
      <c r="Y120" s="62">
        <v>91023.187900000004</v>
      </c>
      <c r="Z120" s="66">
        <v>2909257.77</v>
      </c>
      <c r="AA120" s="62">
        <v>9035535.5700000003</v>
      </c>
      <c r="AB120" s="22">
        <v>734729.84042836376</v>
      </c>
      <c r="AC120">
        <v>23730.209858477505</v>
      </c>
      <c r="AD120" s="23">
        <v>758460.05028684123</v>
      </c>
      <c r="AE120">
        <v>505641.91596747673</v>
      </c>
      <c r="AF120">
        <v>16331.133517189015</v>
      </c>
      <c r="AG120" s="23">
        <v>521973.18394487415</v>
      </c>
      <c r="AH120">
        <v>912228.07217598532</v>
      </c>
      <c r="AI120">
        <v>29463.055298747484</v>
      </c>
      <c r="AJ120" s="23">
        <v>941691.12747473293</v>
      </c>
      <c r="AK120">
        <v>2323847.8119977121</v>
      </c>
      <c r="AL120">
        <v>75055.553802262439</v>
      </c>
      <c r="AM120" s="23">
        <v>2398903.3657999747</v>
      </c>
      <c r="AN120">
        <v>1599274.8267824808</v>
      </c>
      <c r="AO120">
        <v>51653.292391782365</v>
      </c>
      <c r="AP120" s="23">
        <v>1650928.119174263</v>
      </c>
      <c r="AQ120">
        <v>2885249.8384984983</v>
      </c>
      <c r="AR120">
        <v>93187.647349167557</v>
      </c>
      <c r="AS120" s="23">
        <v>2978437.6203078744</v>
      </c>
      <c r="AT120">
        <v>9250393.4669885598</v>
      </c>
    </row>
    <row r="121" spans="1:46">
      <c r="A121" s="48" t="s">
        <v>194</v>
      </c>
      <c r="B121" s="48" t="s">
        <v>167</v>
      </c>
      <c r="C121" s="49">
        <v>71</v>
      </c>
      <c r="D121" s="50">
        <v>0.60799999999999998</v>
      </c>
      <c r="E121" s="49">
        <v>294.92129519622398</v>
      </c>
      <c r="F121" s="49">
        <v>0.77112159624805898</v>
      </c>
      <c r="G121" s="49">
        <v>323.48736610575003</v>
      </c>
      <c r="H121" s="49">
        <v>0.80032674031627604</v>
      </c>
      <c r="I121" s="61">
        <v>8550911.5299999993</v>
      </c>
      <c r="J121" s="62">
        <v>-999</v>
      </c>
      <c r="K121" s="66">
        <v>8550911.5299999993</v>
      </c>
      <c r="L121" s="62">
        <v>6249119.21</v>
      </c>
      <c r="M121" s="62">
        <v>-999</v>
      </c>
      <c r="N121" s="66">
        <v>6249119.21</v>
      </c>
      <c r="O121" s="62">
        <v>6812286.5700000003</v>
      </c>
      <c r="P121" s="62">
        <v>-999</v>
      </c>
      <c r="Q121" s="66">
        <v>6812286.5700000003</v>
      </c>
      <c r="R121" s="62">
        <v>6393137.1799999997</v>
      </c>
      <c r="S121" s="62">
        <v>-999</v>
      </c>
      <c r="T121" s="66">
        <v>6393137.1799999997</v>
      </c>
      <c r="U121" s="62">
        <v>4672189.1900000004</v>
      </c>
      <c r="V121" s="62">
        <v>-999</v>
      </c>
      <c r="W121" s="66">
        <v>4672189.1900000004</v>
      </c>
      <c r="X121" s="62">
        <v>5093244.45</v>
      </c>
      <c r="Y121" s="62">
        <v>-999</v>
      </c>
      <c r="Z121" s="66">
        <v>5093244.45</v>
      </c>
      <c r="AA121" s="62">
        <v>37770888.200000003</v>
      </c>
      <c r="AB121" s="22">
        <v>8874765.2544809487</v>
      </c>
      <c r="AC121">
        <v>-999</v>
      </c>
      <c r="AD121" s="23">
        <v>8874765.2544809487</v>
      </c>
      <c r="AE121">
        <v>6485795.796050081</v>
      </c>
      <c r="AF121">
        <v>-999</v>
      </c>
      <c r="AG121" s="23">
        <v>6485795.796050081</v>
      </c>
      <c r="AH121">
        <v>7070292.3277254999</v>
      </c>
      <c r="AI121">
        <v>-999</v>
      </c>
      <c r="AJ121" s="23">
        <v>7070292.3277254999</v>
      </c>
      <c r="AK121">
        <v>6635268.2439655587</v>
      </c>
      <c r="AL121">
        <v>-999</v>
      </c>
      <c r="AM121" s="23">
        <v>6635268.2439655587</v>
      </c>
      <c r="AN121">
        <v>4849141.7705335654</v>
      </c>
      <c r="AO121">
        <v>-999</v>
      </c>
      <c r="AP121" s="23">
        <v>4849141.7705335654</v>
      </c>
      <c r="AQ121">
        <v>5286143.9074828625</v>
      </c>
      <c r="AR121">
        <v>-999</v>
      </c>
      <c r="AS121" s="23">
        <v>5286143.9074828625</v>
      </c>
      <c r="AT121">
        <v>39201407.353530176</v>
      </c>
    </row>
    <row r="122" spans="1:46">
      <c r="A122" s="48" t="s">
        <v>194</v>
      </c>
      <c r="B122" s="48" t="s">
        <v>187</v>
      </c>
      <c r="C122" s="49">
        <v>65</v>
      </c>
      <c r="D122" s="50">
        <v>0.60599999999999998</v>
      </c>
      <c r="E122" s="49">
        <v>68.093262964148707</v>
      </c>
      <c r="F122" s="49">
        <v>0.79078087276458497</v>
      </c>
      <c r="G122" s="49">
        <v>278.50111959017801</v>
      </c>
      <c r="H122" s="49">
        <v>0.80287740887799797</v>
      </c>
      <c r="I122" s="61">
        <v>809503.06700000004</v>
      </c>
      <c r="J122" s="62">
        <v>962915.34400000004</v>
      </c>
      <c r="K122" s="66">
        <v>1772418.54</v>
      </c>
      <c r="L122" s="62">
        <v>294286.49699999997</v>
      </c>
      <c r="M122" s="62">
        <v>350057.91700000002</v>
      </c>
      <c r="N122" s="66">
        <v>644344.41399999999</v>
      </c>
      <c r="O122" s="62">
        <v>587612.81200000003</v>
      </c>
      <c r="P122" s="62">
        <v>698973.72499999998</v>
      </c>
      <c r="Q122" s="66">
        <v>1286586.54</v>
      </c>
      <c r="R122" s="62">
        <v>689332.67</v>
      </c>
      <c r="S122" s="62">
        <v>819971.08499999996</v>
      </c>
      <c r="T122" s="66">
        <v>1509303.75</v>
      </c>
      <c r="U122" s="62">
        <v>250599.76800000001</v>
      </c>
      <c r="V122" s="62">
        <v>298092.08</v>
      </c>
      <c r="W122" s="66">
        <v>548691.848</v>
      </c>
      <c r="X122" s="62">
        <v>500381.91899999999</v>
      </c>
      <c r="Y122" s="62">
        <v>595211.47199999995</v>
      </c>
      <c r="Z122" s="66">
        <v>1095593.3899999999</v>
      </c>
      <c r="AA122" s="62">
        <v>6856938.5700000003</v>
      </c>
      <c r="AB122" s="22">
        <v>821885.99527335539</v>
      </c>
      <c r="AC122">
        <v>977645.01303951023</v>
      </c>
      <c r="AD122" s="23">
        <v>1799531.1419666216</v>
      </c>
      <c r="AE122">
        <v>298788.18356221082</v>
      </c>
      <c r="AF122">
        <v>355412.73566220445</v>
      </c>
      <c r="AG122" s="23">
        <v>654200.91922441521</v>
      </c>
      <c r="AH122">
        <v>596601.49662969855</v>
      </c>
      <c r="AI122">
        <v>709665.89133918576</v>
      </c>
      <c r="AJ122" s="23">
        <v>1306267.3879688843</v>
      </c>
      <c r="AK122">
        <v>699877.35757272982</v>
      </c>
      <c r="AL122">
        <v>832514.14193367609</v>
      </c>
      <c r="AM122" s="23">
        <v>1532391.499506406</v>
      </c>
      <c r="AN122">
        <v>254433.17989737962</v>
      </c>
      <c r="AO122">
        <v>302651.97998830758</v>
      </c>
      <c r="AP122" s="23">
        <v>557085.15988568717</v>
      </c>
      <c r="AQ122">
        <v>508036.23631755542</v>
      </c>
      <c r="AR122">
        <v>604316.39237509214</v>
      </c>
      <c r="AS122" s="23">
        <v>1112352.6286926477</v>
      </c>
      <c r="AT122">
        <v>6961828.8174369158</v>
      </c>
    </row>
    <row r="123" spans="1:46">
      <c r="A123" s="48" t="s">
        <v>153</v>
      </c>
      <c r="B123" s="48" t="s">
        <v>255</v>
      </c>
      <c r="C123" s="49">
        <v>153</v>
      </c>
      <c r="D123" s="50">
        <v>0.59899999999999998</v>
      </c>
      <c r="E123" s="49">
        <v>240.75830675928501</v>
      </c>
      <c r="F123" s="49">
        <v>0.76727864185389905</v>
      </c>
      <c r="G123" s="49">
        <v>190.428637878833</v>
      </c>
      <c r="H123" s="49">
        <v>0.80717528186820697</v>
      </c>
      <c r="I123" s="61">
        <v>8295792.6500000004</v>
      </c>
      <c r="J123" s="62">
        <v>2969416.65</v>
      </c>
      <c r="K123" s="66">
        <v>11265209.199999999</v>
      </c>
      <c r="L123" s="62">
        <v>2123499.96</v>
      </c>
      <c r="M123" s="62">
        <v>760090.84499999997</v>
      </c>
      <c r="N123" s="66">
        <v>2883590.8</v>
      </c>
      <c r="O123" s="62">
        <v>6394104.5899999999</v>
      </c>
      <c r="P123" s="62">
        <v>2288721.7200000002</v>
      </c>
      <c r="Q123" s="66">
        <v>8682826.3100000005</v>
      </c>
      <c r="R123" s="62">
        <v>6269728.3499999996</v>
      </c>
      <c r="S123" s="62">
        <v>2244202.11</v>
      </c>
      <c r="T123" s="66">
        <v>8513930.4600000009</v>
      </c>
      <c r="U123" s="62">
        <v>1604882</v>
      </c>
      <c r="V123" s="62">
        <v>574455.38800000004</v>
      </c>
      <c r="W123" s="66">
        <v>2179337.39</v>
      </c>
      <c r="X123" s="62">
        <v>4832485.6100000003</v>
      </c>
      <c r="Y123" s="62">
        <v>1729751.91</v>
      </c>
      <c r="Z123" s="66">
        <v>6562237.5199999996</v>
      </c>
      <c r="AA123" s="62">
        <v>40087131.700000003</v>
      </c>
      <c r="AB123" s="22">
        <v>8727153.8711710274</v>
      </c>
      <c r="AC123">
        <v>3123819.1623034431</v>
      </c>
      <c r="AD123" s="23">
        <v>11850972.899105256</v>
      </c>
      <c r="AE123">
        <v>2233916.8371912297</v>
      </c>
      <c r="AF123">
        <v>799613.73661415186</v>
      </c>
      <c r="AG123" s="23">
        <v>3033530.5738053811</v>
      </c>
      <c r="AH123">
        <v>6726582.614542664</v>
      </c>
      <c r="AI123">
        <v>2407729.7334830365</v>
      </c>
      <c r="AJ123" s="23">
        <v>9134312.3480257001</v>
      </c>
      <c r="AK123">
        <v>6595739.1123691769</v>
      </c>
      <c r="AL123">
        <v>2360895.2088655271</v>
      </c>
      <c r="AM123" s="23">
        <v>8956634.3212347031</v>
      </c>
      <c r="AN123">
        <v>1688332.0001946823</v>
      </c>
      <c r="AO123">
        <v>604325.68347752246</v>
      </c>
      <c r="AP123" s="23">
        <v>2292657.6836722051</v>
      </c>
      <c r="AQ123">
        <v>5083763.2146181576</v>
      </c>
      <c r="AR123">
        <v>1819694.8393881361</v>
      </c>
      <c r="AS123" s="23">
        <v>6903458.0540062925</v>
      </c>
      <c r="AT123">
        <v>42171565.879849538</v>
      </c>
    </row>
    <row r="124" spans="1:46">
      <c r="A124" s="48" t="s">
        <v>178</v>
      </c>
      <c r="B124" s="48" t="s">
        <v>256</v>
      </c>
      <c r="C124" s="49">
        <v>97</v>
      </c>
      <c r="D124" s="50">
        <v>0.59799999999999998</v>
      </c>
      <c r="E124" s="49">
        <v>101.135666360372</v>
      </c>
      <c r="F124" s="49">
        <v>0.78417125981331504</v>
      </c>
      <c r="G124" s="49">
        <v>219.85773328635099</v>
      </c>
      <c r="H124" s="49">
        <v>0.80671085120215602</v>
      </c>
      <c r="I124" s="61">
        <v>324047.88400000002</v>
      </c>
      <c r="J124" s="62">
        <v>-999</v>
      </c>
      <c r="K124" s="66">
        <v>324047.88400000002</v>
      </c>
      <c r="L124" s="62">
        <v>71570.257700000002</v>
      </c>
      <c r="M124" s="62">
        <v>-999</v>
      </c>
      <c r="N124" s="66">
        <v>71570.257700000002</v>
      </c>
      <c r="O124" s="62">
        <v>597091.92000000004</v>
      </c>
      <c r="P124" s="62">
        <v>-999</v>
      </c>
      <c r="Q124" s="66">
        <v>597091.92000000004</v>
      </c>
      <c r="R124" s="62">
        <v>103901.826</v>
      </c>
      <c r="S124" s="62">
        <v>-999</v>
      </c>
      <c r="T124" s="66">
        <v>103901.826</v>
      </c>
      <c r="U124" s="62">
        <v>22948.108700000001</v>
      </c>
      <c r="V124" s="62">
        <v>-999</v>
      </c>
      <c r="W124" s="66">
        <v>22948.108700000001</v>
      </c>
      <c r="X124" s="62">
        <v>191449.891</v>
      </c>
      <c r="Y124" s="62">
        <v>-999</v>
      </c>
      <c r="Z124" s="66">
        <v>191449.891</v>
      </c>
      <c r="AA124" s="62">
        <v>1311009.97</v>
      </c>
      <c r="AB124" s="22">
        <v>333362.05691110756</v>
      </c>
      <c r="AC124">
        <v>-999</v>
      </c>
      <c r="AD124" s="23">
        <v>333362.05691110756</v>
      </c>
      <c r="AE124">
        <v>73627.41589598947</v>
      </c>
      <c r="AF124">
        <v>-999</v>
      </c>
      <c r="AG124" s="23">
        <v>73627.41589598947</v>
      </c>
      <c r="AH124">
        <v>614254.25294898346</v>
      </c>
      <c r="AI124">
        <v>-999</v>
      </c>
      <c r="AJ124" s="23">
        <v>614254.25294898346</v>
      </c>
      <c r="AK124">
        <v>106888.29725871817</v>
      </c>
      <c r="AL124">
        <v>-999</v>
      </c>
      <c r="AM124" s="23">
        <v>106888.29725871817</v>
      </c>
      <c r="AN124">
        <v>23607.710792646558</v>
      </c>
      <c r="AO124">
        <v>-999</v>
      </c>
      <c r="AP124" s="23">
        <v>23607.710792646558</v>
      </c>
      <c r="AQ124">
        <v>196952.77349577931</v>
      </c>
      <c r="AR124">
        <v>-999</v>
      </c>
      <c r="AS124" s="23">
        <v>196952.77349577931</v>
      </c>
      <c r="AT124">
        <v>1348692.5878783665</v>
      </c>
    </row>
    <row r="125" spans="1:46">
      <c r="A125" s="48" t="s">
        <v>153</v>
      </c>
      <c r="B125" s="48" t="s">
        <v>257</v>
      </c>
      <c r="C125" s="49">
        <v>122</v>
      </c>
      <c r="D125" s="50">
        <v>0.59099999999999997</v>
      </c>
      <c r="E125" s="49">
        <v>176.46165350652799</v>
      </c>
      <c r="F125" s="49">
        <v>0.77346379692977996</v>
      </c>
      <c r="G125" s="49">
        <v>129.343589883188</v>
      </c>
      <c r="H125" s="49">
        <v>0.81427599486011604</v>
      </c>
      <c r="I125" s="61">
        <v>1626055.3</v>
      </c>
      <c r="J125" s="62">
        <v>3217147.72</v>
      </c>
      <c r="K125" s="66">
        <v>4843202.8899999997</v>
      </c>
      <c r="L125" s="62">
        <v>1220881.1299999999</v>
      </c>
      <c r="M125" s="62">
        <v>2415511.35</v>
      </c>
      <c r="N125" s="66">
        <v>3636392.62</v>
      </c>
      <c r="O125" s="62">
        <v>1459848.28</v>
      </c>
      <c r="P125" s="62">
        <v>2888307.45</v>
      </c>
      <c r="Q125" s="66">
        <v>4348155.7300000004</v>
      </c>
      <c r="R125" s="62">
        <v>2617992.41</v>
      </c>
      <c r="S125" s="62">
        <v>5179693.66</v>
      </c>
      <c r="T125" s="66">
        <v>7797686.0700000003</v>
      </c>
      <c r="U125" s="62">
        <v>1965651.31</v>
      </c>
      <c r="V125" s="62">
        <v>3889037.91</v>
      </c>
      <c r="W125" s="66">
        <v>5854689.2199999997</v>
      </c>
      <c r="X125" s="62">
        <v>2350394.79</v>
      </c>
      <c r="Y125" s="62">
        <v>4650252.07</v>
      </c>
      <c r="Z125" s="66">
        <v>7000646.7300000004</v>
      </c>
      <c r="AA125" s="62">
        <v>33480773.300000001</v>
      </c>
      <c r="AB125" s="22">
        <v>1711854.9120871988</v>
      </c>
      <c r="AC125">
        <v>3386902.0992924199</v>
      </c>
      <c r="AD125" s="23">
        <v>5098756.8758283583</v>
      </c>
      <c r="AE125">
        <v>1285301.5271573616</v>
      </c>
      <c r="AF125">
        <v>2542966.9988342877</v>
      </c>
      <c r="AG125" s="23">
        <v>3828268.6615429106</v>
      </c>
      <c r="AH125">
        <v>1536877.8894551625</v>
      </c>
      <c r="AI125">
        <v>3040710.4148203605</v>
      </c>
      <c r="AJ125" s="23">
        <v>4577588.3042755229</v>
      </c>
      <c r="AK125">
        <v>2756132.0648360197</v>
      </c>
      <c r="AL125">
        <v>5453002.7451087413</v>
      </c>
      <c r="AM125" s="23">
        <v>8209134.8099447619</v>
      </c>
      <c r="AN125">
        <v>2069369.871121906</v>
      </c>
      <c r="AO125">
        <v>4094244.9053674866</v>
      </c>
      <c r="AP125" s="23">
        <v>6163614.7764893938</v>
      </c>
      <c r="AQ125">
        <v>2474414.5242087706</v>
      </c>
      <c r="AR125">
        <v>4895624.9074899238</v>
      </c>
      <c r="AS125" s="23">
        <v>7370039.2961474331</v>
      </c>
      <c r="AT125">
        <v>35247402.764893755</v>
      </c>
    </row>
    <row r="126" spans="1:46">
      <c r="A126" s="48" t="s">
        <v>258</v>
      </c>
      <c r="B126" s="48" t="s">
        <v>259</v>
      </c>
      <c r="C126" s="49">
        <v>2</v>
      </c>
      <c r="D126" s="50">
        <v>0.58799999999999997</v>
      </c>
      <c r="E126" s="49">
        <v>56.587823238223102</v>
      </c>
      <c r="F126" s="49">
        <v>0.79317947980557402</v>
      </c>
      <c r="G126" s="49">
        <v>209.65733437822399</v>
      </c>
      <c r="H126" s="49">
        <v>0.80855004659639895</v>
      </c>
      <c r="I126" s="61">
        <v>550305.04799999995</v>
      </c>
      <c r="J126" s="62">
        <v>-999</v>
      </c>
      <c r="K126" s="66">
        <v>550305.04799999995</v>
      </c>
      <c r="L126" s="62">
        <v>273959.614</v>
      </c>
      <c r="M126" s="62">
        <v>-999</v>
      </c>
      <c r="N126" s="66">
        <v>273959.614</v>
      </c>
      <c r="O126" s="62">
        <v>882984.01699999999</v>
      </c>
      <c r="P126" s="62">
        <v>-999</v>
      </c>
      <c r="Q126" s="66">
        <v>882984.01699999999</v>
      </c>
      <c r="R126" s="62">
        <v>1026806.7</v>
      </c>
      <c r="S126" s="62">
        <v>-999</v>
      </c>
      <c r="T126" s="66">
        <v>1026806.7</v>
      </c>
      <c r="U126" s="62">
        <v>511177.56099999999</v>
      </c>
      <c r="V126" s="62">
        <v>-999</v>
      </c>
      <c r="W126" s="66">
        <v>511177.56099999999</v>
      </c>
      <c r="X126" s="62">
        <v>1647547.61</v>
      </c>
      <c r="Y126" s="62">
        <v>-999</v>
      </c>
      <c r="Z126" s="66">
        <v>1647547.61</v>
      </c>
      <c r="AA126" s="62">
        <v>4892780.58</v>
      </c>
      <c r="AB126" s="22">
        <v>560969.09136814671</v>
      </c>
      <c r="AC126">
        <v>-999</v>
      </c>
      <c r="AD126" s="23">
        <v>560969.09136814671</v>
      </c>
      <c r="AE126">
        <v>279268.51941177779</v>
      </c>
      <c r="AF126">
        <v>-999</v>
      </c>
      <c r="AG126" s="23">
        <v>279268.51941177779</v>
      </c>
      <c r="AH126">
        <v>900094.85352482565</v>
      </c>
      <c r="AI126">
        <v>-999</v>
      </c>
      <c r="AJ126" s="23">
        <v>900094.85352482565</v>
      </c>
      <c r="AK126">
        <v>1046704.5909603706</v>
      </c>
      <c r="AL126">
        <v>-999</v>
      </c>
      <c r="AM126" s="23">
        <v>1046704.5909603706</v>
      </c>
      <c r="AN126">
        <v>521083.37579762557</v>
      </c>
      <c r="AO126">
        <v>-999</v>
      </c>
      <c r="AP126" s="23">
        <v>521083.37579762557</v>
      </c>
      <c r="AQ126">
        <v>1679474.4849020911</v>
      </c>
      <c r="AR126">
        <v>-999</v>
      </c>
      <c r="AS126" s="23">
        <v>1679474.4849020911</v>
      </c>
      <c r="AT126">
        <v>4987594.9428844526</v>
      </c>
    </row>
    <row r="127" spans="1:46">
      <c r="A127" s="49" t="s">
        <v>161</v>
      </c>
      <c r="B127" s="49" t="s">
        <v>260</v>
      </c>
      <c r="C127" s="49">
        <v>7</v>
      </c>
      <c r="D127" s="50">
        <v>0.57999999999999996</v>
      </c>
      <c r="E127" s="49">
        <v>33.597351948940101</v>
      </c>
      <c r="F127" s="49">
        <v>0.79708574933609</v>
      </c>
      <c r="G127" s="49">
        <v>58.043021201611403</v>
      </c>
      <c r="H127" s="49">
        <v>0.81930880719235599</v>
      </c>
      <c r="I127" s="61">
        <v>277153.07</v>
      </c>
      <c r="J127" s="62">
        <v>140174.38399999999</v>
      </c>
      <c r="K127" s="66">
        <v>417327.45400000003</v>
      </c>
      <c r="L127" s="62">
        <v>232037.27</v>
      </c>
      <c r="M127" s="62">
        <v>117356.412</v>
      </c>
      <c r="N127" s="66">
        <v>349393.68199999997</v>
      </c>
      <c r="O127" s="62">
        <v>555222.23</v>
      </c>
      <c r="P127" s="62">
        <v>280812.25199999998</v>
      </c>
      <c r="Q127" s="66">
        <v>836034.48199999996</v>
      </c>
      <c r="R127" s="62">
        <v>325238.33199999999</v>
      </c>
      <c r="S127" s="62">
        <v>164494.269</v>
      </c>
      <c r="T127" s="66">
        <v>489732.60100000002</v>
      </c>
      <c r="U127" s="62">
        <v>272295.038</v>
      </c>
      <c r="V127" s="62">
        <v>137717.503</v>
      </c>
      <c r="W127" s="66">
        <v>410012.54</v>
      </c>
      <c r="X127" s="62">
        <v>651551.848</v>
      </c>
      <c r="Y127" s="62">
        <v>329532.43300000002</v>
      </c>
      <c r="Z127" s="66">
        <v>981084.14800000004</v>
      </c>
      <c r="AA127" s="62">
        <v>3483584.99</v>
      </c>
      <c r="AB127" s="22">
        <v>284880.20484223327</v>
      </c>
      <c r="AC127">
        <v>144082.49954372988</v>
      </c>
      <c r="AD127" s="23">
        <v>428962.70438596321</v>
      </c>
      <c r="AE127">
        <v>238506.55879840974</v>
      </c>
      <c r="AF127">
        <v>120628.35395411158</v>
      </c>
      <c r="AG127" s="23">
        <v>359134.91275252128</v>
      </c>
      <c r="AH127">
        <v>570702.03979030636</v>
      </c>
      <c r="AI127">
        <v>288641.40609205107</v>
      </c>
      <c r="AJ127" s="23">
        <v>859343.44588235731</v>
      </c>
      <c r="AK127">
        <v>334306.10177519178</v>
      </c>
      <c r="AL127">
        <v>169080.43296185337</v>
      </c>
      <c r="AM127" s="23">
        <v>503386.53473704512</v>
      </c>
      <c r="AN127">
        <v>279886.72838872764</v>
      </c>
      <c r="AO127">
        <v>141557.11961329423</v>
      </c>
      <c r="AP127" s="23">
        <v>421443.8480020219</v>
      </c>
      <c r="AQ127">
        <v>669717.36414534575</v>
      </c>
      <c r="AR127">
        <v>338719.92470178276</v>
      </c>
      <c r="AS127" s="23">
        <v>1008437.1524580632</v>
      </c>
      <c r="AT127">
        <v>3580708.6800514115</v>
      </c>
    </row>
    <row r="128" spans="1:46">
      <c r="A128" s="48" t="s">
        <v>153</v>
      </c>
      <c r="B128" s="48" t="s">
        <v>261</v>
      </c>
      <c r="C128" s="49">
        <v>100</v>
      </c>
      <c r="D128" s="50">
        <v>0.57599999999999996</v>
      </c>
      <c r="E128" s="49">
        <v>186.30015996751601</v>
      </c>
      <c r="F128" s="49">
        <v>0.77462245525725903</v>
      </c>
      <c r="G128" s="49">
        <v>67.210909654020597</v>
      </c>
      <c r="H128" s="49">
        <v>0.81866177056521805</v>
      </c>
      <c r="I128" s="61">
        <v>4355977.3899999997</v>
      </c>
      <c r="J128" s="62">
        <v>301220.44</v>
      </c>
      <c r="K128" s="66">
        <v>4657197.96</v>
      </c>
      <c r="L128" s="62">
        <v>3137928.52</v>
      </c>
      <c r="M128" s="62">
        <v>216991.07399999999</v>
      </c>
      <c r="N128" s="66">
        <v>3354919.6</v>
      </c>
      <c r="O128" s="62">
        <v>5002218.4000000004</v>
      </c>
      <c r="P128" s="62">
        <v>345908.647</v>
      </c>
      <c r="Q128" s="66">
        <v>5348127.17</v>
      </c>
      <c r="R128" s="62">
        <v>5882335.2199999997</v>
      </c>
      <c r="S128" s="62">
        <v>406769.65899999999</v>
      </c>
      <c r="T128" s="66">
        <v>6289105</v>
      </c>
      <c r="U128" s="62">
        <v>4237475.51</v>
      </c>
      <c r="V128" s="62">
        <v>293025.913</v>
      </c>
      <c r="W128" s="66">
        <v>4530501.42</v>
      </c>
      <c r="X128" s="62">
        <v>6755022.5700000003</v>
      </c>
      <c r="Y128" s="62">
        <v>467116.93300000002</v>
      </c>
      <c r="Z128" s="66">
        <v>7222139.5</v>
      </c>
      <c r="AA128" s="62">
        <v>31401990.600000001</v>
      </c>
      <c r="AB128" s="22">
        <v>4603626.1118849963</v>
      </c>
      <c r="AC128">
        <v>318345.61112649081</v>
      </c>
      <c r="AD128" s="23">
        <v>4921971.8592928424</v>
      </c>
      <c r="AE128">
        <v>3316327.97832479</v>
      </c>
      <c r="AF128">
        <v>229327.58468041767</v>
      </c>
      <c r="AG128" s="23">
        <v>3545655.5630052071</v>
      </c>
      <c r="AH128">
        <v>5286607.6127981264</v>
      </c>
      <c r="AI128">
        <v>365574.45947145543</v>
      </c>
      <c r="AJ128" s="23">
        <v>5652182.2085509365</v>
      </c>
      <c r="AK128">
        <v>6216761.3788809776</v>
      </c>
      <c r="AL128">
        <v>429895.57895043399</v>
      </c>
      <c r="AM128" s="23">
        <v>6646657.0941127641</v>
      </c>
      <c r="AN128">
        <v>4478387.0908984682</v>
      </c>
      <c r="AO128">
        <v>309685.20364417695</v>
      </c>
      <c r="AP128" s="23">
        <v>4788072.2945426451</v>
      </c>
      <c r="AQ128">
        <v>7139063.2947546383</v>
      </c>
      <c r="AR128">
        <v>493673.75351518189</v>
      </c>
      <c r="AS128" s="23">
        <v>7632737.0482698204</v>
      </c>
      <c r="AT128">
        <v>33187275.958749138</v>
      </c>
    </row>
    <row r="129" spans="1:46">
      <c r="A129" s="48" t="s">
        <v>160</v>
      </c>
      <c r="B129" s="48" t="s">
        <v>262</v>
      </c>
      <c r="C129" s="49">
        <v>164</v>
      </c>
      <c r="D129" s="50">
        <v>0.56799999999999995</v>
      </c>
      <c r="E129" s="49">
        <v>184.25576246073999</v>
      </c>
      <c r="F129" s="49">
        <v>0.78266569345017001</v>
      </c>
      <c r="G129" s="49">
        <v>117.93878013817201</v>
      </c>
      <c r="H129" s="49">
        <v>0.81508157583248597</v>
      </c>
      <c r="I129" s="61">
        <v>2043983.76</v>
      </c>
      <c r="J129" s="62">
        <v>1073206.52</v>
      </c>
      <c r="K129" s="66">
        <v>3117190.41</v>
      </c>
      <c r="L129" s="62">
        <v>930505.64599999995</v>
      </c>
      <c r="M129" s="62">
        <v>488567.86900000001</v>
      </c>
      <c r="N129" s="66">
        <v>1419073.51</v>
      </c>
      <c r="O129" s="62">
        <v>2327587.79</v>
      </c>
      <c r="P129" s="62">
        <v>1222114.6399999999</v>
      </c>
      <c r="Q129" s="66">
        <v>3549702.29</v>
      </c>
      <c r="R129" s="62">
        <v>1648456.15</v>
      </c>
      <c r="S129" s="62">
        <v>865532.27399999998</v>
      </c>
      <c r="T129" s="66">
        <v>2513988.42</v>
      </c>
      <c r="U129" s="62">
        <v>750445.13800000004</v>
      </c>
      <c r="V129" s="62">
        <v>394025.89799999999</v>
      </c>
      <c r="W129" s="66">
        <v>1144471.04</v>
      </c>
      <c r="X129" s="62">
        <v>1877180.3</v>
      </c>
      <c r="Y129" s="62">
        <v>985625.37899999996</v>
      </c>
      <c r="Z129" s="66">
        <v>2862805.68</v>
      </c>
      <c r="AA129" s="62">
        <v>14607231.300000001</v>
      </c>
      <c r="AB129" s="22">
        <v>2128640.0039429232</v>
      </c>
      <c r="AC129">
        <v>1117655.8156390353</v>
      </c>
      <c r="AD129" s="23">
        <v>3246295.9552673227</v>
      </c>
      <c r="AE129">
        <v>969044.65624458517</v>
      </c>
      <c r="AF129">
        <v>508803.02057414915</v>
      </c>
      <c r="AG129" s="23">
        <v>1477847.6768187343</v>
      </c>
      <c r="AH129">
        <v>2423990.1360722496</v>
      </c>
      <c r="AI129">
        <v>1272731.2971696942</v>
      </c>
      <c r="AJ129" s="23">
        <v>3696721.29755658</v>
      </c>
      <c r="AK129">
        <v>1716730.7162808995</v>
      </c>
      <c r="AL129">
        <v>901380.26455621386</v>
      </c>
      <c r="AM129" s="23">
        <v>2618110.9808371132</v>
      </c>
      <c r="AN129">
        <v>781526.53268773551</v>
      </c>
      <c r="AO129">
        <v>410345.37815062742</v>
      </c>
      <c r="AP129" s="23">
        <v>1191871.910838363</v>
      </c>
      <c r="AQ129">
        <v>1954928.0019108076</v>
      </c>
      <c r="AR129">
        <v>1026447.2995000754</v>
      </c>
      <c r="AS129" s="23">
        <v>2981375.3014108827</v>
      </c>
      <c r="AT129">
        <v>15212223.068454849</v>
      </c>
    </row>
    <row r="130" spans="1:46">
      <c r="A130" s="48" t="s">
        <v>161</v>
      </c>
      <c r="B130" s="48" t="s">
        <v>263</v>
      </c>
      <c r="C130" s="49">
        <v>58</v>
      </c>
      <c r="D130" s="50">
        <v>0.56699999999999995</v>
      </c>
      <c r="E130" s="49">
        <v>112.692322362689</v>
      </c>
      <c r="F130" s="49">
        <v>0.79154421243541895</v>
      </c>
      <c r="G130" s="49">
        <v>80.999255008748804</v>
      </c>
      <c r="H130" s="49">
        <v>0.81705090911071798</v>
      </c>
      <c r="I130" s="61">
        <v>140096.005</v>
      </c>
      <c r="J130" s="62">
        <v>-999</v>
      </c>
      <c r="K130" s="66">
        <v>140096.005</v>
      </c>
      <c r="L130" s="62">
        <v>167534.535</v>
      </c>
      <c r="M130" s="62">
        <v>-999</v>
      </c>
      <c r="N130" s="66">
        <v>167534.535</v>
      </c>
      <c r="O130" s="62">
        <v>158454.198</v>
      </c>
      <c r="P130" s="62">
        <v>-999</v>
      </c>
      <c r="Q130" s="66">
        <v>158454.198</v>
      </c>
      <c r="R130" s="62">
        <v>27593.619500000001</v>
      </c>
      <c r="S130" s="62">
        <v>-999</v>
      </c>
      <c r="T130" s="66">
        <v>27593.619500000001</v>
      </c>
      <c r="U130" s="62">
        <v>32998.048600000002</v>
      </c>
      <c r="V130" s="62">
        <v>-999</v>
      </c>
      <c r="W130" s="66">
        <v>32998.048600000002</v>
      </c>
      <c r="X130" s="62">
        <v>31209.5733</v>
      </c>
      <c r="Y130" s="62">
        <v>-999</v>
      </c>
      <c r="Z130" s="66">
        <v>31209.5733</v>
      </c>
      <c r="AA130" s="62">
        <v>557885.99199999997</v>
      </c>
      <c r="AB130" s="22">
        <v>144610.45449735763</v>
      </c>
      <c r="AC130">
        <v>-999</v>
      </c>
      <c r="AD130" s="23">
        <v>144610.45449735763</v>
      </c>
      <c r="AE130">
        <v>172933.16244307411</v>
      </c>
      <c r="AF130">
        <v>-999</v>
      </c>
      <c r="AG130" s="23">
        <v>172933.16244307411</v>
      </c>
      <c r="AH130">
        <v>163560.2210549539</v>
      </c>
      <c r="AI130">
        <v>-999</v>
      </c>
      <c r="AJ130" s="23">
        <v>163560.2210549539</v>
      </c>
      <c r="AK130">
        <v>28482.795477841759</v>
      </c>
      <c r="AL130">
        <v>-999</v>
      </c>
      <c r="AM130" s="23">
        <v>28482.795477841759</v>
      </c>
      <c r="AN130">
        <v>34061.3767268804</v>
      </c>
      <c r="AO130">
        <v>-999</v>
      </c>
      <c r="AP130" s="23">
        <v>34061.3767268804</v>
      </c>
      <c r="AQ130">
        <v>32215.269612575838</v>
      </c>
      <c r="AR130">
        <v>-999</v>
      </c>
      <c r="AS130" s="23">
        <v>32215.269612575838</v>
      </c>
      <c r="AT130">
        <v>575863.29341400322</v>
      </c>
    </row>
    <row r="131" spans="1:46">
      <c r="A131" s="48" t="s">
        <v>178</v>
      </c>
      <c r="B131" s="48" t="s">
        <v>217</v>
      </c>
      <c r="C131" s="49">
        <v>168</v>
      </c>
      <c r="D131" s="50">
        <v>0.56200000000000006</v>
      </c>
      <c r="E131" s="49">
        <v>179.693861351967</v>
      </c>
      <c r="F131" s="49">
        <v>0.77230540130204195</v>
      </c>
      <c r="G131" s="49">
        <v>147.72963613805101</v>
      </c>
      <c r="H131" s="49">
        <v>0.81300105645250897</v>
      </c>
      <c r="I131" s="61">
        <v>572286.14599999995</v>
      </c>
      <c r="J131" s="62">
        <v>-999</v>
      </c>
      <c r="K131" s="66">
        <v>572286.14599999995</v>
      </c>
      <c r="L131" s="62">
        <v>344367.80499999999</v>
      </c>
      <c r="M131" s="62">
        <v>-999</v>
      </c>
      <c r="N131" s="66">
        <v>344367.80499999999</v>
      </c>
      <c r="O131" s="62">
        <v>478852.16600000003</v>
      </c>
      <c r="P131" s="62">
        <v>-999</v>
      </c>
      <c r="Q131" s="66">
        <v>478852.16600000003</v>
      </c>
      <c r="R131" s="62">
        <v>357386.245</v>
      </c>
      <c r="S131" s="62">
        <v>-999</v>
      </c>
      <c r="T131" s="66">
        <v>357386.245</v>
      </c>
      <c r="U131" s="62">
        <v>215053.92199999999</v>
      </c>
      <c r="V131" s="62">
        <v>-999</v>
      </c>
      <c r="W131" s="66">
        <v>215053.92199999999</v>
      </c>
      <c r="X131" s="62">
        <v>299037.76899999997</v>
      </c>
      <c r="Y131" s="62">
        <v>-999</v>
      </c>
      <c r="Z131" s="66">
        <v>299037.76899999997</v>
      </c>
      <c r="AA131" s="62">
        <v>2266984.16</v>
      </c>
      <c r="AB131" s="22">
        <v>602442.03976870631</v>
      </c>
      <c r="AC131">
        <v>-999</v>
      </c>
      <c r="AD131" s="23">
        <v>602442.03976870631</v>
      </c>
      <c r="AE131">
        <v>362513.83061672357</v>
      </c>
      <c r="AF131">
        <v>-999</v>
      </c>
      <c r="AG131" s="23">
        <v>362513.83061672357</v>
      </c>
      <c r="AH131">
        <v>504084.67498476355</v>
      </c>
      <c r="AI131">
        <v>-999</v>
      </c>
      <c r="AJ131" s="23">
        <v>504084.67498476355</v>
      </c>
      <c r="AK131">
        <v>376218.26015491574</v>
      </c>
      <c r="AL131">
        <v>-999</v>
      </c>
      <c r="AM131" s="23">
        <v>376218.26015491574</v>
      </c>
      <c r="AN131">
        <v>226385.91576416342</v>
      </c>
      <c r="AO131">
        <v>-999</v>
      </c>
      <c r="AP131" s="23">
        <v>226385.91576416342</v>
      </c>
      <c r="AQ131">
        <v>314795.18561224989</v>
      </c>
      <c r="AR131">
        <v>-999</v>
      </c>
      <c r="AS131" s="23">
        <v>314795.18561224989</v>
      </c>
      <c r="AT131">
        <v>2386440.0151727414</v>
      </c>
    </row>
    <row r="132" spans="1:46">
      <c r="A132" s="48" t="s">
        <v>161</v>
      </c>
      <c r="B132" s="48" t="s">
        <v>264</v>
      </c>
      <c r="C132" s="49">
        <v>41</v>
      </c>
      <c r="D132" s="50">
        <v>0.56100000000000005</v>
      </c>
      <c r="E132" s="49">
        <v>44.053796586441599</v>
      </c>
      <c r="F132" s="49">
        <v>0.79281211077882696</v>
      </c>
      <c r="G132" s="49">
        <v>216.96200217146401</v>
      </c>
      <c r="H132" s="49">
        <v>0.80583148203939603</v>
      </c>
      <c r="I132" s="61">
        <v>292785.98499999999</v>
      </c>
      <c r="J132" s="62">
        <v>444042.11</v>
      </c>
      <c r="K132" s="66">
        <v>736828.22699999996</v>
      </c>
      <c r="L132" s="62">
        <v>261185.38800000001</v>
      </c>
      <c r="M132" s="62">
        <v>396116.20600000001</v>
      </c>
      <c r="N132" s="66">
        <v>657301.59400000004</v>
      </c>
      <c r="O132" s="62">
        <v>601333.73</v>
      </c>
      <c r="P132" s="62">
        <v>911988.63899999997</v>
      </c>
      <c r="Q132" s="66">
        <v>1513322.37</v>
      </c>
      <c r="R132" s="62">
        <v>289270.217</v>
      </c>
      <c r="S132" s="62">
        <v>438709.92700000003</v>
      </c>
      <c r="T132" s="66">
        <v>727980.14399999997</v>
      </c>
      <c r="U132" s="62">
        <v>258049.05799999999</v>
      </c>
      <c r="V132" s="62">
        <v>391359.57900000003</v>
      </c>
      <c r="W132" s="66">
        <v>649408.63800000004</v>
      </c>
      <c r="X132" s="62">
        <v>594112.80700000003</v>
      </c>
      <c r="Y132" s="62">
        <v>901037.22</v>
      </c>
      <c r="Z132" s="66">
        <v>1495150.03</v>
      </c>
      <c r="AA132" s="62">
        <v>5779991.0999999996</v>
      </c>
      <c r="AB132" s="22">
        <v>297594.04627746693</v>
      </c>
      <c r="AC132">
        <v>451334.06338098831</v>
      </c>
      <c r="AD132" s="23">
        <v>748928.2438039711</v>
      </c>
      <c r="AE132">
        <v>265474.51227451168</v>
      </c>
      <c r="AF132">
        <v>402621.13151485525</v>
      </c>
      <c r="AG132" s="23">
        <v>668095.64378936694</v>
      </c>
      <c r="AH132">
        <v>611208.68906580913</v>
      </c>
      <c r="AI132">
        <v>926965.09915880288</v>
      </c>
      <c r="AJ132" s="23">
        <v>1538173.7882246119</v>
      </c>
      <c r="AK132">
        <v>294020.54388309037</v>
      </c>
      <c r="AL132">
        <v>445914.31625318323</v>
      </c>
      <c r="AM132" s="23">
        <v>739934.86013627355</v>
      </c>
      <c r="AN132">
        <v>262286.67823795008</v>
      </c>
      <c r="AO132">
        <v>397786.39298128709</v>
      </c>
      <c r="AP132" s="23">
        <v>660073.07121923717</v>
      </c>
      <c r="AQ132">
        <v>603869.18546193803</v>
      </c>
      <c r="AR132">
        <v>915833.838406411</v>
      </c>
      <c r="AS132" s="23">
        <v>1519703.0238683489</v>
      </c>
      <c r="AT132">
        <v>5874908.7383582229</v>
      </c>
    </row>
    <row r="133" spans="1:46">
      <c r="A133" s="48" t="s">
        <v>194</v>
      </c>
      <c r="B133" s="48" t="s">
        <v>265</v>
      </c>
      <c r="C133" s="49">
        <v>88</v>
      </c>
      <c r="D133" s="50">
        <v>0.56100000000000005</v>
      </c>
      <c r="E133" s="49">
        <v>95.669808450775093</v>
      </c>
      <c r="F133" s="49">
        <v>0.78865732844245795</v>
      </c>
      <c r="G133" s="49">
        <v>420.49442535925402</v>
      </c>
      <c r="H133" s="49">
        <v>0.79266470721539195</v>
      </c>
      <c r="I133" s="61">
        <v>1040854.3</v>
      </c>
      <c r="J133" s="62">
        <v>916383.87199999997</v>
      </c>
      <c r="K133" s="66">
        <v>1957238.17</v>
      </c>
      <c r="L133" s="62">
        <v>424618.28600000002</v>
      </c>
      <c r="M133" s="62">
        <v>373840.321</v>
      </c>
      <c r="N133" s="66">
        <v>798458.73800000001</v>
      </c>
      <c r="O133" s="62">
        <v>946201.41399999999</v>
      </c>
      <c r="P133" s="62">
        <v>833049.99</v>
      </c>
      <c r="Q133" s="66">
        <v>1779251.4</v>
      </c>
      <c r="R133" s="62">
        <v>1056476.0900000001</v>
      </c>
      <c r="S133" s="62">
        <v>930137.45200000005</v>
      </c>
      <c r="T133" s="66">
        <v>1986613.54</v>
      </c>
      <c r="U133" s="62">
        <v>430991.19900000002</v>
      </c>
      <c r="V133" s="62">
        <v>379451.24599999998</v>
      </c>
      <c r="W133" s="66">
        <v>810442.44400000002</v>
      </c>
      <c r="X133" s="62">
        <v>960402.55</v>
      </c>
      <c r="Y133" s="62">
        <v>845552.93500000006</v>
      </c>
      <c r="Z133" s="66">
        <v>1805955.48</v>
      </c>
      <c r="AA133" s="62">
        <v>9137959.7699999996</v>
      </c>
      <c r="AB133" s="22">
        <v>1046143.156738189</v>
      </c>
      <c r="AC133">
        <v>921040.26382592425</v>
      </c>
      <c r="AD133" s="23">
        <v>1967183.4205641132</v>
      </c>
      <c r="AE133">
        <v>426775.88553061575</v>
      </c>
      <c r="AF133">
        <v>375739.90330812614</v>
      </c>
      <c r="AG133" s="23">
        <v>802515.92079240491</v>
      </c>
      <c r="AH133">
        <v>951009.31590417039</v>
      </c>
      <c r="AI133">
        <v>837282.94001820055</v>
      </c>
      <c r="AJ133" s="23">
        <v>1788292.2559223708</v>
      </c>
      <c r="AK133">
        <v>1061844.3231221414</v>
      </c>
      <c r="AL133">
        <v>934863.72958256654</v>
      </c>
      <c r="AM133" s="23">
        <v>1996708.052704708</v>
      </c>
      <c r="AN133">
        <v>433181.18024958222</v>
      </c>
      <c r="AO133">
        <v>381379.33896589023</v>
      </c>
      <c r="AP133" s="23">
        <v>814560.51921547251</v>
      </c>
      <c r="AQ133">
        <v>965282.6116986553</v>
      </c>
      <c r="AR133">
        <v>849849.41517921689</v>
      </c>
      <c r="AS133" s="23">
        <v>1815132.0268778719</v>
      </c>
      <c r="AT133">
        <v>9184392.1828815751</v>
      </c>
    </row>
    <row r="134" spans="1:46">
      <c r="A134" s="48" t="s">
        <v>178</v>
      </c>
      <c r="B134" s="48" t="s">
        <v>266</v>
      </c>
      <c r="C134" s="49">
        <v>113</v>
      </c>
      <c r="D134" s="50">
        <v>0.56100000000000005</v>
      </c>
      <c r="E134" s="49">
        <v>197.358395565612</v>
      </c>
      <c r="F134" s="49">
        <v>0.78019545353988295</v>
      </c>
      <c r="G134" s="49">
        <v>237.356412726472</v>
      </c>
      <c r="H134" s="49">
        <v>0.80662961287681501</v>
      </c>
      <c r="I134" s="61">
        <v>3129103.02</v>
      </c>
      <c r="J134" s="62">
        <v>2253423.06</v>
      </c>
      <c r="K134" s="66">
        <v>5382526.0800000001</v>
      </c>
      <c r="L134" s="62">
        <v>1709406.11</v>
      </c>
      <c r="M134" s="62">
        <v>1231028.57</v>
      </c>
      <c r="N134" s="66">
        <v>2940434.68</v>
      </c>
      <c r="O134" s="62">
        <v>1432741.33</v>
      </c>
      <c r="P134" s="62">
        <v>1031788.43</v>
      </c>
      <c r="Q134" s="66">
        <v>2464529.62</v>
      </c>
      <c r="R134" s="62">
        <v>2184883.1</v>
      </c>
      <c r="S134" s="62">
        <v>1573443.15</v>
      </c>
      <c r="T134" s="66">
        <v>3758326.25</v>
      </c>
      <c r="U134" s="62">
        <v>1193585.67</v>
      </c>
      <c r="V134" s="62">
        <v>859560.55700000003</v>
      </c>
      <c r="W134" s="66">
        <v>2053146.23</v>
      </c>
      <c r="X134" s="62">
        <v>1000405.63</v>
      </c>
      <c r="Y134" s="62">
        <v>720441.946</v>
      </c>
      <c r="Z134" s="66">
        <v>1720847.45</v>
      </c>
      <c r="AA134" s="62">
        <v>18319810.300000001</v>
      </c>
      <c r="AB134" s="22">
        <v>3235121.5937279616</v>
      </c>
      <c r="AC134">
        <v>2329772.3139181738</v>
      </c>
      <c r="AD134" s="23">
        <v>5564893.9076461354</v>
      </c>
      <c r="AE134">
        <v>1767323.2861258003</v>
      </c>
      <c r="AF134">
        <v>1272737.611314897</v>
      </c>
      <c r="AG134" s="23">
        <v>3040060.8974406971</v>
      </c>
      <c r="AH134">
        <v>1481284.6909118765</v>
      </c>
      <c r="AI134">
        <v>1066746.9235042327</v>
      </c>
      <c r="AJ134" s="23">
        <v>2548031.4801377296</v>
      </c>
      <c r="AK134">
        <v>2258910.121890387</v>
      </c>
      <c r="AL134">
        <v>1626753.6961327496</v>
      </c>
      <c r="AM134" s="23">
        <v>3885663.8180231364</v>
      </c>
      <c r="AN134">
        <v>1234026.0944931624</v>
      </c>
      <c r="AO134">
        <v>888683.72159027087</v>
      </c>
      <c r="AP134" s="23">
        <v>2122709.8160834331</v>
      </c>
      <c r="AQ134">
        <v>1034300.8358635816</v>
      </c>
      <c r="AR134">
        <v>744851.56981383415</v>
      </c>
      <c r="AS134" s="23">
        <v>1779152.2713990367</v>
      </c>
      <c r="AT134">
        <v>18940512.231013685</v>
      </c>
    </row>
    <row r="135" spans="1:46">
      <c r="A135" s="49" t="s">
        <v>161</v>
      </c>
      <c r="B135" s="49" t="s">
        <v>267</v>
      </c>
      <c r="C135" s="49">
        <v>9</v>
      </c>
      <c r="D135" s="50">
        <v>0.55100000000000005</v>
      </c>
      <c r="E135" s="49">
        <v>94.118067248828297</v>
      </c>
      <c r="F135" s="49">
        <v>0.79509053208892799</v>
      </c>
      <c r="G135" s="49">
        <v>107.896507679137</v>
      </c>
      <c r="H135" s="49">
        <v>0.81568392261352196</v>
      </c>
      <c r="I135" s="61">
        <v>47024.3649</v>
      </c>
      <c r="J135" s="62">
        <v>-999</v>
      </c>
      <c r="K135" s="66">
        <v>47024.3649</v>
      </c>
      <c r="L135" s="62">
        <v>11947.3809</v>
      </c>
      <c r="M135" s="62">
        <v>-999</v>
      </c>
      <c r="N135" s="66">
        <v>11947.3809</v>
      </c>
      <c r="O135" s="62">
        <v>66575.021599999993</v>
      </c>
      <c r="P135" s="62">
        <v>-999</v>
      </c>
      <c r="Q135" s="66">
        <v>66575.021599999993</v>
      </c>
      <c r="R135" s="62">
        <v>42578.874000000003</v>
      </c>
      <c r="S135" s="62">
        <v>-999</v>
      </c>
      <c r="T135" s="66">
        <v>42578.874000000003</v>
      </c>
      <c r="U135" s="62">
        <v>10817.974399999999</v>
      </c>
      <c r="V135" s="62">
        <v>-999</v>
      </c>
      <c r="W135" s="66">
        <v>10817.974399999999</v>
      </c>
      <c r="X135" s="62">
        <v>60281.290699999998</v>
      </c>
      <c r="Y135" s="62">
        <v>-999</v>
      </c>
      <c r="Z135" s="66">
        <v>60281.290699999998</v>
      </c>
      <c r="AA135" s="62">
        <v>239224.81400000001</v>
      </c>
      <c r="AB135" s="22">
        <v>48242.328203163255</v>
      </c>
      <c r="AC135">
        <v>-999</v>
      </c>
      <c r="AD135" s="23">
        <v>48242.328203163255</v>
      </c>
      <c r="AE135">
        <v>12256.826241578501</v>
      </c>
      <c r="AF135">
        <v>-999</v>
      </c>
      <c r="AG135" s="23">
        <v>12256.826241578501</v>
      </c>
      <c r="AH135">
        <v>68299.360319018626</v>
      </c>
      <c r="AI135">
        <v>-999</v>
      </c>
      <c r="AJ135" s="23">
        <v>68299.360319018626</v>
      </c>
      <c r="AK135">
        <v>43681.696038495524</v>
      </c>
      <c r="AL135">
        <v>-999</v>
      </c>
      <c r="AM135" s="23">
        <v>43681.696038495524</v>
      </c>
      <c r="AN135">
        <v>11098.167407472753</v>
      </c>
      <c r="AO135">
        <v>-999</v>
      </c>
      <c r="AP135" s="23">
        <v>11098.167407472753</v>
      </c>
      <c r="AQ135">
        <v>61842.617529781281</v>
      </c>
      <c r="AR135">
        <v>-999</v>
      </c>
      <c r="AS135" s="23">
        <v>61842.617529781281</v>
      </c>
      <c r="AT135">
        <v>245420.90068956459</v>
      </c>
    </row>
    <row r="136" spans="1:46">
      <c r="A136" s="48" t="s">
        <v>160</v>
      </c>
      <c r="B136" s="48" t="s">
        <v>268</v>
      </c>
      <c r="C136" s="49">
        <v>114</v>
      </c>
      <c r="D136" s="50">
        <v>0.55100000000000005</v>
      </c>
      <c r="E136" s="49">
        <v>40.059373061908801</v>
      </c>
      <c r="F136" s="49">
        <v>0.79240289702609301</v>
      </c>
      <c r="G136" s="49">
        <v>132.33264427279599</v>
      </c>
      <c r="H136" s="49">
        <v>0.81335787366488199</v>
      </c>
      <c r="I136" s="61">
        <v>19278.790099999998</v>
      </c>
      <c r="J136" s="62">
        <v>9015.7901500000007</v>
      </c>
      <c r="K136" s="66">
        <v>28294.580300000001</v>
      </c>
      <c r="L136" s="62">
        <v>17681.0952</v>
      </c>
      <c r="M136" s="62">
        <v>8268.6514599999991</v>
      </c>
      <c r="N136" s="66">
        <v>25949.7467</v>
      </c>
      <c r="O136" s="62">
        <v>64809.796699999999</v>
      </c>
      <c r="P136" s="62">
        <v>30308.451499999999</v>
      </c>
      <c r="Q136" s="66">
        <v>95118.380099999995</v>
      </c>
      <c r="R136" s="62">
        <v>25043.7883</v>
      </c>
      <c r="S136" s="62">
        <v>11711.768400000001</v>
      </c>
      <c r="T136" s="66">
        <v>36755.556600000004</v>
      </c>
      <c r="U136" s="62">
        <v>22968.3151</v>
      </c>
      <c r="V136" s="62">
        <v>10741.174000000001</v>
      </c>
      <c r="W136" s="66">
        <v>33709.489000000001</v>
      </c>
      <c r="X136" s="62">
        <v>84190.025699999998</v>
      </c>
      <c r="Y136" s="62">
        <v>39371.597300000001</v>
      </c>
      <c r="Z136" s="66">
        <v>123561.62300000001</v>
      </c>
      <c r="AA136" s="62">
        <v>343389.27</v>
      </c>
      <c r="AB136" s="22">
        <v>19788.614845466658</v>
      </c>
      <c r="AC136">
        <v>9254.2113804076253</v>
      </c>
      <c r="AD136" s="23">
        <v>29042.826225874283</v>
      </c>
      <c r="AE136">
        <v>18148.669152256945</v>
      </c>
      <c r="AF136">
        <v>8487.3147154192029</v>
      </c>
      <c r="AG136" s="23">
        <v>26635.98386767615</v>
      </c>
      <c r="AH136">
        <v>66523.682141381083</v>
      </c>
      <c r="AI136">
        <v>31109.953942042757</v>
      </c>
      <c r="AJ136" s="23">
        <v>97633.771481846328</v>
      </c>
      <c r="AK136">
        <v>25706.067502008693</v>
      </c>
      <c r="AL136">
        <v>12021.484339276518</v>
      </c>
      <c r="AM136" s="23">
        <v>37727.551841285203</v>
      </c>
      <c r="AN136">
        <v>23575.708722536958</v>
      </c>
      <c r="AO136">
        <v>11025.222746588521</v>
      </c>
      <c r="AP136" s="23">
        <v>34600.931469125484</v>
      </c>
      <c r="AQ136">
        <v>86416.418373743247</v>
      </c>
      <c r="AR136">
        <v>40412.77335612462</v>
      </c>
      <c r="AS136" s="23">
        <v>126829.19172986786</v>
      </c>
      <c r="AT136">
        <v>352470.14829693729</v>
      </c>
    </row>
    <row r="137" spans="1:46">
      <c r="A137" s="48" t="s">
        <v>258</v>
      </c>
      <c r="B137" s="48" t="s">
        <v>269</v>
      </c>
      <c r="C137" s="49">
        <v>54</v>
      </c>
      <c r="D137" s="50">
        <v>0.53600000000000003</v>
      </c>
      <c r="E137" s="49">
        <v>228.215577082283</v>
      </c>
      <c r="F137" s="49">
        <v>0.78434089105995697</v>
      </c>
      <c r="G137" s="49">
        <v>120.56802507348699</v>
      </c>
      <c r="H137" s="49">
        <v>0.81451855581221599</v>
      </c>
      <c r="I137" s="61">
        <v>1996075.04</v>
      </c>
      <c r="J137" s="62">
        <v>3031151.12</v>
      </c>
      <c r="K137" s="66">
        <v>5027226.16</v>
      </c>
      <c r="L137" s="62">
        <v>1385470.22</v>
      </c>
      <c r="M137" s="62">
        <v>2103913.77</v>
      </c>
      <c r="N137" s="66">
        <v>3489383.99</v>
      </c>
      <c r="O137" s="62">
        <v>671986.54500000004</v>
      </c>
      <c r="P137" s="62">
        <v>1020449.06</v>
      </c>
      <c r="Q137" s="66">
        <v>1692435.61</v>
      </c>
      <c r="R137" s="62">
        <v>668145.23400000005</v>
      </c>
      <c r="S137" s="62">
        <v>1014615.81</v>
      </c>
      <c r="T137" s="66">
        <v>1682761.04</v>
      </c>
      <c r="U137" s="62">
        <v>463757.72700000001</v>
      </c>
      <c r="V137" s="62">
        <v>704242.06700000004</v>
      </c>
      <c r="W137" s="66">
        <v>1167999.79</v>
      </c>
      <c r="X137" s="62">
        <v>224933.69</v>
      </c>
      <c r="Y137" s="62">
        <v>341574.402</v>
      </c>
      <c r="Z137" s="66">
        <v>566508.09199999995</v>
      </c>
      <c r="AA137" s="62">
        <v>13626314.699999999</v>
      </c>
      <c r="AB137" s="22">
        <v>2072874.4081689606</v>
      </c>
      <c r="AC137">
        <v>3147775.2315941867</v>
      </c>
      <c r="AD137" s="23">
        <v>5220649.6397631476</v>
      </c>
      <c r="AE137">
        <v>1438776.4453254684</v>
      </c>
      <c r="AF137">
        <v>2184862.2550202021</v>
      </c>
      <c r="AG137" s="23">
        <v>3623638.7003456717</v>
      </c>
      <c r="AH137">
        <v>697841.35523837013</v>
      </c>
      <c r="AI137">
        <v>1059711.0344246484</v>
      </c>
      <c r="AJ137" s="23">
        <v>1757552.3896630185</v>
      </c>
      <c r="AK137">
        <v>693852.24920586881</v>
      </c>
      <c r="AL137">
        <v>1053653.342340759</v>
      </c>
      <c r="AM137" s="23">
        <v>1747505.5915466272</v>
      </c>
      <c r="AN137">
        <v>481600.89338300226</v>
      </c>
      <c r="AO137">
        <v>731337.91384711047</v>
      </c>
      <c r="AP137" s="23">
        <v>1212938.8072301128</v>
      </c>
      <c r="AQ137">
        <v>233588.05620608944</v>
      </c>
      <c r="AR137">
        <v>354716.5422473044</v>
      </c>
      <c r="AS137" s="23">
        <v>588304.5984533939</v>
      </c>
      <c r="AT137">
        <v>14150589.794797793</v>
      </c>
    </row>
    <row r="138" spans="1:46">
      <c r="A138" s="48" t="s">
        <v>153</v>
      </c>
      <c r="B138" s="48" t="s">
        <v>270</v>
      </c>
      <c r="C138" s="49">
        <v>48</v>
      </c>
      <c r="D138" s="50">
        <v>0.52800000000000002</v>
      </c>
      <c r="E138" s="49">
        <v>197.88126875018699</v>
      </c>
      <c r="F138" s="49">
        <v>0.77524735055344896</v>
      </c>
      <c r="G138" s="49">
        <v>93.360889153419905</v>
      </c>
      <c r="H138" s="49">
        <v>0.81680216222314905</v>
      </c>
      <c r="I138" s="61">
        <v>3218352.92</v>
      </c>
      <c r="J138" s="62">
        <v>412575.63900000002</v>
      </c>
      <c r="K138" s="66">
        <v>3630928.56</v>
      </c>
      <c r="L138" s="62">
        <v>2176878.11</v>
      </c>
      <c r="M138" s="62">
        <v>279064.141</v>
      </c>
      <c r="N138" s="66">
        <v>2455942.2599999998</v>
      </c>
      <c r="O138" s="62">
        <v>4113050.1</v>
      </c>
      <c r="P138" s="62">
        <v>527271.03099999996</v>
      </c>
      <c r="Q138" s="66">
        <v>4640321.13</v>
      </c>
      <c r="R138" s="62">
        <v>4678063.9400000004</v>
      </c>
      <c r="S138" s="62">
        <v>599702.71400000004</v>
      </c>
      <c r="T138" s="66">
        <v>5277766.6500000004</v>
      </c>
      <c r="U138" s="62">
        <v>3164219.45</v>
      </c>
      <c r="V138" s="62">
        <v>405636.00599999999</v>
      </c>
      <c r="W138" s="66">
        <v>3569855.45</v>
      </c>
      <c r="X138" s="62">
        <v>5978558.4400000004</v>
      </c>
      <c r="Y138" s="62">
        <v>766419.21699999995</v>
      </c>
      <c r="Z138" s="66">
        <v>6744977.6600000001</v>
      </c>
      <c r="AA138" s="62">
        <v>26319791.699999999</v>
      </c>
      <c r="AB138" s="22">
        <v>3390863.0859330753</v>
      </c>
      <c r="AC138">
        <v>434690.52012980636</v>
      </c>
      <c r="AD138" s="23">
        <v>3825553.6060628816</v>
      </c>
      <c r="AE138">
        <v>2293563.1434833137</v>
      </c>
      <c r="AF138">
        <v>294022.53866076923</v>
      </c>
      <c r="AG138" s="23">
        <v>2587585.6821440831</v>
      </c>
      <c r="AH138">
        <v>4333517.826980737</v>
      </c>
      <c r="AI138">
        <v>555533.81492886553</v>
      </c>
      <c r="AJ138" s="23">
        <v>4889051.641909604</v>
      </c>
      <c r="AK138">
        <v>4928817.5430717552</v>
      </c>
      <c r="AL138">
        <v>631847.98086525162</v>
      </c>
      <c r="AM138" s="23">
        <v>5560665.5239370065</v>
      </c>
      <c r="AN138">
        <v>3333827.9518819847</v>
      </c>
      <c r="AO138">
        <v>427378.90918121429</v>
      </c>
      <c r="AP138" s="23">
        <v>3761206.8610631991</v>
      </c>
      <c r="AQ138">
        <v>6299021.1580354571</v>
      </c>
      <c r="AR138">
        <v>807500.82349170954</v>
      </c>
      <c r="AS138" s="23">
        <v>7106521.9815271655</v>
      </c>
      <c r="AT138">
        <v>27730585.296643939</v>
      </c>
    </row>
    <row r="139" spans="1:46">
      <c r="A139" s="48" t="s">
        <v>142</v>
      </c>
      <c r="B139" s="48" t="s">
        <v>271</v>
      </c>
      <c r="C139" s="49">
        <v>38</v>
      </c>
      <c r="D139" s="50">
        <v>0.52700000000000002</v>
      </c>
      <c r="E139" s="49">
        <v>27.304398314003802</v>
      </c>
      <c r="F139" s="49">
        <v>0.79713366510714501</v>
      </c>
      <c r="G139" s="49">
        <v>121.20058620202801</v>
      </c>
      <c r="H139" s="49">
        <v>0.81490206438278401</v>
      </c>
      <c r="I139" s="61">
        <v>223588.56200000001</v>
      </c>
      <c r="J139" s="62">
        <v>151201.356</v>
      </c>
      <c r="K139" s="66">
        <v>374789.91800000001</v>
      </c>
      <c r="L139" s="62">
        <v>377043.38799999998</v>
      </c>
      <c r="M139" s="62">
        <v>254974.86300000001</v>
      </c>
      <c r="N139" s="66">
        <v>632018.38399999996</v>
      </c>
      <c r="O139" s="62">
        <v>542623.59100000001</v>
      </c>
      <c r="P139" s="62">
        <v>366948.15299999999</v>
      </c>
      <c r="Q139" s="66">
        <v>909571.74300000002</v>
      </c>
      <c r="R139" s="62">
        <v>181639.53200000001</v>
      </c>
      <c r="S139" s="62">
        <v>122833.395</v>
      </c>
      <c r="T139" s="66">
        <v>304472.92700000003</v>
      </c>
      <c r="U139" s="62">
        <v>306303.755</v>
      </c>
      <c r="V139" s="62">
        <v>207137.37700000001</v>
      </c>
      <c r="W139" s="66">
        <v>513440.99900000001</v>
      </c>
      <c r="X139" s="62">
        <v>440818.255</v>
      </c>
      <c r="Y139" s="62">
        <v>298102.51299999998</v>
      </c>
      <c r="Z139" s="66">
        <v>738920.63500000001</v>
      </c>
      <c r="AA139" s="62">
        <v>3473214.59</v>
      </c>
      <c r="AB139" s="22">
        <v>228572.4322801157</v>
      </c>
      <c r="AC139">
        <v>154571.68883226777</v>
      </c>
      <c r="AD139" s="23">
        <v>383144.12111238344</v>
      </c>
      <c r="AE139">
        <v>385447.82249959593</v>
      </c>
      <c r="AF139">
        <v>260658.34504718881</v>
      </c>
      <c r="AG139" s="23">
        <v>646106.30320226634</v>
      </c>
      <c r="AH139">
        <v>554718.86799866217</v>
      </c>
      <c r="AI139">
        <v>375127.56043182028</v>
      </c>
      <c r="AJ139" s="23">
        <v>929846.4284304824</v>
      </c>
      <c r="AK139">
        <v>185688.3431838637</v>
      </c>
      <c r="AL139">
        <v>125571.3956479019</v>
      </c>
      <c r="AM139" s="23">
        <v>311259.73883176566</v>
      </c>
      <c r="AN139">
        <v>313131.37751032948</v>
      </c>
      <c r="AO139">
        <v>211754.54395838268</v>
      </c>
      <c r="AP139" s="23">
        <v>524885.78581323056</v>
      </c>
      <c r="AQ139">
        <v>450644.2538856804</v>
      </c>
      <c r="AR139">
        <v>304747.3261303223</v>
      </c>
      <c r="AS139" s="23">
        <v>755391.44436052139</v>
      </c>
      <c r="AT139">
        <v>3550633.808185102</v>
      </c>
    </row>
    <row r="140" spans="1:46">
      <c r="A140" s="48" t="s">
        <v>160</v>
      </c>
      <c r="B140" s="48" t="s">
        <v>272</v>
      </c>
      <c r="C140" s="49">
        <v>90</v>
      </c>
      <c r="D140" s="50">
        <v>0.52400000000000002</v>
      </c>
      <c r="E140" s="49">
        <v>111.92511170042199</v>
      </c>
      <c r="F140" s="49">
        <v>0.75579478403921596</v>
      </c>
      <c r="G140" s="49">
        <v>79.429813711266107</v>
      </c>
      <c r="H140" s="49">
        <v>0.81759275715227098</v>
      </c>
      <c r="I140" s="61">
        <v>5105426.5599999996</v>
      </c>
      <c r="J140" s="62">
        <v>6630281.8200000003</v>
      </c>
      <c r="K140" s="66">
        <v>11735708.4</v>
      </c>
      <c r="L140" s="62">
        <v>2563769.7999999998</v>
      </c>
      <c r="M140" s="62">
        <v>3329499.85</v>
      </c>
      <c r="N140" s="66">
        <v>5893269.6500000004</v>
      </c>
      <c r="O140" s="62">
        <v>3998787.92</v>
      </c>
      <c r="P140" s="62">
        <v>5193119.67</v>
      </c>
      <c r="Q140" s="66">
        <v>9191907.5899999999</v>
      </c>
      <c r="R140" s="62">
        <v>3752195.51</v>
      </c>
      <c r="S140" s="62">
        <v>4872876.5999999996</v>
      </c>
      <c r="T140" s="66">
        <v>8625072.1099999994</v>
      </c>
      <c r="U140" s="62">
        <v>1884223.7</v>
      </c>
      <c r="V140" s="62">
        <v>2446991.2999999998</v>
      </c>
      <c r="W140" s="66">
        <v>4331215.01</v>
      </c>
      <c r="X140" s="62">
        <v>2938879.59</v>
      </c>
      <c r="Y140" s="62">
        <v>3816645</v>
      </c>
      <c r="Z140" s="66">
        <v>6755524.5899999999</v>
      </c>
      <c r="AA140" s="62">
        <v>46532697.399999999</v>
      </c>
      <c r="AB140" s="22">
        <v>5522874.5521340258</v>
      </c>
      <c r="AC140">
        <v>7172410.4310842985</v>
      </c>
      <c r="AD140" s="23">
        <v>12695284.983218323</v>
      </c>
      <c r="AE140">
        <v>2773397.8384376746</v>
      </c>
      <c r="AF140">
        <v>3601738.2198764896</v>
      </c>
      <c r="AG140" s="23">
        <v>6375136.0583141651</v>
      </c>
      <c r="AH140">
        <v>4325750.9922288032</v>
      </c>
      <c r="AI140">
        <v>5617737.9393053986</v>
      </c>
      <c r="AJ140" s="23">
        <v>9943488.9315342009</v>
      </c>
      <c r="AK140">
        <v>4058995.8198536858</v>
      </c>
      <c r="AL140">
        <v>5271310.0159981707</v>
      </c>
      <c r="AM140" s="23">
        <v>9330305.8358518537</v>
      </c>
      <c r="AN140">
        <v>2038288.2839235719</v>
      </c>
      <c r="AO140">
        <v>2647070.8845750713</v>
      </c>
      <c r="AP140" s="23">
        <v>4685359.1684986437</v>
      </c>
      <c r="AQ140">
        <v>3179178.6838195263</v>
      </c>
      <c r="AR140">
        <v>4128715.0571585591</v>
      </c>
      <c r="AS140" s="23">
        <v>7307893.7409780854</v>
      </c>
      <c r="AT140">
        <v>50337468.827277996</v>
      </c>
    </row>
    <row r="141" spans="1:46">
      <c r="A141" s="48" t="s">
        <v>161</v>
      </c>
      <c r="B141" s="48" t="s">
        <v>273</v>
      </c>
      <c r="C141" s="49">
        <v>24</v>
      </c>
      <c r="D141" s="50">
        <v>0.51600000000000001</v>
      </c>
      <c r="E141" s="49">
        <v>22.4848082664594</v>
      </c>
      <c r="F141" s="49">
        <v>0.79770103289739602</v>
      </c>
      <c r="G141" s="49">
        <v>262.30088019818498</v>
      </c>
      <c r="H141" s="49">
        <v>0.80494871559832604</v>
      </c>
      <c r="I141" s="61">
        <v>305508.83199999999</v>
      </c>
      <c r="J141" s="62">
        <v>-999</v>
      </c>
      <c r="K141" s="66">
        <v>305508.83199999999</v>
      </c>
      <c r="L141" s="62">
        <v>373910.68300000002</v>
      </c>
      <c r="M141" s="62">
        <v>-999</v>
      </c>
      <c r="N141" s="66">
        <v>373910.68300000002</v>
      </c>
      <c r="O141" s="62">
        <v>624027.03700000001</v>
      </c>
      <c r="P141" s="62">
        <v>-999</v>
      </c>
      <c r="Q141" s="66">
        <v>624027.03700000001</v>
      </c>
      <c r="R141" s="62">
        <v>428018.26500000001</v>
      </c>
      <c r="S141" s="62">
        <v>-999</v>
      </c>
      <c r="T141" s="66">
        <v>428018.26500000001</v>
      </c>
      <c r="U141" s="62">
        <v>523849.24300000002</v>
      </c>
      <c r="V141" s="62">
        <v>-999</v>
      </c>
      <c r="W141" s="66">
        <v>523849.24300000002</v>
      </c>
      <c r="X141" s="62">
        <v>874262.505</v>
      </c>
      <c r="Y141" s="62">
        <v>-999</v>
      </c>
      <c r="Z141" s="66">
        <v>874262.505</v>
      </c>
      <c r="AA141" s="62">
        <v>3129576.53</v>
      </c>
      <c r="AB141" s="22">
        <v>308284.5979637063</v>
      </c>
      <c r="AC141">
        <v>-999</v>
      </c>
      <c r="AD141" s="23">
        <v>308284.5979637063</v>
      </c>
      <c r="AE141">
        <v>377307.92775924929</v>
      </c>
      <c r="AF141">
        <v>-999</v>
      </c>
      <c r="AG141" s="23">
        <v>377307.92775924929</v>
      </c>
      <c r="AH141">
        <v>629696.76714766817</v>
      </c>
      <c r="AI141">
        <v>-999</v>
      </c>
      <c r="AJ141" s="23">
        <v>629696.76714766817</v>
      </c>
      <c r="AK141">
        <v>431907.116238922</v>
      </c>
      <c r="AL141">
        <v>-999</v>
      </c>
      <c r="AM141" s="23">
        <v>431907.116238922</v>
      </c>
      <c r="AN141">
        <v>528608.78721262875</v>
      </c>
      <c r="AO141">
        <v>-999</v>
      </c>
      <c r="AP141" s="23">
        <v>528608.78721262875</v>
      </c>
      <c r="AQ141">
        <v>882205.80324710056</v>
      </c>
      <c r="AR141">
        <v>-999</v>
      </c>
      <c r="AS141" s="23">
        <v>882205.80324710056</v>
      </c>
      <c r="AT141">
        <v>3158010.959369706</v>
      </c>
    </row>
    <row r="142" spans="1:46">
      <c r="A142" s="48" t="s">
        <v>178</v>
      </c>
      <c r="B142" s="48" t="s">
        <v>274</v>
      </c>
      <c r="C142" s="49">
        <v>29</v>
      </c>
      <c r="D142" s="50">
        <v>0.51600000000000001</v>
      </c>
      <c r="E142" s="49">
        <v>47.6606344706247</v>
      </c>
      <c r="F142" s="49">
        <v>0.78955600331319697</v>
      </c>
      <c r="G142" s="49">
        <v>63.137884782807497</v>
      </c>
      <c r="H142" s="49">
        <v>0.81895282818983095</v>
      </c>
      <c r="I142" s="61">
        <v>928550.61399999994</v>
      </c>
      <c r="J142" s="62">
        <v>138727.715</v>
      </c>
      <c r="K142" s="66">
        <v>1067278.33</v>
      </c>
      <c r="L142" s="62">
        <v>1038971.97</v>
      </c>
      <c r="M142" s="62">
        <v>155224.924</v>
      </c>
      <c r="N142" s="66">
        <v>1194196.8999999999</v>
      </c>
      <c r="O142" s="62">
        <v>660025.74600000004</v>
      </c>
      <c r="P142" s="62">
        <v>98609.454899999997</v>
      </c>
      <c r="Q142" s="66">
        <v>758635.201</v>
      </c>
      <c r="R142" s="62">
        <v>1583567.85</v>
      </c>
      <c r="S142" s="62">
        <v>236588.90299999999</v>
      </c>
      <c r="T142" s="66">
        <v>1820156.63</v>
      </c>
      <c r="U142" s="62">
        <v>1771882.36</v>
      </c>
      <c r="V142" s="62">
        <v>264723.47100000002</v>
      </c>
      <c r="W142" s="66">
        <v>2036605.96</v>
      </c>
      <c r="X142" s="62">
        <v>1125620.48</v>
      </c>
      <c r="Y142" s="62">
        <v>168170.46599999999</v>
      </c>
      <c r="Z142" s="66">
        <v>1293790.81</v>
      </c>
      <c r="AA142" s="62">
        <v>8170663.8200000003</v>
      </c>
      <c r="AB142" s="22">
        <v>963122.49947170622</v>
      </c>
      <c r="AC142">
        <v>143892.83819574368</v>
      </c>
      <c r="AD142" s="23">
        <v>1107015.3376674498</v>
      </c>
      <c r="AE142">
        <v>1077655.0780125533</v>
      </c>
      <c r="AF142">
        <v>161004.27378133609</v>
      </c>
      <c r="AG142" s="23">
        <v>1238659.3517938894</v>
      </c>
      <c r="AH142">
        <v>684599.88807084679</v>
      </c>
      <c r="AI142">
        <v>102280.89154561913</v>
      </c>
      <c r="AJ142" s="23">
        <v>786880.77961646602</v>
      </c>
      <c r="AK142">
        <v>1642527.4039595183</v>
      </c>
      <c r="AL142">
        <v>245397.60415646233</v>
      </c>
      <c r="AM142" s="23">
        <v>1887924.8717861751</v>
      </c>
      <c r="AN142">
        <v>1837853.2516914997</v>
      </c>
      <c r="AO142">
        <v>274579.68075506802</v>
      </c>
      <c r="AP142" s="23">
        <v>2112433.0687763738</v>
      </c>
      <c r="AQ142">
        <v>1167529.6845630715</v>
      </c>
      <c r="AR142">
        <v>174431.80535231769</v>
      </c>
      <c r="AS142" s="23">
        <v>1341961.3535855832</v>
      </c>
      <c r="AT142">
        <v>8474874.7632259373</v>
      </c>
    </row>
    <row r="143" spans="1:46">
      <c r="A143" s="48" t="s">
        <v>258</v>
      </c>
      <c r="B143" s="48" t="s">
        <v>256</v>
      </c>
      <c r="C143" s="49">
        <v>30</v>
      </c>
      <c r="D143" s="50">
        <v>0.50800000000000001</v>
      </c>
      <c r="E143" s="49">
        <v>164.31916039733599</v>
      </c>
      <c r="F143" s="49">
        <v>0.78538657813234602</v>
      </c>
      <c r="G143" s="49">
        <v>223.530319583085</v>
      </c>
      <c r="H143" s="49">
        <v>0.807023982076713</v>
      </c>
      <c r="I143" s="61">
        <v>2987059.69</v>
      </c>
      <c r="J143" s="62">
        <v>626862.66500000004</v>
      </c>
      <c r="K143" s="66">
        <v>3613922.36</v>
      </c>
      <c r="L143" s="62">
        <v>1508315.47</v>
      </c>
      <c r="M143" s="62">
        <v>316534.16899999999</v>
      </c>
      <c r="N143" s="66">
        <v>1824849.64</v>
      </c>
      <c r="O143" s="62">
        <v>2119276.89</v>
      </c>
      <c r="P143" s="62">
        <v>444750.18599999999</v>
      </c>
      <c r="Q143" s="66">
        <v>2564027.08</v>
      </c>
      <c r="R143" s="62">
        <v>1672570.54</v>
      </c>
      <c r="S143" s="62">
        <v>351004.712</v>
      </c>
      <c r="T143" s="66">
        <v>2023575.12</v>
      </c>
      <c r="U143" s="62">
        <v>844564.18599999999</v>
      </c>
      <c r="V143" s="62">
        <v>177239.72200000001</v>
      </c>
      <c r="W143" s="66">
        <v>1021804.04</v>
      </c>
      <c r="X143" s="62">
        <v>1186665.23</v>
      </c>
      <c r="Y143" s="62">
        <v>249032.946</v>
      </c>
      <c r="Z143" s="66">
        <v>1435698.18</v>
      </c>
      <c r="AA143" s="62">
        <v>12483876.4</v>
      </c>
      <c r="AB143" s="22">
        <v>3069353.2031243299</v>
      </c>
      <c r="AC143">
        <v>644132.73486635997</v>
      </c>
      <c r="AD143" s="23">
        <v>3713485.9379906901</v>
      </c>
      <c r="AE143">
        <v>1549869.5678460586</v>
      </c>
      <c r="AF143">
        <v>325254.6871107156</v>
      </c>
      <c r="AG143" s="23">
        <v>1875124.2549567742</v>
      </c>
      <c r="AH143">
        <v>2177662.978825727</v>
      </c>
      <c r="AI143">
        <v>457003.05551041919</v>
      </c>
      <c r="AJ143" s="23">
        <v>2634666.0343361455</v>
      </c>
      <c r="AK143">
        <v>1718649.867947551</v>
      </c>
      <c r="AL143">
        <v>360674.89349189337</v>
      </c>
      <c r="AM143" s="23">
        <v>2079324.6270954148</v>
      </c>
      <c r="AN143">
        <v>867831.93377492367</v>
      </c>
      <c r="AO143">
        <v>182122.67738051669</v>
      </c>
      <c r="AP143" s="23">
        <v>1049954.7454994696</v>
      </c>
      <c r="AQ143">
        <v>1219357.864521221</v>
      </c>
      <c r="AR143">
        <v>255893.80514404955</v>
      </c>
      <c r="AS143" s="23">
        <v>1475251.6696652707</v>
      </c>
      <c r="AT143">
        <v>12827807.269543767</v>
      </c>
    </row>
    <row r="144" spans="1:46">
      <c r="A144" s="48" t="s">
        <v>146</v>
      </c>
      <c r="B144" s="48" t="s">
        <v>275</v>
      </c>
      <c r="C144" s="49">
        <v>63</v>
      </c>
      <c r="D144" s="50">
        <v>0.498</v>
      </c>
      <c r="E144" s="49">
        <v>93.833480894140095</v>
      </c>
      <c r="F144" s="49">
        <v>0.78941364730106101</v>
      </c>
      <c r="G144" s="49">
        <v>288.006119500007</v>
      </c>
      <c r="H144" s="49">
        <v>0.802657195812012</v>
      </c>
      <c r="I144" s="61">
        <v>484375.04200000002</v>
      </c>
      <c r="J144" s="62">
        <v>143992.448</v>
      </c>
      <c r="K144" s="66">
        <v>628367.35900000005</v>
      </c>
      <c r="L144" s="62">
        <v>489895.94199999998</v>
      </c>
      <c r="M144" s="62">
        <v>145633.658</v>
      </c>
      <c r="N144" s="66">
        <v>635529.60100000002</v>
      </c>
      <c r="O144" s="62">
        <v>1045702.73</v>
      </c>
      <c r="P144" s="62">
        <v>310860.91499999998</v>
      </c>
      <c r="Q144" s="66">
        <v>1356563.64</v>
      </c>
      <c r="R144" s="62">
        <v>1032791.58</v>
      </c>
      <c r="S144" s="62">
        <v>307022.75099999999</v>
      </c>
      <c r="T144" s="66">
        <v>1339814.33</v>
      </c>
      <c r="U144" s="62">
        <v>1044563.38</v>
      </c>
      <c r="V144" s="62">
        <v>310522.26500000001</v>
      </c>
      <c r="W144" s="66">
        <v>1355085.65</v>
      </c>
      <c r="X144" s="62">
        <v>2229662.7999999998</v>
      </c>
      <c r="Y144" s="62">
        <v>662822.26100000006</v>
      </c>
      <c r="Z144" s="66">
        <v>2892485.19</v>
      </c>
      <c r="AA144" s="62">
        <v>8207845.6399999997</v>
      </c>
      <c r="AB144" s="22">
        <v>492501.12943563197</v>
      </c>
      <c r="AC144">
        <v>146408.12836527804</v>
      </c>
      <c r="AD144" s="23">
        <v>638909.12418381276</v>
      </c>
      <c r="AE144">
        <v>498114.65092578327</v>
      </c>
      <c r="AF144">
        <v>148076.87229297729</v>
      </c>
      <c r="AG144" s="23">
        <v>646191.5232187605</v>
      </c>
      <c r="AH144">
        <v>1063245.8923027674</v>
      </c>
      <c r="AI144">
        <v>316076.05378764862</v>
      </c>
      <c r="AJ144" s="23">
        <v>1379321.9460904158</v>
      </c>
      <c r="AK144">
        <v>1050118.1461139191</v>
      </c>
      <c r="AL144">
        <v>312173.49922793114</v>
      </c>
      <c r="AM144" s="23">
        <v>1362291.6453418504</v>
      </c>
      <c r="AN144">
        <v>1062087.43206951</v>
      </c>
      <c r="AO144">
        <v>315731.7225280056</v>
      </c>
      <c r="AP144" s="23">
        <v>1377819.1545975157</v>
      </c>
      <c r="AQ144">
        <v>2267068.595612125</v>
      </c>
      <c r="AR144">
        <v>673942.0572977158</v>
      </c>
      <c r="AS144" s="23">
        <v>2941010.7865269384</v>
      </c>
      <c r="AT144">
        <v>8345544.046342195</v>
      </c>
    </row>
    <row r="145" spans="1:46">
      <c r="A145" s="48" t="s">
        <v>161</v>
      </c>
      <c r="B145" s="48" t="s">
        <v>276</v>
      </c>
      <c r="C145" s="49">
        <v>80</v>
      </c>
      <c r="D145" s="50">
        <v>0.498</v>
      </c>
      <c r="E145" s="49">
        <v>197.72238917905099</v>
      </c>
      <c r="F145" s="49">
        <v>0.784823492778147</v>
      </c>
      <c r="G145" s="49">
        <v>141.71009475104299</v>
      </c>
      <c r="H145" s="49">
        <v>0.81298034472505198</v>
      </c>
      <c r="I145" s="61">
        <v>1491436.08</v>
      </c>
      <c r="J145" s="62">
        <v>1109121.6499999999</v>
      </c>
      <c r="K145" s="66">
        <v>2600557.73</v>
      </c>
      <c r="L145" s="62">
        <v>1202462.18</v>
      </c>
      <c r="M145" s="62">
        <v>894223.27399999998</v>
      </c>
      <c r="N145" s="66">
        <v>2096685.46</v>
      </c>
      <c r="O145" s="62">
        <v>2117314.1800000002</v>
      </c>
      <c r="P145" s="62">
        <v>1574562.27</v>
      </c>
      <c r="Q145" s="66">
        <v>3691876.45</v>
      </c>
      <c r="R145" s="62">
        <v>825863.35499999998</v>
      </c>
      <c r="S145" s="62">
        <v>614161.68500000006</v>
      </c>
      <c r="T145" s="66">
        <v>1440025.17</v>
      </c>
      <c r="U145" s="62">
        <v>665847.87100000004</v>
      </c>
      <c r="V145" s="62">
        <v>495164.55699999997</v>
      </c>
      <c r="W145" s="66">
        <v>1161012.43</v>
      </c>
      <c r="X145" s="62">
        <v>1172435.27</v>
      </c>
      <c r="Y145" s="62">
        <v>871893.51100000006</v>
      </c>
      <c r="Z145" s="66">
        <v>2044328.79</v>
      </c>
      <c r="AA145" s="62">
        <v>13034486</v>
      </c>
      <c r="AB145" s="22">
        <v>1544943.8369450539</v>
      </c>
      <c r="AC145">
        <v>1148913.236078928</v>
      </c>
      <c r="AD145" s="23">
        <v>2693857.0730239819</v>
      </c>
      <c r="AE145">
        <v>1245602.5202136284</v>
      </c>
      <c r="AF145">
        <v>926305.0254763905</v>
      </c>
      <c r="AG145" s="23">
        <v>2171907.5456900187</v>
      </c>
      <c r="AH145">
        <v>2193276.3564363904</v>
      </c>
      <c r="AI145">
        <v>1631052.31508987</v>
      </c>
      <c r="AJ145" s="23">
        <v>3824328.6715262602</v>
      </c>
      <c r="AK145">
        <v>855492.58011910541</v>
      </c>
      <c r="AL145">
        <v>636195.76038608374</v>
      </c>
      <c r="AM145" s="23">
        <v>1491688.4758407651</v>
      </c>
      <c r="AN145">
        <v>689736.27354865591</v>
      </c>
      <c r="AO145">
        <v>512929.41120460076</v>
      </c>
      <c r="AP145" s="23">
        <v>1202665.6847532568</v>
      </c>
      <c r="AQ145">
        <v>1214498.3448196095</v>
      </c>
      <c r="AR145">
        <v>903174.14553265495</v>
      </c>
      <c r="AS145" s="23">
        <v>2117672.4903522641</v>
      </c>
      <c r="AT145">
        <v>13502119.914119432</v>
      </c>
    </row>
    <row r="146" spans="1:46">
      <c r="A146" s="48" t="s">
        <v>178</v>
      </c>
      <c r="B146" s="48" t="s">
        <v>277</v>
      </c>
      <c r="C146" s="49">
        <v>172</v>
      </c>
      <c r="D146" s="50">
        <v>0.496</v>
      </c>
      <c r="E146" s="49">
        <v>194.56131870255899</v>
      </c>
      <c r="F146" s="49">
        <v>0.77264450515869398</v>
      </c>
      <c r="G146" s="49">
        <v>81.141980405267603</v>
      </c>
      <c r="H146" s="49">
        <v>0.81763563574637299</v>
      </c>
      <c r="I146" s="61">
        <v>320212.22700000001</v>
      </c>
      <c r="J146" s="62">
        <v>46539.554700000001</v>
      </c>
      <c r="K146" s="66">
        <v>366751.78100000002</v>
      </c>
      <c r="L146" s="62">
        <v>258247.935</v>
      </c>
      <c r="M146" s="62">
        <v>37533.645700000001</v>
      </c>
      <c r="N146" s="66">
        <v>295781.58100000001</v>
      </c>
      <c r="O146" s="62">
        <v>478100.72200000001</v>
      </c>
      <c r="P146" s="62">
        <v>69486.943599999999</v>
      </c>
      <c r="Q146" s="66">
        <v>547587.66599999997</v>
      </c>
      <c r="R146" s="62">
        <v>256967</v>
      </c>
      <c r="S146" s="62">
        <v>37347.402600000001</v>
      </c>
      <c r="T146" s="66">
        <v>294314.53100000002</v>
      </c>
      <c r="U146" s="62">
        <v>207241.247</v>
      </c>
      <c r="V146" s="62">
        <v>30120.321100000001</v>
      </c>
      <c r="W146" s="66">
        <v>237361.69699999999</v>
      </c>
      <c r="X146" s="62">
        <v>383670.96399999998</v>
      </c>
      <c r="Y146" s="62">
        <v>55762.575799999999</v>
      </c>
      <c r="Z146" s="66">
        <v>439433.54</v>
      </c>
      <c r="AA146" s="62">
        <v>2181230.65</v>
      </c>
      <c r="AB146" s="22">
        <v>338858.20159527723</v>
      </c>
      <c r="AC146">
        <v>49249.555396762415</v>
      </c>
      <c r="AD146" s="23">
        <v>388107.75699203968</v>
      </c>
      <c r="AE146">
        <v>273285.72641076264</v>
      </c>
      <c r="AF146">
        <v>39719.231853363046</v>
      </c>
      <c r="AG146" s="23">
        <v>313004.95826412563</v>
      </c>
      <c r="AH146">
        <v>505940.55260537943</v>
      </c>
      <c r="AI146">
        <v>73533.172039408295</v>
      </c>
      <c r="AJ146" s="23">
        <v>579473.72464478761</v>
      </c>
      <c r="AK146">
        <v>271930.20159365988</v>
      </c>
      <c r="AL146">
        <v>39522.143798822966</v>
      </c>
      <c r="AM146" s="23">
        <v>311452.48150301777</v>
      </c>
      <c r="AN146">
        <v>219308.91602627115</v>
      </c>
      <c r="AO146">
        <v>31874.228953137273</v>
      </c>
      <c r="AP146" s="23">
        <v>251183.28108994331</v>
      </c>
      <c r="AQ146">
        <v>406012.14508483425</v>
      </c>
      <c r="AR146">
        <v>59009.633523078664</v>
      </c>
      <c r="AS146" s="23">
        <v>465021.77860791283</v>
      </c>
      <c r="AT146">
        <v>2308243.8313802388</v>
      </c>
    </row>
    <row r="147" spans="1:46">
      <c r="A147" s="49" t="s">
        <v>142</v>
      </c>
      <c r="B147" s="49" t="s">
        <v>278</v>
      </c>
      <c r="C147" s="49">
        <v>12</v>
      </c>
      <c r="D147" s="50">
        <v>0.49</v>
      </c>
      <c r="E147" s="49">
        <v>85.118239292909195</v>
      </c>
      <c r="F147" s="49">
        <v>0.79305274924577596</v>
      </c>
      <c r="G147" s="49">
        <v>168.96622853445101</v>
      </c>
      <c r="H147" s="49">
        <v>0.81153042843064505</v>
      </c>
      <c r="I147" s="61">
        <v>353334.859</v>
      </c>
      <c r="J147" s="62">
        <v>444190.09</v>
      </c>
      <c r="K147" s="66">
        <v>797524.94900000002</v>
      </c>
      <c r="L147" s="62">
        <v>371183.46399999998</v>
      </c>
      <c r="M147" s="62">
        <v>466628.17700000003</v>
      </c>
      <c r="N147" s="66">
        <v>837811.64099999995</v>
      </c>
      <c r="O147" s="62">
        <v>691172.755</v>
      </c>
      <c r="P147" s="62">
        <v>868898.245</v>
      </c>
      <c r="Q147" s="66">
        <v>1560071</v>
      </c>
      <c r="R147" s="62">
        <v>224789.20699999999</v>
      </c>
      <c r="S147" s="62">
        <v>282590.76199999999</v>
      </c>
      <c r="T147" s="66">
        <v>507379.97</v>
      </c>
      <c r="U147" s="62">
        <v>236144.36199999999</v>
      </c>
      <c r="V147" s="62">
        <v>296865.76500000001</v>
      </c>
      <c r="W147" s="66">
        <v>533010.12699999998</v>
      </c>
      <c r="X147" s="62">
        <v>439719.42300000001</v>
      </c>
      <c r="Y147" s="62">
        <v>552787.25399999996</v>
      </c>
      <c r="Z147" s="66">
        <v>992506.67700000003</v>
      </c>
      <c r="AA147" s="62">
        <v>5228304.4000000004</v>
      </c>
      <c r="AB147" s="22">
        <v>361567.36088324629</v>
      </c>
      <c r="AC147">
        <v>454539.46675143443</v>
      </c>
      <c r="AD147" s="23">
        <v>816106.82763468055</v>
      </c>
      <c r="AE147">
        <v>379831.82795711019</v>
      </c>
      <c r="AF147">
        <v>477500.3489598108</v>
      </c>
      <c r="AG147" s="23">
        <v>857332.17691692105</v>
      </c>
      <c r="AH147">
        <v>707276.68786461873</v>
      </c>
      <c r="AI147">
        <v>889143.08085645328</v>
      </c>
      <c r="AJ147" s="23">
        <v>1596419.7687210722</v>
      </c>
      <c r="AK147">
        <v>230026.66847690128</v>
      </c>
      <c r="AL147">
        <v>289174.96666881128</v>
      </c>
      <c r="AM147" s="23">
        <v>519201.63514571247</v>
      </c>
      <c r="AN147">
        <v>241646.3917121354</v>
      </c>
      <c r="AO147">
        <v>303782.56855811318</v>
      </c>
      <c r="AP147" s="23">
        <v>545428.96027024859</v>
      </c>
      <c r="AQ147">
        <v>449964.63640639</v>
      </c>
      <c r="AR147">
        <v>565666.88357138657</v>
      </c>
      <c r="AS147" s="23">
        <v>1015631.5199777766</v>
      </c>
      <c r="AT147">
        <v>5350120.9291946748</v>
      </c>
    </row>
    <row r="148" spans="1:46">
      <c r="A148" s="49" t="s">
        <v>142</v>
      </c>
      <c r="B148" s="49" t="s">
        <v>279</v>
      </c>
      <c r="C148" s="49">
        <v>4</v>
      </c>
      <c r="D148" s="50">
        <v>0.48699999999999999</v>
      </c>
      <c r="E148" s="49">
        <v>10.8590504992854</v>
      </c>
      <c r="F148" s="49">
        <v>0.79746848229147205</v>
      </c>
      <c r="G148" s="49">
        <v>57.642099551223303</v>
      </c>
      <c r="H148" s="49">
        <v>0.81921222199688604</v>
      </c>
      <c r="I148" s="61">
        <v>349404.136</v>
      </c>
      <c r="J148" s="62">
        <v>236734.12</v>
      </c>
      <c r="K148" s="66">
        <v>586138.38899999997</v>
      </c>
      <c r="L148" s="62">
        <v>129579.473</v>
      </c>
      <c r="M148" s="62">
        <v>87794.828500000003</v>
      </c>
      <c r="N148" s="66">
        <v>217374.302</v>
      </c>
      <c r="O148" s="62">
        <v>780703.54299999995</v>
      </c>
      <c r="P148" s="62">
        <v>528955.41799999995</v>
      </c>
      <c r="Q148" s="66">
        <v>1309658.96</v>
      </c>
      <c r="R148" s="62">
        <v>197752.69399999999</v>
      </c>
      <c r="S148" s="62">
        <v>133984.62700000001</v>
      </c>
      <c r="T148" s="66">
        <v>331737.32199999999</v>
      </c>
      <c r="U148" s="62">
        <v>73338.2552</v>
      </c>
      <c r="V148" s="62">
        <v>49689.309699999998</v>
      </c>
      <c r="W148" s="66">
        <v>123027.565</v>
      </c>
      <c r="X148" s="62">
        <v>441855.554</v>
      </c>
      <c r="Y148" s="62">
        <v>299373.38500000001</v>
      </c>
      <c r="Z148" s="66">
        <v>741228.93900000001</v>
      </c>
      <c r="AA148" s="62">
        <v>3309165.52</v>
      </c>
      <c r="AB148" s="22">
        <v>358930.97371586983</v>
      </c>
      <c r="AC148">
        <v>243188.90150437434</v>
      </c>
      <c r="AD148" s="23">
        <v>602120.011593231</v>
      </c>
      <c r="AE148">
        <v>133112.58140117739</v>
      </c>
      <c r="AF148">
        <v>90188.638323735722</v>
      </c>
      <c r="AG148" s="23">
        <v>223301.2197249131</v>
      </c>
      <c r="AH148">
        <v>801990.17022346787</v>
      </c>
      <c r="AI148">
        <v>543377.89303449716</v>
      </c>
      <c r="AJ148" s="23">
        <v>1345368.063257965</v>
      </c>
      <c r="AK148">
        <v>203144.61041554366</v>
      </c>
      <c r="AL148">
        <v>137637.84622112801</v>
      </c>
      <c r="AM148" s="23">
        <v>340782.45663667168</v>
      </c>
      <c r="AN148">
        <v>75337.89281058182</v>
      </c>
      <c r="AO148">
        <v>51044.136201605885</v>
      </c>
      <c r="AP148" s="23">
        <v>126382.0290121877</v>
      </c>
      <c r="AQ148">
        <v>453903.16729649639</v>
      </c>
      <c r="AR148">
        <v>307536.08619229449</v>
      </c>
      <c r="AS148" s="23">
        <v>761439.25348879083</v>
      </c>
      <c r="AT148">
        <v>3399393.0746256551</v>
      </c>
    </row>
    <row r="149" spans="1:46">
      <c r="A149" s="48" t="s">
        <v>146</v>
      </c>
      <c r="B149" s="48" t="s">
        <v>280</v>
      </c>
      <c r="C149" s="49">
        <v>1</v>
      </c>
      <c r="D149" s="50">
        <v>0.48299999999999998</v>
      </c>
      <c r="E149" s="49">
        <v>106.429208296529</v>
      </c>
      <c r="F149" s="49">
        <v>0.78864475454110605</v>
      </c>
      <c r="G149" s="49">
        <v>188.881311200938</v>
      </c>
      <c r="H149" s="49">
        <v>0.80944593148432498</v>
      </c>
      <c r="I149" s="61">
        <v>567323.772</v>
      </c>
      <c r="J149" s="62">
        <v>1864852.28</v>
      </c>
      <c r="K149" s="66">
        <v>2432176.1800000002</v>
      </c>
      <c r="L149" s="62">
        <v>111903.336</v>
      </c>
      <c r="M149" s="62">
        <v>367837.81099999999</v>
      </c>
      <c r="N149" s="66">
        <v>479741.147</v>
      </c>
      <c r="O149" s="62">
        <v>470743.69699999999</v>
      </c>
      <c r="P149" s="62">
        <v>1547383.59</v>
      </c>
      <c r="Q149" s="66">
        <v>2018127.29</v>
      </c>
      <c r="R149" s="62">
        <v>516361.37400000001</v>
      </c>
      <c r="S149" s="62">
        <v>1697333.56</v>
      </c>
      <c r="T149" s="66">
        <v>2213695.0699999998</v>
      </c>
      <c r="U149" s="62">
        <v>101851.147</v>
      </c>
      <c r="V149" s="62">
        <v>334795.217</v>
      </c>
      <c r="W149" s="66">
        <v>436646.23200000002</v>
      </c>
      <c r="X149" s="62">
        <v>428457.10100000002</v>
      </c>
      <c r="Y149" s="62">
        <v>1408382.88</v>
      </c>
      <c r="Z149" s="66">
        <v>1836839.98</v>
      </c>
      <c r="AA149" s="62">
        <v>9417225.9199999999</v>
      </c>
      <c r="AB149" s="22">
        <v>582287.41989380738</v>
      </c>
      <c r="AC149">
        <v>1914039.3471661354</v>
      </c>
      <c r="AD149" s="23">
        <v>2496326.9018071508</v>
      </c>
      <c r="AE149">
        <v>114854.88154049359</v>
      </c>
      <c r="AF149">
        <v>377539.84650575923</v>
      </c>
      <c r="AG149" s="23">
        <v>492394.7280462528</v>
      </c>
      <c r="AH149">
        <v>483159.96292406315</v>
      </c>
      <c r="AI149">
        <v>1588197.1532976038</v>
      </c>
      <c r="AJ149" s="23">
        <v>2071357.1162216673</v>
      </c>
      <c r="AK149">
        <v>529980.84462566371</v>
      </c>
      <c r="AL149">
        <v>1742102.1798275323</v>
      </c>
      <c r="AM149" s="23">
        <v>2272083.1592004038</v>
      </c>
      <c r="AN149">
        <v>104537.55735285215</v>
      </c>
      <c r="AO149">
        <v>343625.7260792767</v>
      </c>
      <c r="AP149" s="23">
        <v>448163.14868492121</v>
      </c>
      <c r="AQ149">
        <v>439758.02211961313</v>
      </c>
      <c r="AR149">
        <v>1445530.1786245017</v>
      </c>
      <c r="AS149" s="23">
        <v>1885288.2007441148</v>
      </c>
      <c r="AT149">
        <v>9665613.2681792304</v>
      </c>
    </row>
    <row r="150" spans="1:46">
      <c r="A150" s="49" t="s">
        <v>160</v>
      </c>
      <c r="B150" s="49" t="s">
        <v>241</v>
      </c>
      <c r="C150" s="49">
        <v>21</v>
      </c>
      <c r="D150" s="50">
        <v>0.48299999999999998</v>
      </c>
      <c r="E150" s="49">
        <v>148.07346823919099</v>
      </c>
      <c r="F150" s="49">
        <v>0.78511873149087497</v>
      </c>
      <c r="G150" s="49">
        <v>159.25026671933699</v>
      </c>
      <c r="H150" s="49">
        <v>0.81216644018836903</v>
      </c>
      <c r="I150" s="61">
        <v>1539396.02</v>
      </c>
      <c r="J150" s="62">
        <v>744844.37800000003</v>
      </c>
      <c r="K150" s="66">
        <v>2284240.4</v>
      </c>
      <c r="L150" s="62">
        <v>933262.46299999999</v>
      </c>
      <c r="M150" s="62">
        <v>451563.64</v>
      </c>
      <c r="N150" s="66">
        <v>1384826.1</v>
      </c>
      <c r="O150" s="62">
        <v>1605666.58</v>
      </c>
      <c r="P150" s="62">
        <v>776909.83299999998</v>
      </c>
      <c r="Q150" s="66">
        <v>2382576.41</v>
      </c>
      <c r="R150" s="62">
        <v>1704819.84</v>
      </c>
      <c r="S150" s="62">
        <v>824885.61600000004</v>
      </c>
      <c r="T150" s="66">
        <v>2529705.46</v>
      </c>
      <c r="U150" s="62">
        <v>1033550.97</v>
      </c>
      <c r="V150" s="62">
        <v>500088.87599999999</v>
      </c>
      <c r="W150" s="66">
        <v>1533639.84</v>
      </c>
      <c r="X150" s="62">
        <v>1778211.8400000001</v>
      </c>
      <c r="Y150" s="62">
        <v>860396.64899999998</v>
      </c>
      <c r="Z150" s="66">
        <v>2638608.62</v>
      </c>
      <c r="AA150" s="62">
        <v>12753596.699999999</v>
      </c>
      <c r="AB150" s="22">
        <v>1592428.9353611926</v>
      </c>
      <c r="AC150">
        <v>770504.61644878681</v>
      </c>
      <c r="AD150" s="23">
        <v>2362933.5518099796</v>
      </c>
      <c r="AE150">
        <v>965413.79302012036</v>
      </c>
      <c r="AF150">
        <v>467120.21934822469</v>
      </c>
      <c r="AG150" s="23">
        <v>1432534.0123683447</v>
      </c>
      <c r="AH150">
        <v>1660982.5447755205</v>
      </c>
      <c r="AI150">
        <v>803674.74084864359</v>
      </c>
      <c r="AJ150" s="23">
        <v>2464657.2856241637</v>
      </c>
      <c r="AK150">
        <v>1763551.684730025</v>
      </c>
      <c r="AL150">
        <v>853303.31256750587</v>
      </c>
      <c r="AM150" s="23">
        <v>2616854.9972975305</v>
      </c>
      <c r="AN150">
        <v>1069157.2809251803</v>
      </c>
      <c r="AO150">
        <v>517317.17223035364</v>
      </c>
      <c r="AP150" s="23">
        <v>1586474.4531555339</v>
      </c>
      <c r="AQ150">
        <v>1839472.0764526478</v>
      </c>
      <c r="AR150">
        <v>890037.71684538329</v>
      </c>
      <c r="AS150" s="23">
        <v>2729509.9284981173</v>
      </c>
      <c r="AT150">
        <v>13192964.093553584</v>
      </c>
    </row>
    <row r="151" spans="1:46">
      <c r="A151" s="49" t="s">
        <v>142</v>
      </c>
      <c r="B151" s="49" t="s">
        <v>281</v>
      </c>
      <c r="C151" s="49">
        <v>13</v>
      </c>
      <c r="D151" s="50">
        <v>0.47899999999999998</v>
      </c>
      <c r="E151" s="49">
        <v>43.240642384152899</v>
      </c>
      <c r="F151" s="49">
        <v>0.79535310268644599</v>
      </c>
      <c r="G151" s="49">
        <v>120.002826072555</v>
      </c>
      <c r="H151" s="49">
        <v>0.81373531253508202</v>
      </c>
      <c r="I151" s="61">
        <v>514161.50900000002</v>
      </c>
      <c r="J151" s="62">
        <v>62565.390899999999</v>
      </c>
      <c r="K151" s="66">
        <v>576726.9</v>
      </c>
      <c r="L151" s="62">
        <v>403978.42499999999</v>
      </c>
      <c r="M151" s="62">
        <v>49157.916100000002</v>
      </c>
      <c r="N151" s="66">
        <v>453136.342</v>
      </c>
      <c r="O151" s="62">
        <v>747048.99100000004</v>
      </c>
      <c r="P151" s="62">
        <v>90904.145699999994</v>
      </c>
      <c r="Q151" s="66">
        <v>837953.13600000006</v>
      </c>
      <c r="R151" s="62">
        <v>471155.21799999999</v>
      </c>
      <c r="S151" s="62">
        <v>57332.2336</v>
      </c>
      <c r="T151" s="66">
        <v>528487.451</v>
      </c>
      <c r="U151" s="62">
        <v>370188.31599999999</v>
      </c>
      <c r="V151" s="62">
        <v>45046.064599999998</v>
      </c>
      <c r="W151" s="66">
        <v>415234.38099999999</v>
      </c>
      <c r="X151" s="62">
        <v>684563.17299999995</v>
      </c>
      <c r="Y151" s="62">
        <v>83300.609800000006</v>
      </c>
      <c r="Z151" s="66">
        <v>767863.78300000005</v>
      </c>
      <c r="AA151" s="62">
        <v>3579402.18</v>
      </c>
      <c r="AB151" s="22">
        <v>526044.81593008875</v>
      </c>
      <c r="AC151">
        <v>64011.402882778806</v>
      </c>
      <c r="AD151" s="23">
        <v>590056.21881286753</v>
      </c>
      <c r="AE151">
        <v>413315.17937471491</v>
      </c>
      <c r="AF151">
        <v>50294.05444216435</v>
      </c>
      <c r="AG151" s="23">
        <v>463609.23381687934</v>
      </c>
      <c r="AH151">
        <v>764314.79530740052</v>
      </c>
      <c r="AI151">
        <v>93005.123338061952</v>
      </c>
      <c r="AJ151" s="23">
        <v>857319.9186454626</v>
      </c>
      <c r="AK151">
        <v>482044.562278411</v>
      </c>
      <c r="AL151">
        <v>58657.296812356071</v>
      </c>
      <c r="AM151" s="23">
        <v>540701.85909076699</v>
      </c>
      <c r="AN151">
        <v>378744.11270216387</v>
      </c>
      <c r="AO151">
        <v>46087.169733168826</v>
      </c>
      <c r="AP151" s="23">
        <v>424831.28243533266</v>
      </c>
      <c r="AQ151">
        <v>700384.80463836808</v>
      </c>
      <c r="AR151">
        <v>85225.854434526584</v>
      </c>
      <c r="AS151" s="23">
        <v>785610.65907289472</v>
      </c>
      <c r="AT151">
        <v>3662129.3615199593</v>
      </c>
    </row>
    <row r="152" spans="1:46">
      <c r="A152" s="49" t="s">
        <v>161</v>
      </c>
      <c r="B152" s="49" t="s">
        <v>282</v>
      </c>
      <c r="C152" s="49">
        <v>6</v>
      </c>
      <c r="D152" s="50">
        <v>0.47599999999999998</v>
      </c>
      <c r="E152" s="49">
        <v>8.2038794973594396</v>
      </c>
      <c r="F152" s="49">
        <v>0.80125317324415302</v>
      </c>
      <c r="G152" s="49">
        <v>49.690310195195103</v>
      </c>
      <c r="H152" s="49">
        <v>0.81905115032555498</v>
      </c>
      <c r="I152" s="61">
        <v>410415.83299999998</v>
      </c>
      <c r="J152" s="62">
        <v>375328.40399999998</v>
      </c>
      <c r="K152" s="66">
        <v>785744.23699999996</v>
      </c>
      <c r="L152" s="62">
        <v>431409.842</v>
      </c>
      <c r="M152" s="62">
        <v>394527.473</v>
      </c>
      <c r="N152" s="66">
        <v>825937.31499999994</v>
      </c>
      <c r="O152" s="62">
        <v>428000.83</v>
      </c>
      <c r="P152" s="62">
        <v>391409.90299999999</v>
      </c>
      <c r="Q152" s="66">
        <v>819410.86699999997</v>
      </c>
      <c r="R152" s="62">
        <v>113489.77499999999</v>
      </c>
      <c r="S152" s="62">
        <v>103787.336</v>
      </c>
      <c r="T152" s="66">
        <v>217277.111</v>
      </c>
      <c r="U152" s="62">
        <v>119295.15300000001</v>
      </c>
      <c r="V152" s="62">
        <v>109096.261</v>
      </c>
      <c r="W152" s="66">
        <v>228391.41399999999</v>
      </c>
      <c r="X152" s="62">
        <v>118352.533</v>
      </c>
      <c r="Y152" s="62">
        <v>108234.204</v>
      </c>
      <c r="Z152" s="66">
        <v>226586.73699999999</v>
      </c>
      <c r="AA152" s="62">
        <v>3103347.56</v>
      </c>
      <c r="AB152" s="22">
        <v>419532.26714427921</v>
      </c>
      <c r="AC152">
        <v>383665.45180351712</v>
      </c>
      <c r="AD152" s="23">
        <v>803197.71894779603</v>
      </c>
      <c r="AE152">
        <v>440992.60945554468</v>
      </c>
      <c r="AF152">
        <v>403290.98365909944</v>
      </c>
      <c r="AG152" s="23">
        <v>844283.59311464417</v>
      </c>
      <c r="AH152">
        <v>437507.87395533297</v>
      </c>
      <c r="AI152">
        <v>400104.16454780562</v>
      </c>
      <c r="AJ152" s="23">
        <v>837612.17484931194</v>
      </c>
      <c r="AK152">
        <v>116010.68703721539</v>
      </c>
      <c r="AL152">
        <v>106092.73003663238</v>
      </c>
      <c r="AM152" s="23">
        <v>222103.41707384781</v>
      </c>
      <c r="AN152">
        <v>121945.01788905106</v>
      </c>
      <c r="AO152">
        <v>111519.58043100701</v>
      </c>
      <c r="AP152" s="23">
        <v>233464.59832005805</v>
      </c>
      <c r="AQ152">
        <v>120981.45948150755</v>
      </c>
      <c r="AR152">
        <v>110638.37511220785</v>
      </c>
      <c r="AS152" s="23">
        <v>231619.83459371544</v>
      </c>
      <c r="AT152">
        <v>3172281.2141878172</v>
      </c>
    </row>
    <row r="153" spans="1:46">
      <c r="A153" s="49" t="s">
        <v>142</v>
      </c>
      <c r="B153" s="49" t="s">
        <v>283</v>
      </c>
      <c r="C153" s="49">
        <v>15</v>
      </c>
      <c r="D153" s="50">
        <v>0.47599999999999998</v>
      </c>
      <c r="E153" s="49">
        <v>62.474981467550897</v>
      </c>
      <c r="F153" s="49">
        <v>0.79472669358207504</v>
      </c>
      <c r="G153" s="49">
        <v>78.867924395798497</v>
      </c>
      <c r="H153" s="49">
        <v>0.81766801915667597</v>
      </c>
      <c r="I153" s="61">
        <v>561538.63800000004</v>
      </c>
      <c r="J153" s="62">
        <v>276823.89399999997</v>
      </c>
      <c r="K153" s="66">
        <v>838362.4</v>
      </c>
      <c r="L153" s="62">
        <v>90851.204700000002</v>
      </c>
      <c r="M153" s="62">
        <v>44787.269699999997</v>
      </c>
      <c r="N153" s="66">
        <v>135638.47399999999</v>
      </c>
      <c r="O153" s="62">
        <v>732621.83799999999</v>
      </c>
      <c r="P153" s="62">
        <v>361163.44400000002</v>
      </c>
      <c r="Q153" s="66">
        <v>1093785.28</v>
      </c>
      <c r="R153" s="62">
        <v>437861.92200000002</v>
      </c>
      <c r="S153" s="62">
        <v>215854.462</v>
      </c>
      <c r="T153" s="66">
        <v>653716.38399999996</v>
      </c>
      <c r="U153" s="62">
        <v>70841.560299999997</v>
      </c>
      <c r="V153" s="62">
        <v>34923.0792</v>
      </c>
      <c r="W153" s="66">
        <v>105764.639</v>
      </c>
      <c r="X153" s="62">
        <v>571264.71100000001</v>
      </c>
      <c r="Y153" s="62">
        <v>281618.59899999999</v>
      </c>
      <c r="Z153" s="66">
        <v>852883.31</v>
      </c>
      <c r="AA153" s="62">
        <v>3680150.34</v>
      </c>
      <c r="AB153" s="22">
        <v>577748.53854159347</v>
      </c>
      <c r="AC153">
        <v>284814.9520760295</v>
      </c>
      <c r="AD153" s="23">
        <v>862563.35450169723</v>
      </c>
      <c r="AE153">
        <v>93473.800741886109</v>
      </c>
      <c r="AF153">
        <v>46080.141029346894</v>
      </c>
      <c r="AG153" s="23">
        <v>139553.94177123302</v>
      </c>
      <c r="AH153">
        <v>753770.38689971983</v>
      </c>
      <c r="AI153">
        <v>371589.12695400621</v>
      </c>
      <c r="AJ153" s="23">
        <v>1125359.513853726</v>
      </c>
      <c r="AK153">
        <v>450501.65431020677</v>
      </c>
      <c r="AL153">
        <v>222085.51936046133</v>
      </c>
      <c r="AM153" s="23">
        <v>672587.17367066804</v>
      </c>
      <c r="AN153">
        <v>72886.539208676491</v>
      </c>
      <c r="AO153">
        <v>35931.201491781809</v>
      </c>
      <c r="AP153" s="23">
        <v>108817.74070045828</v>
      </c>
      <c r="AQ153">
        <v>587755.37305270741</v>
      </c>
      <c r="AR153">
        <v>289748.06545595248</v>
      </c>
      <c r="AS153" s="23">
        <v>877503.43850865983</v>
      </c>
      <c r="AT153">
        <v>3786385.0132789249</v>
      </c>
    </row>
    <row r="154" spans="1:46">
      <c r="A154" s="48" t="s">
        <v>142</v>
      </c>
      <c r="B154" s="48" t="s">
        <v>284</v>
      </c>
      <c r="C154" s="49">
        <v>0</v>
      </c>
      <c r="D154" s="50">
        <v>0.47</v>
      </c>
      <c r="E154" s="49">
        <v>85.339500274050806</v>
      </c>
      <c r="F154" s="49">
        <v>0.79389110779111605</v>
      </c>
      <c r="G154" s="49">
        <v>132.07937592961301</v>
      </c>
      <c r="H154" s="49">
        <v>0.812375507544982</v>
      </c>
      <c r="I154" s="61">
        <v>732277.23100000003</v>
      </c>
      <c r="J154" s="62">
        <v>-999</v>
      </c>
      <c r="K154" s="66">
        <v>732277.23100000003</v>
      </c>
      <c r="L154" s="62">
        <v>335897.734</v>
      </c>
      <c r="M154" s="62">
        <v>-999</v>
      </c>
      <c r="N154" s="66">
        <v>335897.734</v>
      </c>
      <c r="O154" s="62">
        <v>862203.17</v>
      </c>
      <c r="P154" s="62">
        <v>-999</v>
      </c>
      <c r="Q154" s="66">
        <v>862203.17</v>
      </c>
      <c r="R154" s="62">
        <v>831006.39099999995</v>
      </c>
      <c r="S154" s="62">
        <v>-999</v>
      </c>
      <c r="T154" s="66">
        <v>831006.39099999995</v>
      </c>
      <c r="U154" s="62">
        <v>381185.18</v>
      </c>
      <c r="V154" s="62">
        <v>-999</v>
      </c>
      <c r="W154" s="66">
        <v>381185.18</v>
      </c>
      <c r="X154" s="62">
        <v>978449.45299999998</v>
      </c>
      <c r="Y154" s="62">
        <v>-999</v>
      </c>
      <c r="Z154" s="66">
        <v>978449.45299999998</v>
      </c>
      <c r="AA154" s="62">
        <v>4121019.29</v>
      </c>
      <c r="AB154" s="22">
        <v>749327.05643258989</v>
      </c>
      <c r="AC154">
        <v>-999</v>
      </c>
      <c r="AD154" s="23">
        <v>749327.05643258989</v>
      </c>
      <c r="AE154">
        <v>343718.53985493124</v>
      </c>
      <c r="AF154">
        <v>-999</v>
      </c>
      <c r="AG154" s="23">
        <v>343718.53985493124</v>
      </c>
      <c r="AH154">
        <v>882278.09914627799</v>
      </c>
      <c r="AI154">
        <v>-999</v>
      </c>
      <c r="AJ154" s="23">
        <v>882278.09914627799</v>
      </c>
      <c r="AK154">
        <v>850354.95682895812</v>
      </c>
      <c r="AL154">
        <v>-999</v>
      </c>
      <c r="AM154" s="23">
        <v>850354.95682895812</v>
      </c>
      <c r="AN154">
        <v>390060.42609373061</v>
      </c>
      <c r="AO154">
        <v>-999</v>
      </c>
      <c r="AP154" s="23">
        <v>390060.42609373061</v>
      </c>
      <c r="AQ154">
        <v>1001230.9784449191</v>
      </c>
      <c r="AR154">
        <v>-999</v>
      </c>
      <c r="AS154" s="23">
        <v>1001230.9784449191</v>
      </c>
      <c r="AT154">
        <v>4216970.1920362962</v>
      </c>
    </row>
    <row r="155" spans="1:46">
      <c r="A155" s="48" t="s">
        <v>160</v>
      </c>
      <c r="B155" s="48" t="s">
        <v>285</v>
      </c>
      <c r="C155" s="49">
        <v>35</v>
      </c>
      <c r="D155" s="50">
        <v>0.46500000000000002</v>
      </c>
      <c r="E155" s="49">
        <v>252.36690058187699</v>
      </c>
      <c r="F155" s="49">
        <v>0.773150091010808</v>
      </c>
      <c r="G155" s="49">
        <v>99.2693045249449</v>
      </c>
      <c r="H155" s="49">
        <v>0.816372780970953</v>
      </c>
      <c r="I155" s="61">
        <v>8722669.9299999997</v>
      </c>
      <c r="J155" s="62">
        <v>4946826.93</v>
      </c>
      <c r="K155" s="66">
        <v>13669496.9</v>
      </c>
      <c r="L155" s="62">
        <v>4575107.4400000004</v>
      </c>
      <c r="M155" s="62">
        <v>2594648.65</v>
      </c>
      <c r="N155" s="66">
        <v>7169756.21</v>
      </c>
      <c r="O155" s="62">
        <v>5914346.8899999997</v>
      </c>
      <c r="P155" s="62">
        <v>3354162.25</v>
      </c>
      <c r="Q155" s="66">
        <v>9268509.1400000006</v>
      </c>
      <c r="R155" s="62">
        <v>1669268.92</v>
      </c>
      <c r="S155" s="62">
        <v>946680.80500000005</v>
      </c>
      <c r="T155" s="66">
        <v>2615949.7200000002</v>
      </c>
      <c r="U155" s="62">
        <v>875544.34</v>
      </c>
      <c r="V155" s="62">
        <v>496541.29800000001</v>
      </c>
      <c r="W155" s="66">
        <v>1372085.77</v>
      </c>
      <c r="X155" s="62">
        <v>1131836.3400000001</v>
      </c>
      <c r="Y155" s="62">
        <v>641890.40700000001</v>
      </c>
      <c r="Z155" s="66">
        <v>1773726.88</v>
      </c>
      <c r="AA155" s="62">
        <v>35869524.399999999</v>
      </c>
      <c r="AB155" s="22">
        <v>9210307.7978195362</v>
      </c>
      <c r="AC155">
        <v>5223377.5888345428</v>
      </c>
      <c r="AD155" s="23">
        <v>14433685.386654077</v>
      </c>
      <c r="AE155">
        <v>4830877.2460560631</v>
      </c>
      <c r="AF155">
        <v>2739701.5857877848</v>
      </c>
      <c r="AG155" s="23">
        <v>7570578.9677441576</v>
      </c>
      <c r="AH155">
        <v>6244986.42092124</v>
      </c>
      <c r="AI155">
        <v>3541675.5404909374</v>
      </c>
      <c r="AJ155" s="23">
        <v>9786661.9614121784</v>
      </c>
      <c r="AK155">
        <v>1762588.8253135625</v>
      </c>
      <c r="AL155">
        <v>999604.66938573122</v>
      </c>
      <c r="AM155" s="23">
        <v>2762193.4946992942</v>
      </c>
      <c r="AN155">
        <v>924491.34526126611</v>
      </c>
      <c r="AO155">
        <v>524300.26807186368</v>
      </c>
      <c r="AP155" s="23">
        <v>1448791.7492334393</v>
      </c>
      <c r="AQ155">
        <v>1195111.2622319269</v>
      </c>
      <c r="AR155">
        <v>677775.06961646816</v>
      </c>
      <c r="AS155" s="23">
        <v>1872886.4677487046</v>
      </c>
      <c r="AT155">
        <v>37874797.878001511</v>
      </c>
    </row>
    <row r="156" spans="1:46">
      <c r="A156" s="48" t="s">
        <v>153</v>
      </c>
      <c r="B156" s="48" t="s">
        <v>286</v>
      </c>
      <c r="C156" s="49">
        <v>72</v>
      </c>
      <c r="D156" s="50">
        <v>0.46500000000000002</v>
      </c>
      <c r="E156" s="49">
        <v>202.620689898439</v>
      </c>
      <c r="F156" s="49">
        <v>0.77684554622867097</v>
      </c>
      <c r="G156" s="49">
        <v>120.50891588541501</v>
      </c>
      <c r="H156" s="49">
        <v>0.81490867977609405</v>
      </c>
      <c r="I156" s="61">
        <v>6199857.8700000001</v>
      </c>
      <c r="J156" s="62">
        <v>-999</v>
      </c>
      <c r="K156" s="66">
        <v>6199857.8700000001</v>
      </c>
      <c r="L156" s="62">
        <v>2829111.79</v>
      </c>
      <c r="M156" s="62">
        <v>-999</v>
      </c>
      <c r="N156" s="66">
        <v>2829111.79</v>
      </c>
      <c r="O156" s="62">
        <v>4129288.88</v>
      </c>
      <c r="P156" s="62">
        <v>-999</v>
      </c>
      <c r="Q156" s="66">
        <v>4129288.88</v>
      </c>
      <c r="R156" s="62">
        <v>4589212.03</v>
      </c>
      <c r="S156" s="62">
        <v>-999</v>
      </c>
      <c r="T156" s="66">
        <v>4589212.03</v>
      </c>
      <c r="U156" s="62">
        <v>2094143.82</v>
      </c>
      <c r="V156" s="62">
        <v>-999</v>
      </c>
      <c r="W156" s="66">
        <v>2094143.82</v>
      </c>
      <c r="X156" s="62">
        <v>3056551.1</v>
      </c>
      <c r="Y156" s="62">
        <v>-999</v>
      </c>
      <c r="Z156" s="66">
        <v>3056551.1</v>
      </c>
      <c r="AA156" s="62">
        <v>22898165.399999999</v>
      </c>
      <c r="AB156" s="22">
        <v>6503632.5622819522</v>
      </c>
      <c r="AC156">
        <v>-999</v>
      </c>
      <c r="AD156" s="23">
        <v>6503632.5622819522</v>
      </c>
      <c r="AE156">
        <v>2967729.8952384037</v>
      </c>
      <c r="AF156">
        <v>-999</v>
      </c>
      <c r="AG156" s="23">
        <v>2967729.8952384037</v>
      </c>
      <c r="AH156">
        <v>4331611.8181701386</v>
      </c>
      <c r="AI156">
        <v>-999</v>
      </c>
      <c r="AJ156" s="23">
        <v>4331611.8181701386</v>
      </c>
      <c r="AK156">
        <v>4814069.8424913054</v>
      </c>
      <c r="AL156">
        <v>-999</v>
      </c>
      <c r="AM156" s="23">
        <v>4814069.8424913054</v>
      </c>
      <c r="AN156">
        <v>2196750.6678388226</v>
      </c>
      <c r="AO156">
        <v>-999</v>
      </c>
      <c r="AP156" s="23">
        <v>2196750.6678388226</v>
      </c>
      <c r="AQ156">
        <v>3206313.0614085123</v>
      </c>
      <c r="AR156">
        <v>-999</v>
      </c>
      <c r="AS156" s="23">
        <v>3206313.0614085123</v>
      </c>
      <c r="AT156">
        <v>24020107.738903869</v>
      </c>
    </row>
    <row r="157" spans="1:46">
      <c r="A157" s="49" t="s">
        <v>146</v>
      </c>
      <c r="B157" s="49" t="s">
        <v>287</v>
      </c>
      <c r="C157" s="49">
        <v>5</v>
      </c>
      <c r="D157" s="50">
        <v>0.46300000000000002</v>
      </c>
      <c r="E157" s="49">
        <v>68.962231094108006</v>
      </c>
      <c r="F157" s="49">
        <v>0.79167182254858703</v>
      </c>
      <c r="G157" s="49">
        <v>176.58547999435399</v>
      </c>
      <c r="H157" s="49">
        <v>0.81096683479434095</v>
      </c>
      <c r="I157" s="61">
        <v>50008.550199999998</v>
      </c>
      <c r="J157" s="62">
        <v>1081669.73</v>
      </c>
      <c r="K157" s="66">
        <v>1131678.28</v>
      </c>
      <c r="L157" s="62">
        <v>34563.215700000001</v>
      </c>
      <c r="M157" s="62">
        <v>747593.56700000004</v>
      </c>
      <c r="N157" s="66">
        <v>782156.78200000001</v>
      </c>
      <c r="O157" s="62">
        <v>67488.697199999995</v>
      </c>
      <c r="P157" s="62">
        <v>1459759.91</v>
      </c>
      <c r="Q157" s="66">
        <v>1527248.61</v>
      </c>
      <c r="R157" s="62">
        <v>36124.380799999999</v>
      </c>
      <c r="S157" s="62">
        <v>781360.51699999999</v>
      </c>
      <c r="T157" s="66">
        <v>817484.89800000004</v>
      </c>
      <c r="U157" s="62">
        <v>24967.308400000002</v>
      </c>
      <c r="V157" s="62">
        <v>540035.43599999999</v>
      </c>
      <c r="W157" s="66">
        <v>565002.74399999995</v>
      </c>
      <c r="X157" s="62">
        <v>48751.4208</v>
      </c>
      <c r="Y157" s="62">
        <v>1054479.68</v>
      </c>
      <c r="Z157" s="66">
        <v>1103231.1000000001</v>
      </c>
      <c r="AA157" s="62">
        <v>5926802.4199999999</v>
      </c>
      <c r="AB157" s="22">
        <v>51227.382975447486</v>
      </c>
      <c r="AC157">
        <v>1108032.7106639158</v>
      </c>
      <c r="AD157" s="23">
        <v>1159260.0936393631</v>
      </c>
      <c r="AE157">
        <v>35405.607272657224</v>
      </c>
      <c r="AF157">
        <v>765814.28213156911</v>
      </c>
      <c r="AG157" s="23">
        <v>801219.88940422633</v>
      </c>
      <c r="AH157">
        <v>69133.564699254159</v>
      </c>
      <c r="AI157">
        <v>1495337.8944338891</v>
      </c>
      <c r="AJ157" s="23">
        <v>1564471.4591331428</v>
      </c>
      <c r="AK157">
        <v>37004.821892149477</v>
      </c>
      <c r="AL157">
        <v>800404.21704807482</v>
      </c>
      <c r="AM157" s="23">
        <v>837409.03894022421</v>
      </c>
      <c r="AN157">
        <v>25575.823878339339</v>
      </c>
      <c r="AO157">
        <v>553197.44296644721</v>
      </c>
      <c r="AP157" s="23">
        <v>578773.26684478647</v>
      </c>
      <c r="AQ157">
        <v>49939.614255598026</v>
      </c>
      <c r="AR157">
        <v>1080179.970208474</v>
      </c>
      <c r="AS157" s="23">
        <v>1130119.5844640718</v>
      </c>
      <c r="AT157">
        <v>6071253.3459258545</v>
      </c>
    </row>
    <row r="158" spans="1:46">
      <c r="A158" s="48" t="s">
        <v>258</v>
      </c>
      <c r="B158" s="48" t="s">
        <v>288</v>
      </c>
      <c r="C158" s="49">
        <v>34</v>
      </c>
      <c r="D158" s="50">
        <v>0.45700000000000002</v>
      </c>
      <c r="E158" s="49">
        <v>234.40682770163301</v>
      </c>
      <c r="F158" s="49">
        <v>0.779475564733072</v>
      </c>
      <c r="G158" s="49">
        <v>69.113925448069907</v>
      </c>
      <c r="H158" s="49">
        <v>0.81817111860952996</v>
      </c>
      <c r="I158" s="61">
        <v>1134541.26</v>
      </c>
      <c r="J158" s="62">
        <v>869716.81400000001</v>
      </c>
      <c r="K158" s="66">
        <v>2004258.08</v>
      </c>
      <c r="L158" s="62">
        <v>1064193.3</v>
      </c>
      <c r="M158" s="62">
        <v>815789.48300000001</v>
      </c>
      <c r="N158" s="66">
        <v>1879982.79</v>
      </c>
      <c r="O158" s="62">
        <v>1674374.22</v>
      </c>
      <c r="P158" s="62">
        <v>1283542.08</v>
      </c>
      <c r="Q158" s="66">
        <v>2957916.31</v>
      </c>
      <c r="R158" s="62">
        <v>1902558.88</v>
      </c>
      <c r="S158" s="62">
        <v>1458463.9</v>
      </c>
      <c r="T158" s="66">
        <v>3361022.78</v>
      </c>
      <c r="U158" s="62">
        <v>1784589.44</v>
      </c>
      <c r="V158" s="62">
        <v>1368030.95</v>
      </c>
      <c r="W158" s="66">
        <v>3152620.39</v>
      </c>
      <c r="X158" s="62">
        <v>2807826.94</v>
      </c>
      <c r="Y158" s="62">
        <v>2152424.5499999998</v>
      </c>
      <c r="Z158" s="66">
        <v>4960251.5</v>
      </c>
      <c r="AA158" s="62">
        <v>18316051.899999999</v>
      </c>
      <c r="AB158" s="22">
        <v>1190863.3644653917</v>
      </c>
      <c r="AC158">
        <v>912892.22011529049</v>
      </c>
      <c r="AD158" s="23">
        <v>2103755.5845806822</v>
      </c>
      <c r="AE158">
        <v>1117023.1187729212</v>
      </c>
      <c r="AF158">
        <v>856287.77100915322</v>
      </c>
      <c r="AG158" s="23">
        <v>1973310.8897820744</v>
      </c>
      <c r="AH158">
        <v>1757495.2847289406</v>
      </c>
      <c r="AI158">
        <v>1347261.0437072339</v>
      </c>
      <c r="AJ158" s="23">
        <v>3104756.3284361744</v>
      </c>
      <c r="AK158">
        <v>1997007.7265939545</v>
      </c>
      <c r="AL158">
        <v>1530866.5150064153</v>
      </c>
      <c r="AM158" s="23">
        <v>3527874.2416003705</v>
      </c>
      <c r="AN158">
        <v>1873181.9274452659</v>
      </c>
      <c r="AO158">
        <v>1435944.1938800751</v>
      </c>
      <c r="AP158" s="23">
        <v>3309126.1213253411</v>
      </c>
      <c r="AQ158">
        <v>2947216.0701131718</v>
      </c>
      <c r="AR158">
        <v>2259277.4999064598</v>
      </c>
      <c r="AS158" s="23">
        <v>5206493.5700196316</v>
      </c>
      <c r="AT158">
        <v>19225316.762984209</v>
      </c>
    </row>
    <row r="159" spans="1:46">
      <c r="A159" s="48" t="s">
        <v>142</v>
      </c>
      <c r="B159" s="48" t="s">
        <v>239</v>
      </c>
      <c r="C159" s="49">
        <v>102</v>
      </c>
      <c r="D159" s="50">
        <v>0.45600000000000002</v>
      </c>
      <c r="E159" s="49">
        <v>33.009730395526702</v>
      </c>
      <c r="F159" s="49">
        <v>0.79719207624716304</v>
      </c>
      <c r="G159" s="49">
        <v>103.733906156657</v>
      </c>
      <c r="H159" s="49">
        <v>0.81437138618941995</v>
      </c>
      <c r="I159" s="61">
        <v>582814.48499999999</v>
      </c>
      <c r="J159" s="62">
        <v>-999</v>
      </c>
      <c r="K159" s="66">
        <v>582814.48499999999</v>
      </c>
      <c r="L159" s="62">
        <v>218796.82699999999</v>
      </c>
      <c r="M159" s="62">
        <v>-999</v>
      </c>
      <c r="N159" s="66">
        <v>218796.82699999999</v>
      </c>
      <c r="O159" s="62">
        <v>911714.33400000003</v>
      </c>
      <c r="P159" s="62">
        <v>-999</v>
      </c>
      <c r="Q159" s="66">
        <v>911714.33400000003</v>
      </c>
      <c r="R159" s="62">
        <v>584341.68099999998</v>
      </c>
      <c r="S159" s="62">
        <v>-999</v>
      </c>
      <c r="T159" s="66">
        <v>584341.68099999998</v>
      </c>
      <c r="U159" s="62">
        <v>219370.122</v>
      </c>
      <c r="V159" s="62">
        <v>-999</v>
      </c>
      <c r="W159" s="66">
        <v>219370.122</v>
      </c>
      <c r="X159" s="62">
        <v>914103.46400000004</v>
      </c>
      <c r="Y159" s="62">
        <v>-999</v>
      </c>
      <c r="Z159" s="66">
        <v>914103.46400000004</v>
      </c>
      <c r="AA159" s="62">
        <v>3431140.9</v>
      </c>
      <c r="AB159" s="22">
        <v>595374.00614349952</v>
      </c>
      <c r="AC159">
        <v>-999</v>
      </c>
      <c r="AD159" s="23">
        <v>595374.00614349952</v>
      </c>
      <c r="AE159">
        <v>223511.84893210421</v>
      </c>
      <c r="AF159">
        <v>-999</v>
      </c>
      <c r="AG159" s="23">
        <v>223511.84893210421</v>
      </c>
      <c r="AH159">
        <v>931361.57327333011</v>
      </c>
      <c r="AI159">
        <v>-999</v>
      </c>
      <c r="AJ159" s="23">
        <v>931361.57327333011</v>
      </c>
      <c r="AK159">
        <v>596934.11279461707</v>
      </c>
      <c r="AL159">
        <v>-999</v>
      </c>
      <c r="AM159" s="23">
        <v>596934.11279461707</v>
      </c>
      <c r="AN159">
        <v>224097.49897840485</v>
      </c>
      <c r="AO159">
        <v>-999</v>
      </c>
      <c r="AP159" s="23">
        <v>224097.49897840485</v>
      </c>
      <c r="AQ159">
        <v>933802.18850100378</v>
      </c>
      <c r="AR159">
        <v>-999</v>
      </c>
      <c r="AS159" s="23">
        <v>933802.18850100378</v>
      </c>
      <c r="AT159">
        <v>3505081.2150662458</v>
      </c>
    </row>
    <row r="160" spans="1:46">
      <c r="A160" s="48" t="s">
        <v>161</v>
      </c>
      <c r="B160" s="48" t="s">
        <v>289</v>
      </c>
      <c r="C160" s="49">
        <v>60</v>
      </c>
      <c r="D160" s="50">
        <v>0.44500000000000001</v>
      </c>
      <c r="E160" s="49">
        <v>73.918069521155104</v>
      </c>
      <c r="F160" s="49">
        <v>0.79329459812055503</v>
      </c>
      <c r="G160" s="49">
        <v>295.772953809679</v>
      </c>
      <c r="H160" s="49">
        <v>0.80192225219573898</v>
      </c>
      <c r="I160" s="61">
        <v>814799.353</v>
      </c>
      <c r="J160" s="62">
        <v>-999</v>
      </c>
      <c r="K160" s="66">
        <v>814799.353</v>
      </c>
      <c r="L160" s="62">
        <v>269202.21799999999</v>
      </c>
      <c r="M160" s="62">
        <v>-999</v>
      </c>
      <c r="N160" s="66">
        <v>269202.21799999999</v>
      </c>
      <c r="O160" s="62">
        <v>912863.50100000005</v>
      </c>
      <c r="P160" s="62">
        <v>-999</v>
      </c>
      <c r="Q160" s="66">
        <v>912863.50100000005</v>
      </c>
      <c r="R160" s="62">
        <v>1108565.25</v>
      </c>
      <c r="S160" s="62">
        <v>-999</v>
      </c>
      <c r="T160" s="66">
        <v>1108565.25</v>
      </c>
      <c r="U160" s="62">
        <v>366259.81599999999</v>
      </c>
      <c r="V160" s="62">
        <v>-999</v>
      </c>
      <c r="W160" s="66">
        <v>366259.81599999999</v>
      </c>
      <c r="X160" s="62">
        <v>1241985.29</v>
      </c>
      <c r="Y160" s="62">
        <v>-999</v>
      </c>
      <c r="Z160" s="66">
        <v>1241985.29</v>
      </c>
      <c r="AA160" s="62">
        <v>4713675.45</v>
      </c>
      <c r="AB160" s="22">
        <v>823660.88649817219</v>
      </c>
      <c r="AC160">
        <v>-999</v>
      </c>
      <c r="AD160" s="23">
        <v>823660.88649817219</v>
      </c>
      <c r="AE160">
        <v>272129.98710576369</v>
      </c>
      <c r="AF160">
        <v>-999</v>
      </c>
      <c r="AG160" s="23">
        <v>272129.98710576369</v>
      </c>
      <c r="AH160">
        <v>922791.55318461731</v>
      </c>
      <c r="AI160">
        <v>-999</v>
      </c>
      <c r="AJ160" s="23">
        <v>922791.55318461731</v>
      </c>
      <c r="AK160">
        <v>1120621.6985074533</v>
      </c>
      <c r="AL160">
        <v>-999</v>
      </c>
      <c r="AM160" s="23">
        <v>1120621.6985074533</v>
      </c>
      <c r="AN160">
        <v>370243.15678988292</v>
      </c>
      <c r="AO160">
        <v>-999</v>
      </c>
      <c r="AP160" s="23">
        <v>370243.15678988292</v>
      </c>
      <c r="AQ160">
        <v>1255492.781742794</v>
      </c>
      <c r="AR160">
        <v>-999</v>
      </c>
      <c r="AS160" s="23">
        <v>1255492.781742794</v>
      </c>
      <c r="AT160">
        <v>4764940.0905276332</v>
      </c>
    </row>
    <row r="161" spans="1:46">
      <c r="A161" s="48" t="s">
        <v>194</v>
      </c>
      <c r="B161" s="48" t="s">
        <v>290</v>
      </c>
      <c r="C161" s="49">
        <v>83</v>
      </c>
      <c r="D161" s="50">
        <v>0.437</v>
      </c>
      <c r="E161" s="49">
        <v>109.75218973154099</v>
      </c>
      <c r="F161" s="49">
        <v>0.78817784127579404</v>
      </c>
      <c r="G161" s="49">
        <v>387.913775276759</v>
      </c>
      <c r="H161" s="49">
        <v>0.79424145287438197</v>
      </c>
      <c r="I161" s="61">
        <v>1383969.5</v>
      </c>
      <c r="J161" s="62">
        <v>372680.54700000002</v>
      </c>
      <c r="K161" s="66">
        <v>1756650.04</v>
      </c>
      <c r="L161" s="62">
        <v>994150.98800000001</v>
      </c>
      <c r="M161" s="62">
        <v>267708.72499999998</v>
      </c>
      <c r="N161" s="66">
        <v>1261859.71</v>
      </c>
      <c r="O161" s="62">
        <v>1888764.74</v>
      </c>
      <c r="P161" s="62">
        <v>508613.61800000002</v>
      </c>
      <c r="Q161" s="66">
        <v>2397378.36</v>
      </c>
      <c r="R161" s="62">
        <v>1067076.3500000001</v>
      </c>
      <c r="S161" s="62">
        <v>287346.30699999997</v>
      </c>
      <c r="T161" s="66">
        <v>1354422.66</v>
      </c>
      <c r="U161" s="62">
        <v>766516.21400000004</v>
      </c>
      <c r="V161" s="62">
        <v>206410.378</v>
      </c>
      <c r="W161" s="66">
        <v>972926.59199999995</v>
      </c>
      <c r="X161" s="62">
        <v>1456286.59</v>
      </c>
      <c r="Y161" s="62">
        <v>392154.38299999997</v>
      </c>
      <c r="Z161" s="66">
        <v>1848440.84</v>
      </c>
      <c r="AA161" s="62">
        <v>9591678.3599999994</v>
      </c>
      <c r="AB161" s="22">
        <v>1394616.6548951557</v>
      </c>
      <c r="AC161">
        <v>375547.65411403676</v>
      </c>
      <c r="AD161" s="23">
        <v>1770164.3090091927</v>
      </c>
      <c r="AE161">
        <v>1001799.1927975913</v>
      </c>
      <c r="AF161">
        <v>269768.26224298408</v>
      </c>
      <c r="AG161" s="23">
        <v>1271567.4550405755</v>
      </c>
      <c r="AH161">
        <v>1903295.3863092083</v>
      </c>
      <c r="AI161">
        <v>512526.48556689988</v>
      </c>
      <c r="AJ161" s="23">
        <v>2415821.871876108</v>
      </c>
      <c r="AK161">
        <v>1075285.5853796587</v>
      </c>
      <c r="AL161">
        <v>289556.91994013591</v>
      </c>
      <c r="AM161" s="23">
        <v>1364842.5053197946</v>
      </c>
      <c r="AN161">
        <v>772413.17781897262</v>
      </c>
      <c r="AO161">
        <v>207998.33526495501</v>
      </c>
      <c r="AP161" s="23">
        <v>980411.51308392768</v>
      </c>
      <c r="AQ161">
        <v>1467490.0934447648</v>
      </c>
      <c r="AR161">
        <v>395171.3060664715</v>
      </c>
      <c r="AS161" s="23">
        <v>1862661.2672950947</v>
      </c>
      <c r="AT161">
        <v>9665469.0802840646</v>
      </c>
    </row>
    <row r="162" spans="1:46">
      <c r="A162" s="48" t="s">
        <v>178</v>
      </c>
      <c r="B162" s="48" t="s">
        <v>291</v>
      </c>
      <c r="C162" s="49">
        <v>95</v>
      </c>
      <c r="D162" s="50">
        <v>0.437</v>
      </c>
      <c r="E162" s="49">
        <v>44.726146029970799</v>
      </c>
      <c r="F162" s="49">
        <v>0.79087343743632499</v>
      </c>
      <c r="G162" s="49">
        <v>123.52134731443201</v>
      </c>
      <c r="H162" s="49">
        <v>0.81468697690515501</v>
      </c>
      <c r="I162" s="61">
        <v>522290.56</v>
      </c>
      <c r="J162" s="62">
        <v>134906.70499999999</v>
      </c>
      <c r="K162" s="66">
        <v>657197.397</v>
      </c>
      <c r="L162" s="62">
        <v>379457.40500000003</v>
      </c>
      <c r="M162" s="62">
        <v>98013.155199999994</v>
      </c>
      <c r="N162" s="66">
        <v>477470.56</v>
      </c>
      <c r="O162" s="62">
        <v>556918.97699999996</v>
      </c>
      <c r="P162" s="62">
        <v>143851.24600000001</v>
      </c>
      <c r="Q162" s="66">
        <v>700770.09199999995</v>
      </c>
      <c r="R162" s="62">
        <v>1357722.87</v>
      </c>
      <c r="S162" s="62">
        <v>350697.53</v>
      </c>
      <c r="T162" s="66">
        <v>1708420.4</v>
      </c>
      <c r="U162" s="62">
        <v>986420.20799999998</v>
      </c>
      <c r="V162" s="62">
        <v>254790.59899999999</v>
      </c>
      <c r="W162" s="66">
        <v>1241210.94</v>
      </c>
      <c r="X162" s="62">
        <v>1447741.12</v>
      </c>
      <c r="Y162" s="62">
        <v>373949.07199999999</v>
      </c>
      <c r="Z162" s="66">
        <v>1821690.19</v>
      </c>
      <c r="AA162" s="62">
        <v>6606759.5099999998</v>
      </c>
      <c r="AB162" s="22">
        <v>538016.95324673085</v>
      </c>
      <c r="AC162">
        <v>138968.80414871188</v>
      </c>
      <c r="AD162" s="23">
        <v>676985.89301511913</v>
      </c>
      <c r="AE162">
        <v>390883.03087008069</v>
      </c>
      <c r="AF162">
        <v>100964.3735142448</v>
      </c>
      <c r="AG162" s="23">
        <v>491847.40438432555</v>
      </c>
      <c r="AH162">
        <v>573688.04735142237</v>
      </c>
      <c r="AI162">
        <v>148182.66933304412</v>
      </c>
      <c r="AJ162" s="23">
        <v>721870.58106479014</v>
      </c>
      <c r="AK162">
        <v>1398604.4927214482</v>
      </c>
      <c r="AL162">
        <v>361257.18383395992</v>
      </c>
      <c r="AM162" s="23">
        <v>1759861.6765554079</v>
      </c>
      <c r="AN162">
        <v>1016121.7445979126</v>
      </c>
      <c r="AO162">
        <v>262462.45390026452</v>
      </c>
      <c r="AP162" s="23">
        <v>1278584.3341178535</v>
      </c>
      <c r="AQ162">
        <v>1491333.2257761077</v>
      </c>
      <c r="AR162">
        <v>385208.83923571341</v>
      </c>
      <c r="AS162" s="23">
        <v>1876542.0650118215</v>
      </c>
      <c r="AT162">
        <v>6805691.8863394801</v>
      </c>
    </row>
    <row r="163" spans="1:46">
      <c r="A163" s="48" t="s">
        <v>161</v>
      </c>
      <c r="B163" s="48" t="s">
        <v>292</v>
      </c>
      <c r="C163" s="49">
        <v>70</v>
      </c>
      <c r="D163" s="50">
        <v>0.435</v>
      </c>
      <c r="E163" s="49">
        <v>206.17720597878099</v>
      </c>
      <c r="F163" s="49">
        <v>0.77930815967787403</v>
      </c>
      <c r="G163" s="49">
        <v>183.444774719533</v>
      </c>
      <c r="H163" s="49">
        <v>0.80984384643029295</v>
      </c>
      <c r="I163" s="61">
        <v>619578.94400000002</v>
      </c>
      <c r="J163" s="62">
        <v>-999</v>
      </c>
      <c r="K163" s="66">
        <v>619578.94400000002</v>
      </c>
      <c r="L163" s="62">
        <v>1160261.1599999999</v>
      </c>
      <c r="M163" s="62">
        <v>-999</v>
      </c>
      <c r="N163" s="66">
        <v>1160261.1599999999</v>
      </c>
      <c r="O163" s="62">
        <v>1760137.33</v>
      </c>
      <c r="P163" s="62">
        <v>-999</v>
      </c>
      <c r="Q163" s="66">
        <v>1760137.33</v>
      </c>
      <c r="R163" s="62">
        <v>2633365.0499999998</v>
      </c>
      <c r="S163" s="62">
        <v>-999</v>
      </c>
      <c r="T163" s="66">
        <v>2633365.0499999998</v>
      </c>
      <c r="U163" s="62">
        <v>4931399.03</v>
      </c>
      <c r="V163" s="62">
        <v>-999</v>
      </c>
      <c r="W163" s="66">
        <v>4931399.03</v>
      </c>
      <c r="X163" s="62">
        <v>7481022.3200000003</v>
      </c>
      <c r="Y163" s="62">
        <v>-999</v>
      </c>
      <c r="Z163" s="66">
        <v>7481022.3200000003</v>
      </c>
      <c r="AA163" s="62">
        <v>18585763.699999999</v>
      </c>
      <c r="AB163" s="22">
        <v>643855.94994443643</v>
      </c>
      <c r="AC163">
        <v>-999</v>
      </c>
      <c r="AD163" s="23">
        <v>643855.94994443643</v>
      </c>
      <c r="AE163">
        <v>1205723.7534549506</v>
      </c>
      <c r="AF163">
        <v>-999</v>
      </c>
      <c r="AG163" s="23">
        <v>1205723.7534549506</v>
      </c>
      <c r="AH163">
        <v>1829104.9110097992</v>
      </c>
      <c r="AI163">
        <v>-999</v>
      </c>
      <c r="AJ163" s="23">
        <v>1829104.9110097992</v>
      </c>
      <c r="AK163">
        <v>2736548.3837835859</v>
      </c>
      <c r="AL163">
        <v>-999</v>
      </c>
      <c r="AM163" s="23">
        <v>2736548.3837835859</v>
      </c>
      <c r="AN163">
        <v>5124626.3839520356</v>
      </c>
      <c r="AO163">
        <v>-999</v>
      </c>
      <c r="AP163" s="23">
        <v>5124626.3839520356</v>
      </c>
      <c r="AQ163">
        <v>7774151.7434654916</v>
      </c>
      <c r="AR163">
        <v>-999</v>
      </c>
      <c r="AS163" s="23">
        <v>7774151.7434654916</v>
      </c>
      <c r="AT163">
        <v>19314010.977315508</v>
      </c>
    </row>
    <row r="164" spans="1:46">
      <c r="A164" s="48" t="s">
        <v>178</v>
      </c>
      <c r="B164" s="48" t="s">
        <v>293</v>
      </c>
      <c r="C164" s="49">
        <v>156</v>
      </c>
      <c r="D164" s="50">
        <v>0.434</v>
      </c>
      <c r="E164" s="49">
        <v>192.749769316553</v>
      </c>
      <c r="F164" s="49">
        <v>0.73408016677565602</v>
      </c>
      <c r="G164" s="49">
        <v>183.7826561848</v>
      </c>
      <c r="H164" s="49">
        <v>0.81043324496773805</v>
      </c>
      <c r="I164" s="61">
        <v>1797793.78</v>
      </c>
      <c r="J164" s="62">
        <v>8756878.3100000005</v>
      </c>
      <c r="K164" s="66">
        <v>10554672.1</v>
      </c>
      <c r="L164" s="62">
        <v>868027.52800000005</v>
      </c>
      <c r="M164" s="62">
        <v>4228077.32</v>
      </c>
      <c r="N164" s="66">
        <v>5096104.72</v>
      </c>
      <c r="O164" s="62">
        <v>2204011.91</v>
      </c>
      <c r="P164" s="62">
        <v>10735527.300000001</v>
      </c>
      <c r="Q164" s="66">
        <v>12939539.199999999</v>
      </c>
      <c r="R164" s="62">
        <v>3219268.89</v>
      </c>
      <c r="S164" s="62">
        <v>15680744.6</v>
      </c>
      <c r="T164" s="66">
        <v>18900013.300000001</v>
      </c>
      <c r="U164" s="62">
        <v>1554357.29</v>
      </c>
      <c r="V164" s="62">
        <v>7571122.6900000004</v>
      </c>
      <c r="W164" s="66">
        <v>9125479.9800000004</v>
      </c>
      <c r="X164" s="62">
        <v>3946674.5</v>
      </c>
      <c r="Y164" s="62">
        <v>19223866.699999999</v>
      </c>
      <c r="Z164" s="66">
        <v>23170541.199999999</v>
      </c>
      <c r="AA164" s="62">
        <v>79786350.599999994</v>
      </c>
      <c r="AB164" s="22">
        <v>1984785.7426791871</v>
      </c>
      <c r="AC164">
        <v>9667697.9252938889</v>
      </c>
      <c r="AD164" s="23">
        <v>11652483.667973079</v>
      </c>
      <c r="AE164">
        <v>958312.72622270754</v>
      </c>
      <c r="AF164">
        <v>4667847.7031675596</v>
      </c>
      <c r="AG164" s="23">
        <v>5626160.2944787024</v>
      </c>
      <c r="AH164">
        <v>2433255.3912452655</v>
      </c>
      <c r="AI164">
        <v>11852149.949686641</v>
      </c>
      <c r="AJ164" s="23">
        <v>14285405.340931904</v>
      </c>
      <c r="AK164">
        <v>3554111.1888249838</v>
      </c>
      <c r="AL164">
        <v>17311728.730048794</v>
      </c>
      <c r="AM164" s="23">
        <v>20865839.783962216</v>
      </c>
      <c r="AN164">
        <v>1716028.955497439</v>
      </c>
      <c r="AO164">
        <v>8358609.6010574223</v>
      </c>
      <c r="AP164" s="23">
        <v>10074638.55655486</v>
      </c>
      <c r="AQ164">
        <v>4357175.6468727076</v>
      </c>
      <c r="AR164">
        <v>21223377.689214531</v>
      </c>
      <c r="AS164" s="23">
        <v>25580553.336087238</v>
      </c>
      <c r="AT164">
        <v>88085081.060934931</v>
      </c>
    </row>
    <row r="165" spans="1:46">
      <c r="A165" s="48" t="s">
        <v>161</v>
      </c>
      <c r="B165" s="48" t="s">
        <v>148</v>
      </c>
      <c r="C165" s="49">
        <v>45</v>
      </c>
      <c r="D165" s="50">
        <v>0.432</v>
      </c>
      <c r="E165" s="49">
        <v>171.62387793379401</v>
      </c>
      <c r="F165" s="49">
        <v>0.78708956313686995</v>
      </c>
      <c r="G165" s="49">
        <v>73.306062406399803</v>
      </c>
      <c r="H165" s="49">
        <v>0.81823266736848799</v>
      </c>
      <c r="I165" s="61">
        <v>99899.796499999997</v>
      </c>
      <c r="J165" s="62">
        <v>3272075.54</v>
      </c>
      <c r="K165" s="66">
        <v>3371975.34</v>
      </c>
      <c r="L165" s="62">
        <v>51184.6178</v>
      </c>
      <c r="M165" s="62">
        <v>1676480.78</v>
      </c>
      <c r="N165" s="66">
        <v>1727665.4</v>
      </c>
      <c r="O165" s="62">
        <v>95182.482699999993</v>
      </c>
      <c r="P165" s="62">
        <v>3117567.96</v>
      </c>
      <c r="Q165" s="66">
        <v>3212750.44</v>
      </c>
      <c r="R165" s="62">
        <v>38064.895700000001</v>
      </c>
      <c r="S165" s="62">
        <v>1246760.9099999999</v>
      </c>
      <c r="T165" s="66">
        <v>1284825.81</v>
      </c>
      <c r="U165" s="62">
        <v>19502.895199999999</v>
      </c>
      <c r="V165" s="62">
        <v>638790.43999999994</v>
      </c>
      <c r="W165" s="66">
        <v>658293.33499999996</v>
      </c>
      <c r="X165" s="62">
        <v>36267.486799999999</v>
      </c>
      <c r="Y165" s="62">
        <v>1187888.76</v>
      </c>
      <c r="Z165" s="66">
        <v>1224156.25</v>
      </c>
      <c r="AA165" s="62">
        <v>11479666.6</v>
      </c>
      <c r="AB165" s="22">
        <v>103852.57385014409</v>
      </c>
      <c r="AC165">
        <v>3401543.1358916098</v>
      </c>
      <c r="AD165" s="23">
        <v>3505395.709741754</v>
      </c>
      <c r="AE165">
        <v>53209.861123442861</v>
      </c>
      <c r="AF165">
        <v>1742814.8034676518</v>
      </c>
      <c r="AG165" s="23">
        <v>1796024.6645910952</v>
      </c>
      <c r="AH165">
        <v>98948.60803447642</v>
      </c>
      <c r="AI165">
        <v>3240922.0805002758</v>
      </c>
      <c r="AJ165" s="23">
        <v>3339870.6885347529</v>
      </c>
      <c r="AK165">
        <v>39571.025440621437</v>
      </c>
      <c r="AL165">
        <v>1296092.0263969663</v>
      </c>
      <c r="AM165" s="23">
        <v>1335663.0518375877</v>
      </c>
      <c r="AN165">
        <v>20274.574444643546</v>
      </c>
      <c r="AO165">
        <v>664065.73020994279</v>
      </c>
      <c r="AP165" s="23">
        <v>684340.30465458648</v>
      </c>
      <c r="AQ165">
        <v>37702.497732949043</v>
      </c>
      <c r="AR165">
        <v>1234890.4567398776</v>
      </c>
      <c r="AS165" s="23">
        <v>1272592.9544728266</v>
      </c>
      <c r="AT165">
        <v>11933887.373832602</v>
      </c>
    </row>
    <row r="166" spans="1:46">
      <c r="A166" s="48" t="s">
        <v>178</v>
      </c>
      <c r="B166" s="48" t="s">
        <v>294</v>
      </c>
      <c r="C166" s="49">
        <v>101</v>
      </c>
      <c r="D166" s="50">
        <v>0.43</v>
      </c>
      <c r="E166" s="49">
        <v>232.12596481515499</v>
      </c>
      <c r="F166" s="49">
        <v>0.73130068955461502</v>
      </c>
      <c r="G166" s="49">
        <v>187.78627427813001</v>
      </c>
      <c r="H166" s="49">
        <v>0.81015063901426898</v>
      </c>
      <c r="I166" s="61">
        <v>19235137.199999999</v>
      </c>
      <c r="J166" s="62">
        <v>-999</v>
      </c>
      <c r="K166" s="66">
        <v>19235137.199999999</v>
      </c>
      <c r="L166" s="62">
        <v>11498151.1</v>
      </c>
      <c r="M166" s="62">
        <v>-999</v>
      </c>
      <c r="N166" s="66">
        <v>11498151.1</v>
      </c>
      <c r="O166" s="62">
        <v>14890395.9</v>
      </c>
      <c r="P166" s="62">
        <v>-999</v>
      </c>
      <c r="Q166" s="66">
        <v>14890395.9</v>
      </c>
      <c r="R166" s="62">
        <v>16213120.699999999</v>
      </c>
      <c r="S166" s="62">
        <v>-999</v>
      </c>
      <c r="T166" s="66">
        <v>16213120.699999999</v>
      </c>
      <c r="U166" s="62">
        <v>9691686.1999999993</v>
      </c>
      <c r="V166" s="62">
        <v>-999</v>
      </c>
      <c r="W166" s="66">
        <v>9691686.1999999993</v>
      </c>
      <c r="X166" s="62">
        <v>12550978.1</v>
      </c>
      <c r="Y166" s="62">
        <v>-999</v>
      </c>
      <c r="Z166" s="66">
        <v>12550978.1</v>
      </c>
      <c r="AA166" s="62">
        <v>84079469.099999994</v>
      </c>
      <c r="AB166" s="22">
        <v>21309098.818513509</v>
      </c>
      <c r="AC166">
        <v>-999</v>
      </c>
      <c r="AD166" s="23">
        <v>21309098.818513509</v>
      </c>
      <c r="AE166">
        <v>12737899.210549586</v>
      </c>
      <c r="AF166">
        <v>-999</v>
      </c>
      <c r="AG166" s="23">
        <v>12737899.210549586</v>
      </c>
      <c r="AH166">
        <v>16495900.923871417</v>
      </c>
      <c r="AI166">
        <v>-999</v>
      </c>
      <c r="AJ166" s="23">
        <v>16495900.923871417</v>
      </c>
      <c r="AK166">
        <v>17961243.978848904</v>
      </c>
      <c r="AL166">
        <v>-999</v>
      </c>
      <c r="AM166" s="23">
        <v>17961243.978848904</v>
      </c>
      <c r="AN166">
        <v>10736658.50240545</v>
      </c>
      <c r="AO166">
        <v>-999</v>
      </c>
      <c r="AP166" s="23">
        <v>10736658.50240545</v>
      </c>
      <c r="AQ166">
        <v>13904243.58070725</v>
      </c>
      <c r="AR166">
        <v>-999</v>
      </c>
      <c r="AS166" s="23">
        <v>13904243.58070725</v>
      </c>
      <c r="AT166">
        <v>93145045.02838257</v>
      </c>
    </row>
    <row r="167" spans="1:46">
      <c r="A167" s="49" t="s">
        <v>142</v>
      </c>
      <c r="B167" s="49" t="s">
        <v>145</v>
      </c>
      <c r="C167" s="49">
        <v>16</v>
      </c>
      <c r="D167" s="50">
        <v>0.42799999999999999</v>
      </c>
      <c r="E167" s="49">
        <v>9.6133922654416093</v>
      </c>
      <c r="F167" s="49">
        <v>0.798534471665442</v>
      </c>
      <c r="G167" s="49">
        <v>78.376961628323599</v>
      </c>
      <c r="H167" s="49">
        <v>0.81787630234544495</v>
      </c>
      <c r="I167" s="61">
        <v>780963.36199999996</v>
      </c>
      <c r="J167" s="62">
        <v>123825.034</v>
      </c>
      <c r="K167" s="66">
        <v>904788.39599999995</v>
      </c>
      <c r="L167" s="62">
        <v>327648.61800000002</v>
      </c>
      <c r="M167" s="62">
        <v>51950.1518</v>
      </c>
      <c r="N167" s="66">
        <v>379598.77</v>
      </c>
      <c r="O167" s="62">
        <v>546702.74699999997</v>
      </c>
      <c r="P167" s="62">
        <v>86682.043699999995</v>
      </c>
      <c r="Q167" s="66">
        <v>633384.79099999997</v>
      </c>
      <c r="R167" s="62">
        <v>487007.516</v>
      </c>
      <c r="S167" s="62">
        <v>77217.105299999996</v>
      </c>
      <c r="T167" s="66">
        <v>564224.62100000004</v>
      </c>
      <c r="U167" s="62">
        <v>204321.144</v>
      </c>
      <c r="V167" s="62">
        <v>32396.031999999999</v>
      </c>
      <c r="W167" s="66">
        <v>236717.17600000001</v>
      </c>
      <c r="X167" s="62">
        <v>340922.95400000003</v>
      </c>
      <c r="Y167" s="62">
        <v>54054.845000000001</v>
      </c>
      <c r="Z167" s="66">
        <v>394977.799</v>
      </c>
      <c r="AA167" s="62">
        <v>3113691.62</v>
      </c>
      <c r="AB167" s="22">
        <v>799879.5912808748</v>
      </c>
      <c r="AC167">
        <v>126824.28231504047</v>
      </c>
      <c r="AD167" s="23">
        <v>926703.87359591527</v>
      </c>
      <c r="AE167">
        <v>335584.81158970011</v>
      </c>
      <c r="AF167">
        <v>53208.47071863844</v>
      </c>
      <c r="AG167" s="23">
        <v>388793.28230833862</v>
      </c>
      <c r="AH167">
        <v>559944.79566440894</v>
      </c>
      <c r="AI167">
        <v>88781.626740870488</v>
      </c>
      <c r="AJ167" s="23">
        <v>648726.42240527936</v>
      </c>
      <c r="AK167">
        <v>498803.64648650744</v>
      </c>
      <c r="AL167">
        <v>79087.43184082162</v>
      </c>
      <c r="AM167" s="23">
        <v>577891.07832732913</v>
      </c>
      <c r="AN167">
        <v>209270.14096409088</v>
      </c>
      <c r="AO167">
        <v>33180.717708931035</v>
      </c>
      <c r="AP167" s="23">
        <v>242450.8586730219</v>
      </c>
      <c r="AQ167">
        <v>349180.67418518866</v>
      </c>
      <c r="AR167">
        <v>55364.143141498382</v>
      </c>
      <c r="AS167" s="23">
        <v>404544.8173266871</v>
      </c>
      <c r="AT167">
        <v>3189110.4007118703</v>
      </c>
    </row>
    <row r="168" spans="1:46">
      <c r="A168" s="48" t="s">
        <v>146</v>
      </c>
      <c r="B168" s="48" t="s">
        <v>295</v>
      </c>
      <c r="C168" s="49">
        <v>47</v>
      </c>
      <c r="D168" s="50">
        <v>0.42399999999999999</v>
      </c>
      <c r="E168" s="49">
        <v>38.767737805538601</v>
      </c>
      <c r="F168" s="49">
        <v>0.79399104224447503</v>
      </c>
      <c r="G168" s="49">
        <v>129.18207173552901</v>
      </c>
      <c r="H168" s="49">
        <v>0.81417528224309499</v>
      </c>
      <c r="I168" s="61">
        <v>77582.043999999994</v>
      </c>
      <c r="J168" s="62">
        <v>-999</v>
      </c>
      <c r="K168" s="66">
        <v>77582.043999999994</v>
      </c>
      <c r="L168" s="62">
        <v>4942.2672599999996</v>
      </c>
      <c r="M168" s="62">
        <v>-999</v>
      </c>
      <c r="N168" s="66">
        <v>4942.2672599999996</v>
      </c>
      <c r="O168" s="62">
        <v>118344.64599999999</v>
      </c>
      <c r="P168" s="62">
        <v>-999</v>
      </c>
      <c r="Q168" s="66">
        <v>118344.64599999999</v>
      </c>
      <c r="R168" s="62">
        <v>22466.221000000001</v>
      </c>
      <c r="S168" s="62">
        <v>-999</v>
      </c>
      <c r="T168" s="66">
        <v>22466.221000000001</v>
      </c>
      <c r="U168" s="62">
        <v>1431.1850099999999</v>
      </c>
      <c r="V168" s="62">
        <v>-999</v>
      </c>
      <c r="W168" s="66">
        <v>1431.1850099999999</v>
      </c>
      <c r="X168" s="62">
        <v>34270.325199999999</v>
      </c>
      <c r="Y168" s="62">
        <v>-999</v>
      </c>
      <c r="Z168" s="66">
        <v>34270.325199999999</v>
      </c>
      <c r="AA168" s="62">
        <v>259036.67499999999</v>
      </c>
      <c r="AB168" s="22">
        <v>79554.27606042441</v>
      </c>
      <c r="AC168">
        <v>-999</v>
      </c>
      <c r="AD168" s="23">
        <v>79554.27606042441</v>
      </c>
      <c r="AE168">
        <v>5067.9058455609766</v>
      </c>
      <c r="AF168">
        <v>-999</v>
      </c>
      <c r="AG168" s="23">
        <v>5067.9058455609766</v>
      </c>
      <c r="AH168">
        <v>121353.11438870331</v>
      </c>
      <c r="AI168">
        <v>-999</v>
      </c>
      <c r="AJ168" s="23">
        <v>121353.11438870331</v>
      </c>
      <c r="AK168">
        <v>23037.340291864075</v>
      </c>
      <c r="AL168">
        <v>-999</v>
      </c>
      <c r="AM168" s="23">
        <v>23037.340291864075</v>
      </c>
      <c r="AN168">
        <v>1467.56751432751</v>
      </c>
      <c r="AO168">
        <v>-999</v>
      </c>
      <c r="AP168" s="23">
        <v>1467.56751432751</v>
      </c>
      <c r="AQ168">
        <v>35141.519457180555</v>
      </c>
      <c r="AR168">
        <v>-999</v>
      </c>
      <c r="AS168" s="23">
        <v>35141.519457180555</v>
      </c>
      <c r="AT168">
        <v>265621.71000461135</v>
      </c>
    </row>
    <row r="169" spans="1:46">
      <c r="A169" s="49" t="s">
        <v>136</v>
      </c>
      <c r="B169" s="49" t="s">
        <v>296</v>
      </c>
      <c r="C169" s="49">
        <v>22</v>
      </c>
      <c r="D169" s="50">
        <v>0.42199999999999999</v>
      </c>
      <c r="E169" s="49">
        <v>128.66407764917801</v>
      </c>
      <c r="F169" s="49">
        <v>0.791211394520277</v>
      </c>
      <c r="G169" s="49">
        <v>305.59235972736599</v>
      </c>
      <c r="H169" s="49">
        <v>0.79928273086121804</v>
      </c>
      <c r="I169" s="61">
        <v>392638.73300000001</v>
      </c>
      <c r="J169" s="62">
        <v>687921.027</v>
      </c>
      <c r="K169" s="66">
        <v>1080559.8899999999</v>
      </c>
      <c r="L169" s="62">
        <v>102670.74400000001</v>
      </c>
      <c r="M169" s="62">
        <v>179883.71799999999</v>
      </c>
      <c r="N169" s="66">
        <v>282554.462</v>
      </c>
      <c r="O169" s="62">
        <v>354185.49300000002</v>
      </c>
      <c r="P169" s="62">
        <v>620549.15899999999</v>
      </c>
      <c r="Q169" s="66">
        <v>974734.652</v>
      </c>
      <c r="R169" s="62">
        <v>692414.11</v>
      </c>
      <c r="S169" s="62">
        <v>1213141.19</v>
      </c>
      <c r="T169" s="66">
        <v>1905555.16</v>
      </c>
      <c r="U169" s="62">
        <v>181058.587</v>
      </c>
      <c r="V169" s="62">
        <v>317222.96600000001</v>
      </c>
      <c r="W169" s="66">
        <v>498281.55300000001</v>
      </c>
      <c r="X169" s="62">
        <v>624602.19200000004</v>
      </c>
      <c r="Y169" s="62">
        <v>1094331.54</v>
      </c>
      <c r="Z169" s="66">
        <v>1718933.73</v>
      </c>
      <c r="AA169" s="62">
        <v>6460619.4400000004</v>
      </c>
      <c r="AB169" s="22">
        <v>396644.13475534611</v>
      </c>
      <c r="AC169">
        <v>694938.67390627484</v>
      </c>
      <c r="AD169" s="23">
        <v>1091582.9417169762</v>
      </c>
      <c r="AE169">
        <v>103718.11308086981</v>
      </c>
      <c r="AF169">
        <v>181718.75486406346</v>
      </c>
      <c r="AG169" s="23">
        <v>285436.86794493324</v>
      </c>
      <c r="AH169">
        <v>357798.62376966409</v>
      </c>
      <c r="AI169">
        <v>626879.5291065278</v>
      </c>
      <c r="AJ169" s="23">
        <v>984678.15287619177</v>
      </c>
      <c r="AK169">
        <v>699477.59124230698</v>
      </c>
      <c r="AL169">
        <v>1225516.7284928265</v>
      </c>
      <c r="AM169" s="23">
        <v>1924994.1866797779</v>
      </c>
      <c r="AN169">
        <v>182905.6086335181</v>
      </c>
      <c r="AO169">
        <v>320459.03329549421</v>
      </c>
      <c r="AP169" s="23">
        <v>503364.64192901232</v>
      </c>
      <c r="AQ169">
        <v>630973.90850043553</v>
      </c>
      <c r="AR169">
        <v>1105495.076613883</v>
      </c>
      <c r="AS169" s="23">
        <v>1736468.9851143188</v>
      </c>
      <c r="AT169">
        <v>6526525.7629556758</v>
      </c>
    </row>
    <row r="170" spans="1:46">
      <c r="A170" s="48" t="s">
        <v>151</v>
      </c>
      <c r="B170" s="48" t="s">
        <v>297</v>
      </c>
      <c r="C170" s="49">
        <v>25</v>
      </c>
      <c r="D170" s="50">
        <v>0.42199999999999999</v>
      </c>
      <c r="E170" s="49">
        <v>146.59682220184899</v>
      </c>
      <c r="F170" s="49">
        <v>0.78986594459210102</v>
      </c>
      <c r="G170" s="49">
        <v>264.571672283054</v>
      </c>
      <c r="H170" s="49">
        <v>0.80468491856141899</v>
      </c>
      <c r="I170" s="61">
        <v>49695.271999999997</v>
      </c>
      <c r="J170" s="62">
        <v>61246.4715</v>
      </c>
      <c r="K170" s="66">
        <v>110941.74400000001</v>
      </c>
      <c r="L170" s="62">
        <v>74390.513699999996</v>
      </c>
      <c r="M170" s="62">
        <v>91681.9427</v>
      </c>
      <c r="N170" s="66">
        <v>166072.45600000001</v>
      </c>
      <c r="O170" s="62">
        <v>73721.372499999998</v>
      </c>
      <c r="P170" s="62">
        <v>90857.383000000002</v>
      </c>
      <c r="Q170" s="66">
        <v>164578.75599999999</v>
      </c>
      <c r="R170" s="62">
        <v>29080.095399999998</v>
      </c>
      <c r="S170" s="62">
        <v>35839.486599999997</v>
      </c>
      <c r="T170" s="66">
        <v>64919.450499999999</v>
      </c>
      <c r="U170" s="62">
        <v>43530.862999999998</v>
      </c>
      <c r="V170" s="62">
        <v>53649.371899999998</v>
      </c>
      <c r="W170" s="66">
        <v>97180.234800000006</v>
      </c>
      <c r="X170" s="62">
        <v>43139.423900000002</v>
      </c>
      <c r="Y170" s="62">
        <v>53166.811800000003</v>
      </c>
      <c r="Z170" s="66">
        <v>96306.104200000002</v>
      </c>
      <c r="AA170" s="62">
        <v>699998.81099999999</v>
      </c>
      <c r="AB170" s="22">
        <v>50627.623816150051</v>
      </c>
      <c r="AC170">
        <v>62395.539741305445</v>
      </c>
      <c r="AD170" s="23">
        <v>113023.16355745548</v>
      </c>
      <c r="AE170">
        <v>75786.182285895469</v>
      </c>
      <c r="AF170">
        <v>93402.02237301541</v>
      </c>
      <c r="AG170" s="23">
        <v>169188.20465891089</v>
      </c>
      <c r="AH170">
        <v>75104.487076525911</v>
      </c>
      <c r="AI170">
        <v>92561.99276838651</v>
      </c>
      <c r="AJ170" s="23">
        <v>167666.47984491242</v>
      </c>
      <c r="AK170">
        <v>29625.678108585293</v>
      </c>
      <c r="AL170">
        <v>36511.884755875719</v>
      </c>
      <c r="AM170" s="23">
        <v>66137.428909811904</v>
      </c>
      <c r="AN170">
        <v>44347.561956125748</v>
      </c>
      <c r="AO170">
        <v>54655.908024474164</v>
      </c>
      <c r="AP170" s="23">
        <v>99003.469980599897</v>
      </c>
      <c r="AQ170">
        <v>43948.778965696736</v>
      </c>
      <c r="AR170">
        <v>54164.294462205296</v>
      </c>
      <c r="AS170" s="23">
        <v>98112.939473252918</v>
      </c>
      <c r="AT170">
        <v>713131.75340226805</v>
      </c>
    </row>
    <row r="171" spans="1:46">
      <c r="A171" s="48" t="s">
        <v>160</v>
      </c>
      <c r="B171" s="48" t="s">
        <v>298</v>
      </c>
      <c r="C171" s="49">
        <v>157</v>
      </c>
      <c r="D171" s="50">
        <v>0.41699999999999998</v>
      </c>
      <c r="E171" s="49">
        <v>210.708934158712</v>
      </c>
      <c r="F171" s="49">
        <v>0.78111189825937899</v>
      </c>
      <c r="G171" s="49">
        <v>83.301911458035093</v>
      </c>
      <c r="H171" s="49">
        <v>0.817525966248698</v>
      </c>
      <c r="I171" s="61">
        <v>1652698.26</v>
      </c>
      <c r="J171" s="62">
        <v>1275109.75</v>
      </c>
      <c r="K171" s="66">
        <v>2927808.01</v>
      </c>
      <c r="L171" s="62">
        <v>1201500.54</v>
      </c>
      <c r="M171" s="62">
        <v>926996.3</v>
      </c>
      <c r="N171" s="66">
        <v>2128496.84</v>
      </c>
      <c r="O171" s="62">
        <v>2290778.65</v>
      </c>
      <c r="P171" s="62">
        <v>1767409.33</v>
      </c>
      <c r="Q171" s="66">
        <v>4058187.98</v>
      </c>
      <c r="R171" s="62">
        <v>1542873.86</v>
      </c>
      <c r="S171" s="62">
        <v>1190376.69</v>
      </c>
      <c r="T171" s="66">
        <v>2733250.68</v>
      </c>
      <c r="U171" s="62">
        <v>1121658.96</v>
      </c>
      <c r="V171" s="62">
        <v>865395.91799999995</v>
      </c>
      <c r="W171" s="66">
        <v>1987055.01</v>
      </c>
      <c r="X171" s="62">
        <v>2138552.87</v>
      </c>
      <c r="Y171" s="62">
        <v>1649962.29</v>
      </c>
      <c r="Z171" s="66">
        <v>3788515.16</v>
      </c>
      <c r="AA171" s="62">
        <v>17623313.600000001</v>
      </c>
      <c r="AB171" s="22">
        <v>1729744.1540259786</v>
      </c>
      <c r="AC171">
        <v>1334553.135785443</v>
      </c>
      <c r="AD171" s="23">
        <v>3064297.2898114217</v>
      </c>
      <c r="AE171">
        <v>1257512.3857257562</v>
      </c>
      <c r="AF171">
        <v>970211.24302633025</v>
      </c>
      <c r="AG171" s="23">
        <v>2227723.6287520868</v>
      </c>
      <c r="AH171">
        <v>2397570.738861823</v>
      </c>
      <c r="AI171">
        <v>1849802.8567318195</v>
      </c>
      <c r="AJ171" s="23">
        <v>4247373.5955936434</v>
      </c>
      <c r="AK171">
        <v>1614799.9352344011</v>
      </c>
      <c r="AL171">
        <v>1245869.9634938468</v>
      </c>
      <c r="AM171" s="23">
        <v>2860670.0348205264</v>
      </c>
      <c r="AN171">
        <v>1173948.7327627237</v>
      </c>
      <c r="AO171">
        <v>905739.15924529138</v>
      </c>
      <c r="AP171" s="23">
        <v>2079688.0281002938</v>
      </c>
      <c r="AQ171">
        <v>2238248.4611938382</v>
      </c>
      <c r="AR171">
        <v>1726880.6363963252</v>
      </c>
      <c r="AS171" s="23">
        <v>3965129.0975901634</v>
      </c>
      <c r="AT171">
        <v>18444881.593012765</v>
      </c>
    </row>
    <row r="172" spans="1:46">
      <c r="A172" s="49" t="s">
        <v>160</v>
      </c>
      <c r="B172" s="49" t="s">
        <v>299</v>
      </c>
      <c r="C172" s="49">
        <v>3</v>
      </c>
      <c r="D172" s="50">
        <v>0.41499999999999998</v>
      </c>
      <c r="E172" s="49">
        <v>213.48433923366201</v>
      </c>
      <c r="F172" s="49">
        <v>0.77562019200515997</v>
      </c>
      <c r="G172" s="49">
        <v>55.541595797971297</v>
      </c>
      <c r="H172" s="49">
        <v>0.81948552827390198</v>
      </c>
      <c r="I172" s="61">
        <v>4602703.78</v>
      </c>
      <c r="J172" s="62">
        <v>2404687.21</v>
      </c>
      <c r="K172" s="66">
        <v>7007390.9800000004</v>
      </c>
      <c r="L172" s="62">
        <v>1641135.31</v>
      </c>
      <c r="M172" s="62">
        <v>857412.72900000005</v>
      </c>
      <c r="N172" s="66">
        <v>2498548.0299999998</v>
      </c>
      <c r="O172" s="62">
        <v>2053254.23</v>
      </c>
      <c r="P172" s="62">
        <v>1072724.73</v>
      </c>
      <c r="Q172" s="66">
        <v>3125978.96</v>
      </c>
      <c r="R172" s="62">
        <v>4281303.6399999997</v>
      </c>
      <c r="S172" s="62">
        <v>2236771.34</v>
      </c>
      <c r="T172" s="66">
        <v>6518074.9800000004</v>
      </c>
      <c r="U172" s="62">
        <v>1526537.11</v>
      </c>
      <c r="V172" s="62">
        <v>797540.86</v>
      </c>
      <c r="W172" s="66">
        <v>2324078.1</v>
      </c>
      <c r="X172" s="62">
        <v>1909878.47</v>
      </c>
      <c r="Y172" s="62">
        <v>997817.91399999999</v>
      </c>
      <c r="Z172" s="66">
        <v>2907696.38</v>
      </c>
      <c r="AA172" s="62">
        <v>24381767.399999999</v>
      </c>
      <c r="AB172" s="22">
        <v>4863010.4995913804</v>
      </c>
      <c r="AC172">
        <v>2540684.7137614614</v>
      </c>
      <c r="AD172" s="23">
        <v>7403695.2133528413</v>
      </c>
      <c r="AE172">
        <v>1733950.0011003991</v>
      </c>
      <c r="AF172">
        <v>905903.85650653776</v>
      </c>
      <c r="AG172" s="23">
        <v>2639853.8576069367</v>
      </c>
      <c r="AH172">
        <v>2169376.3831788595</v>
      </c>
      <c r="AI172">
        <v>1133392.8642926863</v>
      </c>
      <c r="AJ172" s="23">
        <v>3302769.2474715463</v>
      </c>
      <c r="AK172">
        <v>4523433.517559004</v>
      </c>
      <c r="AL172">
        <v>2363272.3393685417</v>
      </c>
      <c r="AM172" s="23">
        <v>6886705.8569275448</v>
      </c>
      <c r="AN172">
        <v>1612870.6845974273</v>
      </c>
      <c r="AO172">
        <v>842645.92355003196</v>
      </c>
      <c r="AP172" s="23">
        <v>2455516.7445659428</v>
      </c>
      <c r="AQ172">
        <v>2017891.9786236158</v>
      </c>
      <c r="AR172">
        <v>1054249.6810086656</v>
      </c>
      <c r="AS172" s="23">
        <v>3072141.6596322809</v>
      </c>
      <c r="AT172">
        <v>25760682.511347856</v>
      </c>
    </row>
    <row r="173" spans="1:46">
      <c r="A173" s="48" t="s">
        <v>178</v>
      </c>
      <c r="B173" s="48" t="s">
        <v>300</v>
      </c>
      <c r="C173" s="49">
        <v>94</v>
      </c>
      <c r="D173" s="50">
        <v>0.40899999999999997</v>
      </c>
      <c r="E173" s="49">
        <v>187.38206592930001</v>
      </c>
      <c r="F173" s="49">
        <v>0.77746207384453803</v>
      </c>
      <c r="G173" s="49">
        <v>41.586494326998398</v>
      </c>
      <c r="H173" s="49">
        <v>0.82047058330070499</v>
      </c>
      <c r="I173" s="61">
        <v>777016.55</v>
      </c>
      <c r="J173" s="62">
        <v>-999</v>
      </c>
      <c r="K173" s="66">
        <v>777016.55</v>
      </c>
      <c r="L173" s="62">
        <v>131368.519</v>
      </c>
      <c r="M173" s="62">
        <v>-999</v>
      </c>
      <c r="N173" s="66">
        <v>131368.519</v>
      </c>
      <c r="O173" s="62">
        <v>553786.11300000001</v>
      </c>
      <c r="P173" s="62">
        <v>-999</v>
      </c>
      <c r="Q173" s="66">
        <v>553786.11300000001</v>
      </c>
      <c r="R173" s="62">
        <v>289997.64299999998</v>
      </c>
      <c r="S173" s="62">
        <v>-999</v>
      </c>
      <c r="T173" s="66">
        <v>289997.64299999998</v>
      </c>
      <c r="U173" s="62">
        <v>49029.278899999998</v>
      </c>
      <c r="V173" s="62">
        <v>-999</v>
      </c>
      <c r="W173" s="66">
        <v>49029.278899999998</v>
      </c>
      <c r="X173" s="62">
        <v>206683.71900000001</v>
      </c>
      <c r="Y173" s="62">
        <v>-999</v>
      </c>
      <c r="Z173" s="66">
        <v>206683.71900000001</v>
      </c>
      <c r="AA173" s="62">
        <v>2007881.78</v>
      </c>
      <c r="AB173" s="22">
        <v>820000.41361147456</v>
      </c>
      <c r="AC173">
        <v>-999</v>
      </c>
      <c r="AD173" s="23">
        <v>820000.41361147456</v>
      </c>
      <c r="AE173">
        <v>138635.70840612939</v>
      </c>
      <c r="AF173">
        <v>-999</v>
      </c>
      <c r="AG173" s="23">
        <v>138635.70840612939</v>
      </c>
      <c r="AH173">
        <v>584421.06716775335</v>
      </c>
      <c r="AI173">
        <v>-999</v>
      </c>
      <c r="AJ173" s="23">
        <v>584421.06716775335</v>
      </c>
      <c r="AK173">
        <v>306040.05441615923</v>
      </c>
      <c r="AL173">
        <v>-999</v>
      </c>
      <c r="AM173" s="23">
        <v>306040.05441615923</v>
      </c>
      <c r="AN173">
        <v>51741.534921026214</v>
      </c>
      <c r="AO173">
        <v>-999</v>
      </c>
      <c r="AP173" s="23">
        <v>51741.534921026214</v>
      </c>
      <c r="AQ173">
        <v>218117.27839300403</v>
      </c>
      <c r="AR173">
        <v>-999</v>
      </c>
      <c r="AS173" s="23">
        <v>218117.27839300403</v>
      </c>
      <c r="AT173">
        <v>2118956.0159408078</v>
      </c>
    </row>
    <row r="174" spans="1:46">
      <c r="A174" s="48" t="s">
        <v>161</v>
      </c>
      <c r="B174" s="48" t="s">
        <v>301</v>
      </c>
      <c r="C174" s="49">
        <v>73</v>
      </c>
      <c r="D174" s="50">
        <v>0.40100000000000002</v>
      </c>
      <c r="E174" s="49">
        <v>79.117205431164194</v>
      </c>
      <c r="F174" s="49">
        <v>0.79362283601292405</v>
      </c>
      <c r="G174" s="49">
        <v>70.073844780319703</v>
      </c>
      <c r="H174" s="49">
        <v>0.81844488688179295</v>
      </c>
      <c r="I174" s="61">
        <v>132685.21100000001</v>
      </c>
      <c r="J174" s="62">
        <v>374473.83100000001</v>
      </c>
      <c r="K174" s="66">
        <v>507159.17499999999</v>
      </c>
      <c r="L174" s="62">
        <v>94382.567299999995</v>
      </c>
      <c r="M174" s="62">
        <v>266373.29399999999</v>
      </c>
      <c r="N174" s="66">
        <v>360755.99300000002</v>
      </c>
      <c r="O174" s="62">
        <v>312941.99400000001</v>
      </c>
      <c r="P174" s="62">
        <v>883207.26599999995</v>
      </c>
      <c r="Q174" s="66">
        <v>1196149.1299999999</v>
      </c>
      <c r="R174" s="62">
        <v>145265.15900000001</v>
      </c>
      <c r="S174" s="62">
        <v>409977.79</v>
      </c>
      <c r="T174" s="66">
        <v>555242.94900000002</v>
      </c>
      <c r="U174" s="62">
        <v>103330.988</v>
      </c>
      <c r="V174" s="62">
        <v>291628.17800000001</v>
      </c>
      <c r="W174" s="66">
        <v>394959.29800000001</v>
      </c>
      <c r="X174" s="62">
        <v>342612.1</v>
      </c>
      <c r="Y174" s="62">
        <v>966944.15500000003</v>
      </c>
      <c r="Z174" s="66">
        <v>1309556.26</v>
      </c>
      <c r="AA174" s="62">
        <v>4323822.72</v>
      </c>
      <c r="AB174" s="22">
        <v>136835.19161465485</v>
      </c>
      <c r="AC174">
        <v>386186.20651120436</v>
      </c>
      <c r="AD174" s="23">
        <v>523021.53437110892</v>
      </c>
      <c r="AE174">
        <v>97334.560090658182</v>
      </c>
      <c r="AF174">
        <v>274704.62091965735</v>
      </c>
      <c r="AG174" s="23">
        <v>372039.31725556526</v>
      </c>
      <c r="AH174">
        <v>322729.84522585286</v>
      </c>
      <c r="AI174">
        <v>910831.2392775421</v>
      </c>
      <c r="AJ174" s="23">
        <v>1233560.9482581455</v>
      </c>
      <c r="AK174">
        <v>149808.60053476982</v>
      </c>
      <c r="AL174">
        <v>422800.61866590526</v>
      </c>
      <c r="AM174" s="23">
        <v>572609.21920067503</v>
      </c>
      <c r="AN174">
        <v>106562.8595874724</v>
      </c>
      <c r="AO174">
        <v>300749.39909440972</v>
      </c>
      <c r="AP174" s="23">
        <v>407312.39492713177</v>
      </c>
      <c r="AQ174">
        <v>353327.93964502861</v>
      </c>
      <c r="AR174">
        <v>997187.15714870195</v>
      </c>
      <c r="AS174" s="23">
        <v>1350515.0967937305</v>
      </c>
      <c r="AT174">
        <v>4459058.4290592065</v>
      </c>
    </row>
    <row r="175" spans="1:46">
      <c r="A175" s="47"/>
      <c r="B175" s="47"/>
      <c r="C175" s="47"/>
      <c r="D175" s="51"/>
      <c r="E175" s="47"/>
      <c r="F175" s="47"/>
      <c r="G175" s="47"/>
      <c r="H175" s="47"/>
      <c r="I175" s="63"/>
      <c r="J175" s="64"/>
      <c r="K175" s="67"/>
      <c r="L175" s="64"/>
      <c r="M175" s="64"/>
      <c r="N175" s="67"/>
      <c r="O175" s="64"/>
      <c r="P175" s="64"/>
      <c r="Q175" s="67"/>
      <c r="R175" s="64"/>
      <c r="S175" s="64"/>
      <c r="T175" s="67"/>
      <c r="U175" s="64"/>
      <c r="V175" s="64"/>
      <c r="W175" s="67"/>
      <c r="X175" s="64"/>
      <c r="Y175" s="64"/>
      <c r="Z175" s="67"/>
      <c r="AA175" s="64"/>
    </row>
  </sheetData>
  <conditionalFormatting sqref="D1:D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3.5mil_ac</vt:lpstr>
      <vt:lpstr>all_data</vt:lpstr>
      <vt:lpstr>c_stored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Leah Clayton</dc:creator>
  <cp:lastModifiedBy>Leah Clayton</cp:lastModifiedBy>
  <dcterms:created xsi:type="dcterms:W3CDTF">2026-05-18T14:37:09Z</dcterms:created>
  <dcterms:modified xsi:type="dcterms:W3CDTF">2026-05-18T15:13:58Z</dcterms:modified>
</cp:coreProperties>
</file>